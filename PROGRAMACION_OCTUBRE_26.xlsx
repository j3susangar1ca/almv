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3738\Desktop\programaciones 2026\PROGRAMACION OCTUBRE 2026\"/>
    </mc:Choice>
  </mc:AlternateContent>
  <xr:revisionPtr revIDLastSave="0" documentId="13_ncr:1_{E8DB097B-185B-4112-8C5D-FEBBF275A10B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GENERAL" sheetId="1" r:id="rId1"/>
    <sheet name="RECEPCIÓN" sheetId="2" r:id="rId2"/>
    <sheet name="PACIENTES" sheetId="3" r:id="rId3"/>
    <sheet name="COMEDOR" sheetId="4" r:id="rId4"/>
    <sheet name="JORNADA" sheetId="5" r:id="rId5"/>
    <sheet name="DIETOLOGÍA(S)" sheetId="6" r:id="rId6"/>
    <sheet name="BANCO DE LECHE" sheetId="7" r:id="rId7"/>
    <sheet name="TORTILLAS" sheetId="8" r:id="rId8"/>
    <sheet name="NUTRICIÓN CLÍNICA" sheetId="9" r:id="rId9"/>
    <sheet name="PAN" sheetId="10" r:id="rId10"/>
    <sheet name="LPL472026" sheetId="11" r:id="rId11"/>
  </sheets>
  <definedNames>
    <definedName name="_xlnm._FilterDatabase" localSheetId="10" hidden="1">'LPL472026'!$A$1:$AJ$350</definedName>
    <definedName name="FRUTAS">PACIENTES!$A$4:$D$34</definedName>
    <definedName name="salidanutricion">'NUTRICIÓN CLÍNICA'!$A$4:$D$14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1" l="1"/>
  <c r="P2" i="11"/>
  <c r="AA2" i="11"/>
  <c r="AB2" i="11"/>
  <c r="AC2" i="11"/>
  <c r="AD2" i="11"/>
  <c r="AE2" i="11"/>
  <c r="AF2" i="11"/>
  <c r="AG2" i="11"/>
  <c r="AH2" i="11"/>
  <c r="AI2" i="11"/>
  <c r="AJ2" i="11"/>
  <c r="O3" i="11"/>
  <c r="AI3" i="11" s="1"/>
  <c r="P3" i="11"/>
  <c r="AJ3" i="11" s="1"/>
  <c r="AA3" i="11"/>
  <c r="AB3" i="11"/>
  <c r="AC3" i="11"/>
  <c r="AD3" i="11"/>
  <c r="AE3" i="11"/>
  <c r="AF3" i="11"/>
  <c r="AG3" i="11"/>
  <c r="AH3" i="11"/>
  <c r="O4" i="11"/>
  <c r="P4" i="11"/>
  <c r="AA4" i="11"/>
  <c r="AB4" i="11"/>
  <c r="AC4" i="11"/>
  <c r="AD4" i="11"/>
  <c r="AE4" i="11"/>
  <c r="AF4" i="11"/>
  <c r="AG4" i="11"/>
  <c r="AH4" i="11"/>
  <c r="AI4" i="11"/>
  <c r="AJ4" i="11"/>
  <c r="O5" i="11"/>
  <c r="AI5" i="11" s="1"/>
  <c r="P5" i="11"/>
  <c r="AJ5" i="11" s="1"/>
  <c r="AA5" i="11"/>
  <c r="AB5" i="11"/>
  <c r="AC5" i="11"/>
  <c r="AD5" i="11"/>
  <c r="AE5" i="11"/>
  <c r="AF5" i="11"/>
  <c r="AG5" i="11"/>
  <c r="AH5" i="11"/>
  <c r="O6" i="11"/>
  <c r="P6" i="11"/>
  <c r="AA6" i="11"/>
  <c r="AB6" i="11"/>
  <c r="AC6" i="11"/>
  <c r="AD6" i="11"/>
  <c r="AE6" i="11"/>
  <c r="AF6" i="11"/>
  <c r="AG6" i="11"/>
  <c r="AH6" i="11"/>
  <c r="AI6" i="11"/>
  <c r="AJ6" i="11"/>
  <c r="O7" i="11"/>
  <c r="P7" i="11"/>
  <c r="AA7" i="11"/>
  <c r="AB7" i="11"/>
  <c r="AC7" i="11"/>
  <c r="AD7" i="11"/>
  <c r="AE7" i="11"/>
  <c r="AF7" i="11"/>
  <c r="AG7" i="11"/>
  <c r="AH7" i="11"/>
  <c r="AI7" i="11"/>
  <c r="AJ7" i="11"/>
  <c r="O8" i="11"/>
  <c r="AI8" i="11" s="1"/>
  <c r="P8" i="11"/>
  <c r="AJ8" i="11" s="1"/>
  <c r="AA8" i="11"/>
  <c r="AB8" i="11"/>
  <c r="AC8" i="11"/>
  <c r="AD8" i="11"/>
  <c r="AE8" i="11"/>
  <c r="AF8" i="11"/>
  <c r="AG8" i="11"/>
  <c r="AH8" i="11"/>
  <c r="O9" i="11"/>
  <c r="P9" i="11"/>
  <c r="AA9" i="11"/>
  <c r="AB9" i="11"/>
  <c r="AC9" i="11"/>
  <c r="AD9" i="11"/>
  <c r="AE9" i="11"/>
  <c r="AF9" i="11"/>
  <c r="AG9" i="11"/>
  <c r="AH9" i="11"/>
  <c r="AI9" i="11"/>
  <c r="AJ9" i="11"/>
  <c r="O10" i="11"/>
  <c r="P10" i="11"/>
  <c r="AJ10" i="11" s="1"/>
  <c r="AA10" i="11"/>
  <c r="AB10" i="11"/>
  <c r="AC10" i="11"/>
  <c r="AD10" i="11"/>
  <c r="AE10" i="11"/>
  <c r="AF10" i="11"/>
  <c r="AG10" i="11"/>
  <c r="AH10" i="11"/>
  <c r="AI10" i="11"/>
  <c r="O11" i="11"/>
  <c r="P11" i="11"/>
  <c r="AA11" i="11"/>
  <c r="AB11" i="11"/>
  <c r="AC11" i="11"/>
  <c r="AD11" i="11"/>
  <c r="AE11" i="11"/>
  <c r="AF11" i="11"/>
  <c r="AG11" i="11"/>
  <c r="AH11" i="11"/>
  <c r="AI11" i="11"/>
  <c r="AJ11" i="11"/>
  <c r="O12" i="11"/>
  <c r="P12" i="11"/>
  <c r="AA12" i="11"/>
  <c r="AB12" i="11"/>
  <c r="AC12" i="11"/>
  <c r="AD12" i="11"/>
  <c r="AE12" i="11"/>
  <c r="AF12" i="11"/>
  <c r="AG12" i="11"/>
  <c r="AH12" i="11"/>
  <c r="AI12" i="11"/>
  <c r="AJ12" i="11"/>
  <c r="O13" i="11"/>
  <c r="AI13" i="11" s="1"/>
  <c r="P13" i="11"/>
  <c r="AJ13" i="11" s="1"/>
  <c r="AA13" i="11"/>
  <c r="AB13" i="11"/>
  <c r="AC13" i="11"/>
  <c r="AD13" i="11"/>
  <c r="AE13" i="11"/>
  <c r="AF13" i="11"/>
  <c r="AG13" i="11"/>
  <c r="AH13" i="11"/>
  <c r="O14" i="11"/>
  <c r="P14" i="11"/>
  <c r="AA14" i="11"/>
  <c r="AB14" i="11"/>
  <c r="AC14" i="11"/>
  <c r="AD14" i="11"/>
  <c r="AE14" i="11"/>
  <c r="AF14" i="11"/>
  <c r="AG14" i="11"/>
  <c r="AH14" i="11"/>
  <c r="AI14" i="11"/>
  <c r="AJ14" i="11"/>
  <c r="O15" i="11"/>
  <c r="AI15" i="11" s="1"/>
  <c r="P15" i="11"/>
  <c r="AJ15" i="11" s="1"/>
  <c r="AA15" i="11"/>
  <c r="AB15" i="11"/>
  <c r="AC15" i="11"/>
  <c r="AD15" i="11"/>
  <c r="AE15" i="11"/>
  <c r="AF15" i="11"/>
  <c r="AG15" i="11"/>
  <c r="AH15" i="11"/>
  <c r="O16" i="11"/>
  <c r="P16" i="11"/>
  <c r="AA16" i="11"/>
  <c r="AB16" i="11"/>
  <c r="AC16" i="11"/>
  <c r="AD16" i="11"/>
  <c r="AE16" i="11"/>
  <c r="AF16" i="11"/>
  <c r="AG16" i="11"/>
  <c r="AH16" i="11"/>
  <c r="AI16" i="11"/>
  <c r="AJ16" i="11"/>
  <c r="O17" i="11"/>
  <c r="P17" i="11"/>
  <c r="AA17" i="11"/>
  <c r="AB17" i="11"/>
  <c r="AC17" i="11"/>
  <c r="AD17" i="11"/>
  <c r="AE17" i="11"/>
  <c r="AF17" i="11"/>
  <c r="AG17" i="11"/>
  <c r="AH17" i="11"/>
  <c r="AI17" i="11"/>
  <c r="AJ17" i="11"/>
  <c r="O18" i="11"/>
  <c r="AI18" i="11" s="1"/>
  <c r="P18" i="11"/>
  <c r="AJ18" i="11" s="1"/>
  <c r="AA18" i="11"/>
  <c r="AB18" i="11"/>
  <c r="AC18" i="11"/>
  <c r="AD18" i="11"/>
  <c r="AE18" i="11"/>
  <c r="AF18" i="11"/>
  <c r="AG18" i="11"/>
  <c r="AH18" i="11"/>
  <c r="O19" i="11"/>
  <c r="P19" i="11"/>
  <c r="AA19" i="11"/>
  <c r="AB19" i="11"/>
  <c r="AC19" i="11"/>
  <c r="AD19" i="11"/>
  <c r="AE19" i="11"/>
  <c r="AF19" i="11"/>
  <c r="AG19" i="11"/>
  <c r="AH19" i="11"/>
  <c r="AI19" i="11"/>
  <c r="AJ19" i="11"/>
  <c r="O20" i="11"/>
  <c r="AI20" i="11" s="1"/>
  <c r="P20" i="11"/>
  <c r="AJ20" i="11" s="1"/>
  <c r="AA20" i="11"/>
  <c r="AB20" i="11"/>
  <c r="AC20" i="11"/>
  <c r="AD20" i="11"/>
  <c r="AE20" i="11"/>
  <c r="AF20" i="11"/>
  <c r="AG20" i="11"/>
  <c r="AH20" i="11"/>
  <c r="O21" i="11"/>
  <c r="P21" i="11"/>
  <c r="AA21" i="11"/>
  <c r="AB21" i="11"/>
  <c r="AC21" i="11"/>
  <c r="AD21" i="11"/>
  <c r="AE21" i="11"/>
  <c r="AF21" i="11"/>
  <c r="AG21" i="11"/>
  <c r="AH21" i="11"/>
  <c r="AI21" i="11"/>
  <c r="AJ21" i="11"/>
  <c r="O22" i="11"/>
  <c r="P22" i="11"/>
  <c r="AA22" i="11"/>
  <c r="AB22" i="11"/>
  <c r="AC22" i="11"/>
  <c r="AD22" i="11"/>
  <c r="AE22" i="11"/>
  <c r="AF22" i="11"/>
  <c r="AG22" i="11"/>
  <c r="AH22" i="11"/>
  <c r="AI22" i="11"/>
  <c r="AJ22" i="11"/>
  <c r="O23" i="11"/>
  <c r="AI23" i="11" s="1"/>
  <c r="P23" i="11"/>
  <c r="AJ23" i="11" s="1"/>
  <c r="AA23" i="11"/>
  <c r="AB23" i="11"/>
  <c r="AC23" i="11"/>
  <c r="AD23" i="11"/>
  <c r="AE23" i="11"/>
  <c r="AF23" i="11"/>
  <c r="AG23" i="11"/>
  <c r="AH23" i="11"/>
  <c r="O24" i="11"/>
  <c r="P24" i="11"/>
  <c r="AA24" i="11"/>
  <c r="AB24" i="11"/>
  <c r="AC24" i="11"/>
  <c r="AD24" i="11"/>
  <c r="AE24" i="11"/>
  <c r="AF24" i="11"/>
  <c r="AG24" i="11"/>
  <c r="AH24" i="11"/>
  <c r="AI24" i="11"/>
  <c r="AJ24" i="11"/>
  <c r="O25" i="11"/>
  <c r="AI25" i="11" s="1"/>
  <c r="P25" i="11"/>
  <c r="AJ25" i="11" s="1"/>
  <c r="AA25" i="11"/>
  <c r="AB25" i="11"/>
  <c r="AC25" i="11"/>
  <c r="AD25" i="11"/>
  <c r="AE25" i="11"/>
  <c r="AF25" i="11"/>
  <c r="AG25" i="11"/>
  <c r="AH25" i="11"/>
  <c r="O26" i="11"/>
  <c r="P26" i="11"/>
  <c r="AA26" i="11"/>
  <c r="AB26" i="11"/>
  <c r="AC26" i="11"/>
  <c r="AD26" i="11"/>
  <c r="AE26" i="11"/>
  <c r="AF26" i="11"/>
  <c r="AG26" i="11"/>
  <c r="AH26" i="11"/>
  <c r="AI26" i="11"/>
  <c r="AJ26" i="11"/>
  <c r="O27" i="11"/>
  <c r="P27" i="11"/>
  <c r="AA27" i="11"/>
  <c r="AB27" i="11"/>
  <c r="AC27" i="11"/>
  <c r="AD27" i="11"/>
  <c r="AE27" i="11"/>
  <c r="AF27" i="11"/>
  <c r="AG27" i="11"/>
  <c r="AH27" i="11"/>
  <c r="AI27" i="11"/>
  <c r="AJ27" i="11"/>
  <c r="O28" i="11"/>
  <c r="AI28" i="11" s="1"/>
  <c r="P28" i="11"/>
  <c r="AJ28" i="11" s="1"/>
  <c r="AA28" i="11"/>
  <c r="AB28" i="11"/>
  <c r="AC28" i="11"/>
  <c r="AD28" i="11"/>
  <c r="AE28" i="11"/>
  <c r="AF28" i="11"/>
  <c r="AG28" i="11"/>
  <c r="AH28" i="11"/>
  <c r="O29" i="11"/>
  <c r="P29" i="11"/>
  <c r="AA29" i="11"/>
  <c r="AB29" i="11"/>
  <c r="AC29" i="11"/>
  <c r="AD29" i="11"/>
  <c r="AE29" i="11"/>
  <c r="AF29" i="11"/>
  <c r="AG29" i="11"/>
  <c r="AH29" i="11"/>
  <c r="AI29" i="11"/>
  <c r="AJ29" i="11"/>
  <c r="O30" i="11"/>
  <c r="AI30" i="11" s="1"/>
  <c r="P30" i="11"/>
  <c r="AJ30" i="11" s="1"/>
  <c r="AA30" i="11"/>
  <c r="AB30" i="11"/>
  <c r="AC30" i="11"/>
  <c r="AD30" i="11"/>
  <c r="AE30" i="11"/>
  <c r="AF30" i="11"/>
  <c r="AG30" i="11"/>
  <c r="AH30" i="11"/>
  <c r="O31" i="11"/>
  <c r="P31" i="11"/>
  <c r="AA31" i="11"/>
  <c r="AB31" i="11"/>
  <c r="AC31" i="11"/>
  <c r="AD31" i="11"/>
  <c r="AE31" i="11"/>
  <c r="AF31" i="11"/>
  <c r="AG31" i="11"/>
  <c r="AH31" i="11"/>
  <c r="AI31" i="11"/>
  <c r="AJ31" i="11"/>
  <c r="O32" i="11"/>
  <c r="P32" i="11"/>
  <c r="AA32" i="11"/>
  <c r="AB32" i="11"/>
  <c r="AC32" i="11"/>
  <c r="AD32" i="11"/>
  <c r="AE32" i="11"/>
  <c r="AF32" i="11"/>
  <c r="AG32" i="11"/>
  <c r="AH32" i="11"/>
  <c r="AI32" i="11"/>
  <c r="AJ32" i="11"/>
  <c r="O33" i="11"/>
  <c r="AI33" i="11" s="1"/>
  <c r="P33" i="11"/>
  <c r="AJ33" i="11" s="1"/>
  <c r="AA33" i="11"/>
  <c r="AB33" i="11"/>
  <c r="AC33" i="11"/>
  <c r="AD33" i="11"/>
  <c r="AE33" i="11"/>
  <c r="AF33" i="11"/>
  <c r="AG33" i="11"/>
  <c r="AH33" i="11"/>
  <c r="O34" i="11"/>
  <c r="P34" i="11"/>
  <c r="AA34" i="11"/>
  <c r="AB34" i="11"/>
  <c r="AC34" i="11"/>
  <c r="AD34" i="11"/>
  <c r="AE34" i="11"/>
  <c r="AF34" i="11"/>
  <c r="AG34" i="11"/>
  <c r="AH34" i="11"/>
  <c r="AI34" i="11"/>
  <c r="AJ34" i="11"/>
  <c r="O35" i="11"/>
  <c r="AI35" i="11" s="1"/>
  <c r="P35" i="11"/>
  <c r="AJ35" i="11" s="1"/>
  <c r="AA35" i="11"/>
  <c r="AB35" i="11"/>
  <c r="AC35" i="11"/>
  <c r="AD35" i="11"/>
  <c r="AE35" i="11"/>
  <c r="AF35" i="11"/>
  <c r="AG35" i="11"/>
  <c r="AH35" i="11"/>
  <c r="O36" i="11"/>
  <c r="P36" i="11"/>
  <c r="AA36" i="11"/>
  <c r="AB36" i="11"/>
  <c r="AC36" i="11"/>
  <c r="AD36" i="11"/>
  <c r="AE36" i="11"/>
  <c r="AF36" i="11"/>
  <c r="AG36" i="11"/>
  <c r="AH36" i="11"/>
  <c r="AI36" i="11"/>
  <c r="AJ36" i="11"/>
  <c r="O37" i="11"/>
  <c r="P37" i="11"/>
  <c r="AA37" i="11"/>
  <c r="AB37" i="11"/>
  <c r="AC37" i="11"/>
  <c r="AD37" i="11"/>
  <c r="AE37" i="11"/>
  <c r="AF37" i="11"/>
  <c r="AG37" i="11"/>
  <c r="AH37" i="11"/>
  <c r="AI37" i="11"/>
  <c r="AJ37" i="11"/>
  <c r="O38" i="11"/>
  <c r="AI38" i="11" s="1"/>
  <c r="P38" i="11"/>
  <c r="AJ38" i="11" s="1"/>
  <c r="AA38" i="11"/>
  <c r="AB38" i="11"/>
  <c r="AC38" i="11"/>
  <c r="AD38" i="11"/>
  <c r="AE38" i="11"/>
  <c r="AF38" i="11"/>
  <c r="AG38" i="11"/>
  <c r="AH38" i="11"/>
  <c r="O39" i="11"/>
  <c r="P39" i="11"/>
  <c r="AA39" i="11"/>
  <c r="AB39" i="11"/>
  <c r="AC39" i="11"/>
  <c r="AD39" i="11"/>
  <c r="AE39" i="11"/>
  <c r="AF39" i="11"/>
  <c r="AG39" i="11"/>
  <c r="AH39" i="11"/>
  <c r="AI39" i="11"/>
  <c r="AJ39" i="11"/>
  <c r="O40" i="11"/>
  <c r="AI40" i="11" s="1"/>
  <c r="P40" i="11"/>
  <c r="AJ40" i="11" s="1"/>
  <c r="AA40" i="11"/>
  <c r="AB40" i="11"/>
  <c r="AC40" i="11"/>
  <c r="AD40" i="11"/>
  <c r="AE40" i="11"/>
  <c r="AF40" i="11"/>
  <c r="AG40" i="11"/>
  <c r="AH40" i="11"/>
  <c r="O41" i="11"/>
  <c r="P41" i="11"/>
  <c r="AA41" i="11"/>
  <c r="AB41" i="11"/>
  <c r="AC41" i="11"/>
  <c r="AD41" i="11"/>
  <c r="AE41" i="11"/>
  <c r="AF41" i="11"/>
  <c r="AG41" i="11"/>
  <c r="AH41" i="11"/>
  <c r="AI41" i="11"/>
  <c r="AJ41" i="11"/>
  <c r="O42" i="11"/>
  <c r="P42" i="11"/>
  <c r="AA42" i="11"/>
  <c r="AB42" i="11"/>
  <c r="AC42" i="11"/>
  <c r="AD42" i="11"/>
  <c r="AE42" i="11"/>
  <c r="AF42" i="11"/>
  <c r="AG42" i="11"/>
  <c r="AH42" i="11"/>
  <c r="AI42" i="11"/>
  <c r="AJ42" i="11"/>
  <c r="O43" i="11"/>
  <c r="AI43" i="11" s="1"/>
  <c r="P43" i="11"/>
  <c r="AJ43" i="11" s="1"/>
  <c r="AA43" i="11"/>
  <c r="AB43" i="11"/>
  <c r="AC43" i="11"/>
  <c r="AD43" i="11"/>
  <c r="AE43" i="11"/>
  <c r="AF43" i="11"/>
  <c r="AG43" i="11"/>
  <c r="AH43" i="11"/>
  <c r="O44" i="11"/>
  <c r="P44" i="11"/>
  <c r="AA44" i="11"/>
  <c r="AB44" i="11"/>
  <c r="AC44" i="11"/>
  <c r="AD44" i="11"/>
  <c r="AE44" i="11"/>
  <c r="AF44" i="11"/>
  <c r="AG44" i="11"/>
  <c r="AH44" i="11"/>
  <c r="AI44" i="11"/>
  <c r="AJ44" i="11"/>
  <c r="O45" i="11"/>
  <c r="AI45" i="11" s="1"/>
  <c r="P45" i="11"/>
  <c r="AJ45" i="11" s="1"/>
  <c r="AA45" i="11"/>
  <c r="AB45" i="11"/>
  <c r="AC45" i="11"/>
  <c r="AD45" i="11"/>
  <c r="AE45" i="11"/>
  <c r="AF45" i="11"/>
  <c r="AG45" i="11"/>
  <c r="AH45" i="11"/>
  <c r="O46" i="11"/>
  <c r="P46" i="11"/>
  <c r="AA46" i="11"/>
  <c r="AB46" i="11"/>
  <c r="AC46" i="11"/>
  <c r="AD46" i="11"/>
  <c r="AE46" i="11"/>
  <c r="AF46" i="11"/>
  <c r="AG46" i="11"/>
  <c r="AH46" i="11"/>
  <c r="AI46" i="11"/>
  <c r="AJ46" i="11"/>
  <c r="O47" i="11"/>
  <c r="P47" i="11"/>
  <c r="AA47" i="11"/>
  <c r="AB47" i="11"/>
  <c r="AC47" i="11"/>
  <c r="AD47" i="11"/>
  <c r="AE47" i="11"/>
  <c r="AF47" i="11"/>
  <c r="AG47" i="11"/>
  <c r="AH47" i="11"/>
  <c r="AI47" i="11"/>
  <c r="AJ47" i="11"/>
  <c r="O48" i="11"/>
  <c r="AI48" i="11" s="1"/>
  <c r="P48" i="11"/>
  <c r="AJ48" i="11" s="1"/>
  <c r="AA48" i="11"/>
  <c r="AB48" i="11"/>
  <c r="AC48" i="11"/>
  <c r="AD48" i="11"/>
  <c r="AE48" i="11"/>
  <c r="AF48" i="11"/>
  <c r="AG48" i="11"/>
  <c r="AH48" i="11"/>
  <c r="O49" i="11"/>
  <c r="P49" i="11"/>
  <c r="AA49" i="11"/>
  <c r="AB49" i="11"/>
  <c r="AC49" i="11"/>
  <c r="AD49" i="11"/>
  <c r="AE49" i="11"/>
  <c r="AF49" i="11"/>
  <c r="AG49" i="11"/>
  <c r="AH49" i="11"/>
  <c r="AI49" i="11"/>
  <c r="AJ49" i="11"/>
  <c r="O50" i="11"/>
  <c r="AI50" i="11" s="1"/>
  <c r="P50" i="11"/>
  <c r="AJ50" i="11" s="1"/>
  <c r="AA50" i="11"/>
  <c r="AB50" i="11"/>
  <c r="AC50" i="11"/>
  <c r="AD50" i="11"/>
  <c r="AE50" i="11"/>
  <c r="AF50" i="11"/>
  <c r="AG50" i="11"/>
  <c r="AH50" i="11"/>
  <c r="O51" i="11"/>
  <c r="P51" i="11"/>
  <c r="AA51" i="11"/>
  <c r="AB51" i="11"/>
  <c r="AC51" i="11"/>
  <c r="AD51" i="11"/>
  <c r="AE51" i="11"/>
  <c r="AF51" i="11"/>
  <c r="AG51" i="11"/>
  <c r="AH51" i="11"/>
  <c r="AI51" i="11"/>
  <c r="AJ51" i="11"/>
  <c r="O52" i="11"/>
  <c r="P52" i="11"/>
  <c r="AA52" i="11"/>
  <c r="AB52" i="11"/>
  <c r="AC52" i="11"/>
  <c r="AD52" i="11"/>
  <c r="AE52" i="11"/>
  <c r="AF52" i="11"/>
  <c r="AG52" i="11"/>
  <c r="AH52" i="11"/>
  <c r="AI52" i="11"/>
  <c r="AJ52" i="11"/>
  <c r="O53" i="11"/>
  <c r="AI53" i="11" s="1"/>
  <c r="P53" i="11"/>
  <c r="AJ53" i="11" s="1"/>
  <c r="AA53" i="11"/>
  <c r="AB53" i="11"/>
  <c r="AC53" i="11"/>
  <c r="AD53" i="11"/>
  <c r="AE53" i="11"/>
  <c r="AF53" i="11"/>
  <c r="AG53" i="11"/>
  <c r="AH53" i="11"/>
  <c r="O54" i="11"/>
  <c r="P54" i="11"/>
  <c r="AA54" i="11"/>
  <c r="AB54" i="11"/>
  <c r="AC54" i="11"/>
  <c r="AD54" i="11"/>
  <c r="AE54" i="11"/>
  <c r="AF54" i="11"/>
  <c r="AG54" i="11"/>
  <c r="AH54" i="11"/>
  <c r="AI54" i="11"/>
  <c r="AJ54" i="11"/>
  <c r="O55" i="11"/>
  <c r="AI55" i="11" s="1"/>
  <c r="P55" i="11"/>
  <c r="AJ55" i="11" s="1"/>
  <c r="AA55" i="11"/>
  <c r="AB55" i="11"/>
  <c r="AC55" i="11"/>
  <c r="AD55" i="11"/>
  <c r="AE55" i="11"/>
  <c r="AF55" i="11"/>
  <c r="AG55" i="11"/>
  <c r="AH55" i="11"/>
  <c r="O56" i="11"/>
  <c r="P56" i="11"/>
  <c r="AA56" i="11"/>
  <c r="AB56" i="11"/>
  <c r="AC56" i="11"/>
  <c r="AD56" i="11"/>
  <c r="AE56" i="11"/>
  <c r="AF56" i="11"/>
  <c r="AG56" i="11"/>
  <c r="AH56" i="11"/>
  <c r="AI56" i="11"/>
  <c r="AJ56" i="11"/>
  <c r="O57" i="11"/>
  <c r="P57" i="11"/>
  <c r="AA57" i="11"/>
  <c r="AB57" i="11"/>
  <c r="AC57" i="11"/>
  <c r="AD57" i="11"/>
  <c r="AE57" i="11"/>
  <c r="AF57" i="11"/>
  <c r="AG57" i="11"/>
  <c r="AH57" i="11"/>
  <c r="AI57" i="11"/>
  <c r="AJ57" i="11"/>
  <c r="O58" i="11"/>
  <c r="AI58" i="11" s="1"/>
  <c r="P58" i="11"/>
  <c r="AJ58" i="11" s="1"/>
  <c r="AA58" i="11"/>
  <c r="AB58" i="11"/>
  <c r="AC58" i="11"/>
  <c r="AD58" i="11"/>
  <c r="AE58" i="11"/>
  <c r="AF58" i="11"/>
  <c r="AG58" i="11"/>
  <c r="AH58" i="11"/>
  <c r="O59" i="11"/>
  <c r="P59" i="11"/>
  <c r="AA59" i="11"/>
  <c r="AB59" i="11"/>
  <c r="AC59" i="11"/>
  <c r="AD59" i="11"/>
  <c r="AE59" i="11"/>
  <c r="AF59" i="11"/>
  <c r="AG59" i="11"/>
  <c r="AH59" i="11"/>
  <c r="AI59" i="11"/>
  <c r="AJ59" i="11"/>
  <c r="O60" i="11"/>
  <c r="AI60" i="11" s="1"/>
  <c r="P60" i="11"/>
  <c r="AJ60" i="11" s="1"/>
  <c r="AA60" i="11"/>
  <c r="AB60" i="11"/>
  <c r="AC60" i="11"/>
  <c r="AD60" i="11"/>
  <c r="AE60" i="11"/>
  <c r="AF60" i="11"/>
  <c r="AG60" i="11"/>
  <c r="AH60" i="11"/>
  <c r="O61" i="11"/>
  <c r="P61" i="11"/>
  <c r="AA61" i="11"/>
  <c r="AB61" i="11"/>
  <c r="AC61" i="11"/>
  <c r="AD61" i="11"/>
  <c r="AE61" i="11"/>
  <c r="AF61" i="11"/>
  <c r="AG61" i="11"/>
  <c r="AH61" i="11"/>
  <c r="AI61" i="11"/>
  <c r="AJ61" i="11"/>
  <c r="O62" i="11"/>
  <c r="P62" i="11"/>
  <c r="AA62" i="11"/>
  <c r="AB62" i="11"/>
  <c r="AC62" i="11"/>
  <c r="AD62" i="11"/>
  <c r="AE62" i="11"/>
  <c r="AF62" i="11"/>
  <c r="AG62" i="11"/>
  <c r="AH62" i="11"/>
  <c r="AI62" i="11"/>
  <c r="AJ62" i="11"/>
  <c r="O63" i="11"/>
  <c r="AI63" i="11" s="1"/>
  <c r="P63" i="11"/>
  <c r="AJ63" i="11" s="1"/>
  <c r="AA63" i="11"/>
  <c r="AB63" i="11"/>
  <c r="AC63" i="11"/>
  <c r="AD63" i="11"/>
  <c r="AE63" i="11"/>
  <c r="AF63" i="11"/>
  <c r="AG63" i="11"/>
  <c r="AH63" i="11"/>
  <c r="O64" i="11"/>
  <c r="P64" i="11"/>
  <c r="AA64" i="11"/>
  <c r="AB64" i="11"/>
  <c r="AC64" i="11"/>
  <c r="AD64" i="11"/>
  <c r="AE64" i="11"/>
  <c r="AF64" i="11"/>
  <c r="AG64" i="11"/>
  <c r="AH64" i="11"/>
  <c r="AI64" i="11"/>
  <c r="AJ64" i="11"/>
  <c r="O65" i="11"/>
  <c r="AI65" i="11" s="1"/>
  <c r="P65" i="11"/>
  <c r="AJ65" i="11" s="1"/>
  <c r="AA65" i="11"/>
  <c r="AB65" i="11"/>
  <c r="AC65" i="11"/>
  <c r="AD65" i="11"/>
  <c r="AE65" i="11"/>
  <c r="AF65" i="11"/>
  <c r="AG65" i="11"/>
  <c r="AH65" i="11"/>
  <c r="O66" i="11"/>
  <c r="P66" i="11"/>
  <c r="AA66" i="11"/>
  <c r="AB66" i="11"/>
  <c r="AC66" i="11"/>
  <c r="AD66" i="11"/>
  <c r="AE66" i="11"/>
  <c r="AF66" i="11"/>
  <c r="AG66" i="11"/>
  <c r="AH66" i="11"/>
  <c r="AI66" i="11"/>
  <c r="AJ66" i="11"/>
  <c r="O67" i="11"/>
  <c r="P67" i="11"/>
  <c r="AA67" i="11"/>
  <c r="AB67" i="11"/>
  <c r="AC67" i="11"/>
  <c r="AD67" i="11"/>
  <c r="AE67" i="11"/>
  <c r="AF67" i="11"/>
  <c r="AG67" i="11"/>
  <c r="AH67" i="11"/>
  <c r="AI67" i="11"/>
  <c r="AJ67" i="11"/>
  <c r="O68" i="11"/>
  <c r="AI68" i="11" s="1"/>
  <c r="P68" i="11"/>
  <c r="AJ68" i="11" s="1"/>
  <c r="AA68" i="11"/>
  <c r="AB68" i="11"/>
  <c r="AC68" i="11"/>
  <c r="AD68" i="11"/>
  <c r="AE68" i="11"/>
  <c r="AF68" i="11"/>
  <c r="AG68" i="11"/>
  <c r="AH68" i="11"/>
  <c r="O69" i="11"/>
  <c r="P69" i="11"/>
  <c r="AA69" i="11"/>
  <c r="AB69" i="11"/>
  <c r="AC69" i="11"/>
  <c r="AD69" i="11"/>
  <c r="AE69" i="11"/>
  <c r="AF69" i="11"/>
  <c r="AG69" i="11"/>
  <c r="AH69" i="11"/>
  <c r="AI69" i="11"/>
  <c r="AJ69" i="11"/>
  <c r="O70" i="11"/>
  <c r="AI70" i="11" s="1"/>
  <c r="P70" i="11"/>
  <c r="AJ70" i="11" s="1"/>
  <c r="AA70" i="11"/>
  <c r="AB70" i="11"/>
  <c r="AC70" i="11"/>
  <c r="AD70" i="11"/>
  <c r="AE70" i="11"/>
  <c r="AF70" i="11"/>
  <c r="AG70" i="11"/>
  <c r="AH70" i="11"/>
  <c r="O71" i="11"/>
  <c r="P71" i="11"/>
  <c r="AJ71" i="11" s="1"/>
  <c r="AA71" i="11"/>
  <c r="AB71" i="11"/>
  <c r="AC71" i="11"/>
  <c r="AD71" i="11"/>
  <c r="AE71" i="11"/>
  <c r="AF71" i="11"/>
  <c r="AG71" i="11"/>
  <c r="AH71" i="11"/>
  <c r="AI71" i="11"/>
  <c r="O72" i="11"/>
  <c r="P72" i="11"/>
  <c r="AA72" i="11"/>
  <c r="AB72" i="11"/>
  <c r="AC72" i="11"/>
  <c r="AD72" i="11"/>
  <c r="AE72" i="11"/>
  <c r="AF72" i="11"/>
  <c r="AG72" i="11"/>
  <c r="AH72" i="11"/>
  <c r="AI72" i="11"/>
  <c r="AJ72" i="11"/>
  <c r="O73" i="11"/>
  <c r="AI73" i="11" s="1"/>
  <c r="P73" i="11"/>
  <c r="AJ73" i="11" s="1"/>
  <c r="AA73" i="11"/>
  <c r="AB73" i="11"/>
  <c r="AC73" i="11"/>
  <c r="AD73" i="11"/>
  <c r="AE73" i="11"/>
  <c r="AF73" i="11"/>
  <c r="AG73" i="11"/>
  <c r="AH73" i="11"/>
  <c r="O74" i="11"/>
  <c r="P74" i="11"/>
  <c r="AA74" i="11"/>
  <c r="AB74" i="11"/>
  <c r="AC74" i="11"/>
  <c r="AD74" i="11"/>
  <c r="AE74" i="11"/>
  <c r="AF74" i="11"/>
  <c r="AG74" i="11"/>
  <c r="AH74" i="11"/>
  <c r="AI74" i="11"/>
  <c r="AJ74" i="11"/>
  <c r="O75" i="11"/>
  <c r="AI75" i="11" s="1"/>
  <c r="P75" i="11"/>
  <c r="AJ75" i="11" s="1"/>
  <c r="AA75" i="11"/>
  <c r="AB75" i="11"/>
  <c r="AC75" i="11"/>
  <c r="AD75" i="11"/>
  <c r="AE75" i="11"/>
  <c r="AF75" i="11"/>
  <c r="AG75" i="11"/>
  <c r="AH75" i="11"/>
  <c r="O76" i="11"/>
  <c r="P76" i="11"/>
  <c r="AA76" i="11"/>
  <c r="AB76" i="11"/>
  <c r="AC76" i="11"/>
  <c r="AD76" i="11"/>
  <c r="AE76" i="11"/>
  <c r="AF76" i="11"/>
  <c r="AG76" i="11"/>
  <c r="AH76" i="11"/>
  <c r="AI76" i="11"/>
  <c r="AJ76" i="11"/>
  <c r="O77" i="11"/>
  <c r="P77" i="11"/>
  <c r="AA77" i="11"/>
  <c r="AB77" i="11"/>
  <c r="AC77" i="11"/>
  <c r="AD77" i="11"/>
  <c r="AE77" i="11"/>
  <c r="AF77" i="11"/>
  <c r="AG77" i="11"/>
  <c r="AH77" i="11"/>
  <c r="AI77" i="11"/>
  <c r="AJ77" i="11"/>
  <c r="O78" i="11"/>
  <c r="AI78" i="11" s="1"/>
  <c r="P78" i="11"/>
  <c r="AJ78" i="11" s="1"/>
  <c r="AA78" i="11"/>
  <c r="AB78" i="11"/>
  <c r="AC78" i="11"/>
  <c r="AD78" i="11"/>
  <c r="AE78" i="11"/>
  <c r="AF78" i="11"/>
  <c r="AG78" i="11"/>
  <c r="AH78" i="11"/>
  <c r="O79" i="11"/>
  <c r="P79" i="11"/>
  <c r="AA79" i="11"/>
  <c r="AB79" i="11"/>
  <c r="AC79" i="11"/>
  <c r="AD79" i="11"/>
  <c r="AE79" i="11"/>
  <c r="AF79" i="11"/>
  <c r="AG79" i="11"/>
  <c r="AH79" i="11"/>
  <c r="AI79" i="11"/>
  <c r="AJ79" i="11"/>
  <c r="O80" i="11"/>
  <c r="AI80" i="11" s="1"/>
  <c r="P80" i="11"/>
  <c r="AJ80" i="11" s="1"/>
  <c r="AA80" i="11"/>
  <c r="AB80" i="11"/>
  <c r="AC80" i="11"/>
  <c r="AD80" i="11"/>
  <c r="AE80" i="11"/>
  <c r="AF80" i="11"/>
  <c r="AG80" i="11"/>
  <c r="AH80" i="11"/>
  <c r="O81" i="11"/>
  <c r="P81" i="11"/>
  <c r="AA81" i="11"/>
  <c r="AB81" i="11"/>
  <c r="AC81" i="11"/>
  <c r="AD81" i="11"/>
  <c r="AE81" i="11"/>
  <c r="AF81" i="11"/>
  <c r="AG81" i="11"/>
  <c r="AH81" i="11"/>
  <c r="AI81" i="11"/>
  <c r="AJ81" i="11"/>
  <c r="O82" i="11"/>
  <c r="P82" i="11"/>
  <c r="AA82" i="11"/>
  <c r="AB82" i="11"/>
  <c r="AC82" i="11"/>
  <c r="AD82" i="11"/>
  <c r="AE82" i="11"/>
  <c r="AF82" i="11"/>
  <c r="AG82" i="11"/>
  <c r="AH82" i="11"/>
  <c r="AI82" i="11"/>
  <c r="AJ82" i="11"/>
  <c r="O83" i="11"/>
  <c r="AI83" i="11" s="1"/>
  <c r="P83" i="11"/>
  <c r="AJ83" i="11" s="1"/>
  <c r="AA83" i="11"/>
  <c r="AB83" i="11"/>
  <c r="AC83" i="11"/>
  <c r="AD83" i="11"/>
  <c r="AE83" i="11"/>
  <c r="AF83" i="11"/>
  <c r="AG83" i="11"/>
  <c r="AH83" i="11"/>
  <c r="O84" i="11"/>
  <c r="P84" i="11"/>
  <c r="AA84" i="11"/>
  <c r="AB84" i="11"/>
  <c r="AC84" i="11"/>
  <c r="AD84" i="11"/>
  <c r="AE84" i="11"/>
  <c r="AF84" i="11"/>
  <c r="AG84" i="11"/>
  <c r="AH84" i="11"/>
  <c r="AI84" i="11"/>
  <c r="AJ84" i="11"/>
  <c r="O85" i="11"/>
  <c r="AI85" i="11" s="1"/>
  <c r="P85" i="11"/>
  <c r="AJ85" i="11" s="1"/>
  <c r="AA85" i="11"/>
  <c r="AB85" i="11"/>
  <c r="AC85" i="11"/>
  <c r="AD85" i="11"/>
  <c r="AE85" i="11"/>
  <c r="AF85" i="11"/>
  <c r="AG85" i="11"/>
  <c r="AH85" i="11"/>
  <c r="O86" i="11"/>
  <c r="P86" i="11"/>
  <c r="AA86" i="11"/>
  <c r="AB86" i="11"/>
  <c r="AC86" i="11"/>
  <c r="AD86" i="11"/>
  <c r="AE86" i="11"/>
  <c r="AF86" i="11"/>
  <c r="AG86" i="11"/>
  <c r="AH86" i="11"/>
  <c r="AI86" i="11"/>
  <c r="AJ86" i="11"/>
  <c r="O87" i="11"/>
  <c r="P87" i="11"/>
  <c r="AA87" i="11"/>
  <c r="AB87" i="11"/>
  <c r="AC87" i="11"/>
  <c r="AD87" i="11"/>
  <c r="AE87" i="11"/>
  <c r="AF87" i="11"/>
  <c r="AG87" i="11"/>
  <c r="AH87" i="11"/>
  <c r="AI87" i="11"/>
  <c r="AJ87" i="11"/>
  <c r="O88" i="11"/>
  <c r="AI88" i="11" s="1"/>
  <c r="P88" i="11"/>
  <c r="AJ88" i="11" s="1"/>
  <c r="AA88" i="11"/>
  <c r="AB88" i="11"/>
  <c r="AC88" i="11"/>
  <c r="AD88" i="11"/>
  <c r="AE88" i="11"/>
  <c r="AF88" i="11"/>
  <c r="AG88" i="11"/>
  <c r="AH88" i="11"/>
  <c r="O89" i="11"/>
  <c r="P89" i="11"/>
  <c r="AA89" i="11"/>
  <c r="AB89" i="11"/>
  <c r="AC89" i="11"/>
  <c r="AD89" i="11"/>
  <c r="AE89" i="11"/>
  <c r="AF89" i="11"/>
  <c r="AG89" i="11"/>
  <c r="AH89" i="11"/>
  <c r="AI89" i="11"/>
  <c r="AJ89" i="11"/>
  <c r="O90" i="11"/>
  <c r="AI90" i="11" s="1"/>
  <c r="P90" i="11"/>
  <c r="AJ90" i="11" s="1"/>
  <c r="AA90" i="11"/>
  <c r="AB90" i="11"/>
  <c r="AC90" i="11"/>
  <c r="AD90" i="11"/>
  <c r="AE90" i="11"/>
  <c r="AF90" i="11"/>
  <c r="AG90" i="11"/>
  <c r="AH90" i="11"/>
  <c r="O91" i="11"/>
  <c r="P91" i="11"/>
  <c r="AA91" i="11"/>
  <c r="AB91" i="11"/>
  <c r="AC91" i="11"/>
  <c r="AD91" i="11"/>
  <c r="AE91" i="11"/>
  <c r="AF91" i="11"/>
  <c r="AG91" i="11"/>
  <c r="AH91" i="11"/>
  <c r="AI91" i="11"/>
  <c r="AJ91" i="11"/>
  <c r="O92" i="11"/>
  <c r="P92" i="11"/>
  <c r="AA92" i="11"/>
  <c r="AB92" i="11"/>
  <c r="AC92" i="11"/>
  <c r="AD92" i="11"/>
  <c r="AE92" i="11"/>
  <c r="AF92" i="11"/>
  <c r="AG92" i="11"/>
  <c r="AH92" i="11"/>
  <c r="AI92" i="11"/>
  <c r="AJ92" i="11"/>
  <c r="O93" i="11"/>
  <c r="AI93" i="11" s="1"/>
  <c r="P93" i="11"/>
  <c r="AJ93" i="11" s="1"/>
  <c r="AA93" i="11"/>
  <c r="AB93" i="11"/>
  <c r="AC93" i="11"/>
  <c r="AD93" i="11"/>
  <c r="AE93" i="11"/>
  <c r="AF93" i="11"/>
  <c r="AG93" i="11"/>
  <c r="AH93" i="11"/>
  <c r="O94" i="11"/>
  <c r="P94" i="11"/>
  <c r="AA94" i="11"/>
  <c r="AB94" i="11"/>
  <c r="AC94" i="11"/>
  <c r="AD94" i="11"/>
  <c r="AE94" i="11"/>
  <c r="AF94" i="11"/>
  <c r="AG94" i="11"/>
  <c r="AH94" i="11"/>
  <c r="AI94" i="11"/>
  <c r="AJ94" i="11"/>
  <c r="O95" i="11"/>
  <c r="AI95" i="11" s="1"/>
  <c r="P95" i="11"/>
  <c r="AJ95" i="11" s="1"/>
  <c r="AA95" i="11"/>
  <c r="AB95" i="11"/>
  <c r="AC95" i="11"/>
  <c r="AD95" i="11"/>
  <c r="AE95" i="11"/>
  <c r="AF95" i="11"/>
  <c r="AG95" i="11"/>
  <c r="AH95" i="11"/>
  <c r="O96" i="11"/>
  <c r="P96" i="11"/>
  <c r="AA96" i="11"/>
  <c r="AB96" i="11"/>
  <c r="AC96" i="11"/>
  <c r="AD96" i="11"/>
  <c r="AE96" i="11"/>
  <c r="AF96" i="11"/>
  <c r="AG96" i="11"/>
  <c r="AH96" i="11"/>
  <c r="AI96" i="11"/>
  <c r="AJ96" i="11"/>
  <c r="O97" i="11"/>
  <c r="P97" i="11"/>
  <c r="AA97" i="11"/>
  <c r="AB97" i="11"/>
  <c r="AC97" i="11"/>
  <c r="AD97" i="11"/>
  <c r="AE97" i="11"/>
  <c r="AF97" i="11"/>
  <c r="AG97" i="11"/>
  <c r="AH97" i="11"/>
  <c r="AI97" i="11"/>
  <c r="AJ97" i="11"/>
  <c r="O98" i="11"/>
  <c r="AI98" i="11" s="1"/>
  <c r="P98" i="11"/>
  <c r="AJ98" i="11" s="1"/>
  <c r="AA98" i="11"/>
  <c r="AB98" i="11"/>
  <c r="AC98" i="11"/>
  <c r="AD98" i="11"/>
  <c r="AE98" i="11"/>
  <c r="AF98" i="11"/>
  <c r="AG98" i="11"/>
  <c r="AH98" i="11"/>
  <c r="O99" i="11"/>
  <c r="P99" i="11"/>
  <c r="AA99" i="11"/>
  <c r="AB99" i="11"/>
  <c r="AC99" i="11"/>
  <c r="AD99" i="11"/>
  <c r="AE99" i="11"/>
  <c r="AF99" i="11"/>
  <c r="AG99" i="11"/>
  <c r="AH99" i="11"/>
  <c r="AI99" i="11"/>
  <c r="AJ99" i="11"/>
  <c r="O100" i="11"/>
  <c r="AI100" i="11" s="1"/>
  <c r="P100" i="11"/>
  <c r="AJ100" i="11" s="1"/>
  <c r="AA100" i="11"/>
  <c r="AB100" i="11"/>
  <c r="AC100" i="11"/>
  <c r="AD100" i="11"/>
  <c r="AE100" i="11"/>
  <c r="AF100" i="11"/>
  <c r="AG100" i="11"/>
  <c r="AH100" i="11"/>
  <c r="O101" i="11"/>
  <c r="P101" i="11"/>
  <c r="AA101" i="11"/>
  <c r="AB101" i="11"/>
  <c r="AC101" i="11"/>
  <c r="AD101" i="11"/>
  <c r="AE101" i="11"/>
  <c r="AF101" i="11"/>
  <c r="AG101" i="11"/>
  <c r="AH101" i="11"/>
  <c r="AI101" i="11"/>
  <c r="AJ101" i="11"/>
  <c r="O102" i="11"/>
  <c r="P102" i="11"/>
  <c r="AA102" i="11"/>
  <c r="AB102" i="11"/>
  <c r="AC102" i="11"/>
  <c r="AD102" i="11"/>
  <c r="AE102" i="11"/>
  <c r="AF102" i="11"/>
  <c r="AG102" i="11"/>
  <c r="AH102" i="11"/>
  <c r="AI102" i="11"/>
  <c r="AJ102" i="11"/>
  <c r="O103" i="11"/>
  <c r="AI103" i="11" s="1"/>
  <c r="P103" i="11"/>
  <c r="AJ103" i="11" s="1"/>
  <c r="AA103" i="11"/>
  <c r="AB103" i="11"/>
  <c r="AC103" i="11"/>
  <c r="AD103" i="11"/>
  <c r="AE103" i="11"/>
  <c r="AF103" i="11"/>
  <c r="AG103" i="11"/>
  <c r="AH103" i="11"/>
  <c r="O104" i="11"/>
  <c r="P104" i="11"/>
  <c r="AA104" i="11"/>
  <c r="AB104" i="11"/>
  <c r="AC104" i="11"/>
  <c r="AD104" i="11"/>
  <c r="AE104" i="11"/>
  <c r="AF104" i="11"/>
  <c r="AG104" i="11"/>
  <c r="AH104" i="11"/>
  <c r="AI104" i="11"/>
  <c r="AJ104" i="11"/>
  <c r="O105" i="11"/>
  <c r="AI105" i="11" s="1"/>
  <c r="P105" i="11"/>
  <c r="AJ105" i="11" s="1"/>
  <c r="AA105" i="11"/>
  <c r="AB105" i="11"/>
  <c r="AC105" i="11"/>
  <c r="AD105" i="11"/>
  <c r="AE105" i="11"/>
  <c r="AF105" i="11"/>
  <c r="AG105" i="11"/>
  <c r="AH105" i="11"/>
  <c r="O106" i="11"/>
  <c r="P106" i="11"/>
  <c r="AA106" i="11"/>
  <c r="AB106" i="11"/>
  <c r="AC106" i="11"/>
  <c r="AD106" i="11"/>
  <c r="AE106" i="11"/>
  <c r="AF106" i="11"/>
  <c r="AG106" i="11"/>
  <c r="AH106" i="11"/>
  <c r="AI106" i="11"/>
  <c r="AJ106" i="11"/>
  <c r="O107" i="11"/>
  <c r="P107" i="11"/>
  <c r="AA107" i="11"/>
  <c r="AB107" i="11"/>
  <c r="AC107" i="11"/>
  <c r="AD107" i="11"/>
  <c r="AE107" i="11"/>
  <c r="AF107" i="11"/>
  <c r="AG107" i="11"/>
  <c r="AH107" i="11"/>
  <c r="AI107" i="11"/>
  <c r="AJ107" i="11"/>
  <c r="O108" i="11"/>
  <c r="AI108" i="11" s="1"/>
  <c r="P108" i="11"/>
  <c r="AJ108" i="11" s="1"/>
  <c r="AA108" i="11"/>
  <c r="AB108" i="11"/>
  <c r="AC108" i="11"/>
  <c r="AD108" i="11"/>
  <c r="AE108" i="11"/>
  <c r="AF108" i="11"/>
  <c r="AG108" i="11"/>
  <c r="AH108" i="11"/>
  <c r="O109" i="11"/>
  <c r="P109" i="11"/>
  <c r="AA109" i="11"/>
  <c r="AB109" i="11"/>
  <c r="AC109" i="11"/>
  <c r="AD109" i="11"/>
  <c r="AE109" i="11"/>
  <c r="AF109" i="11"/>
  <c r="AG109" i="11"/>
  <c r="AH109" i="11"/>
  <c r="AI109" i="11"/>
  <c r="AJ109" i="11"/>
  <c r="O110" i="11"/>
  <c r="AI110" i="11" s="1"/>
  <c r="P110" i="11"/>
  <c r="AJ110" i="11" s="1"/>
  <c r="AA110" i="11"/>
  <c r="AB110" i="11"/>
  <c r="AC110" i="11"/>
  <c r="AD110" i="11"/>
  <c r="AE110" i="11"/>
  <c r="AF110" i="11"/>
  <c r="AG110" i="11"/>
  <c r="AH110" i="11"/>
  <c r="O111" i="11"/>
  <c r="P111" i="11"/>
  <c r="AA111" i="11"/>
  <c r="AB111" i="11"/>
  <c r="AC111" i="11"/>
  <c r="AD111" i="11"/>
  <c r="AE111" i="11"/>
  <c r="AF111" i="11"/>
  <c r="AG111" i="11"/>
  <c r="AH111" i="11"/>
  <c r="AI111" i="11"/>
  <c r="AJ111" i="11"/>
  <c r="O112" i="11"/>
  <c r="P112" i="11"/>
  <c r="AA112" i="11"/>
  <c r="AB112" i="11"/>
  <c r="AC112" i="11"/>
  <c r="AD112" i="11"/>
  <c r="AE112" i="11"/>
  <c r="AF112" i="11"/>
  <c r="AG112" i="11"/>
  <c r="AH112" i="11"/>
  <c r="AI112" i="11"/>
  <c r="AJ112" i="11"/>
  <c r="O113" i="11"/>
  <c r="AI113" i="11" s="1"/>
  <c r="P113" i="11"/>
  <c r="AJ113" i="11" s="1"/>
  <c r="AA113" i="11"/>
  <c r="AB113" i="11"/>
  <c r="AC113" i="11"/>
  <c r="AD113" i="11"/>
  <c r="AE113" i="11"/>
  <c r="AF113" i="11"/>
  <c r="AG113" i="11"/>
  <c r="AH113" i="11"/>
  <c r="O114" i="11"/>
  <c r="P114" i="11"/>
  <c r="AA114" i="11"/>
  <c r="AB114" i="11"/>
  <c r="AC114" i="11"/>
  <c r="AD114" i="11"/>
  <c r="AE114" i="11"/>
  <c r="AF114" i="11"/>
  <c r="AG114" i="11"/>
  <c r="AH114" i="11"/>
  <c r="AI114" i="11"/>
  <c r="AJ114" i="11"/>
  <c r="O115" i="11"/>
  <c r="AI115" i="11" s="1"/>
  <c r="P115" i="11"/>
  <c r="AJ115" i="11" s="1"/>
  <c r="AA115" i="11"/>
  <c r="AB115" i="11"/>
  <c r="AC115" i="11"/>
  <c r="AD115" i="11"/>
  <c r="AE115" i="11"/>
  <c r="AF115" i="11"/>
  <c r="AG115" i="11"/>
  <c r="AH115" i="11"/>
  <c r="O116" i="11"/>
  <c r="P116" i="11"/>
  <c r="AA116" i="11"/>
  <c r="AB116" i="11"/>
  <c r="AC116" i="11"/>
  <c r="AD116" i="11"/>
  <c r="AE116" i="11"/>
  <c r="AF116" i="11"/>
  <c r="AG116" i="11"/>
  <c r="AH116" i="11"/>
  <c r="AI116" i="11"/>
  <c r="AJ116" i="11"/>
  <c r="O117" i="11"/>
  <c r="P117" i="11"/>
  <c r="AA117" i="11"/>
  <c r="AB117" i="11"/>
  <c r="AC117" i="11"/>
  <c r="AD117" i="11"/>
  <c r="AE117" i="11"/>
  <c r="AF117" i="11"/>
  <c r="AG117" i="11"/>
  <c r="AH117" i="11"/>
  <c r="AI117" i="11"/>
  <c r="AJ117" i="11"/>
  <c r="O118" i="11"/>
  <c r="AI118" i="11" s="1"/>
  <c r="P118" i="11"/>
  <c r="AJ118" i="11" s="1"/>
  <c r="AA118" i="11"/>
  <c r="AB118" i="11"/>
  <c r="AC118" i="11"/>
  <c r="AD118" i="11"/>
  <c r="AE118" i="11"/>
  <c r="AF118" i="11"/>
  <c r="AG118" i="11"/>
  <c r="AH118" i="11"/>
  <c r="O119" i="11"/>
  <c r="P119" i="11"/>
  <c r="AA119" i="11"/>
  <c r="AB119" i="11"/>
  <c r="AC119" i="11"/>
  <c r="AD119" i="11"/>
  <c r="AE119" i="11"/>
  <c r="AF119" i="11"/>
  <c r="AG119" i="11"/>
  <c r="AH119" i="11"/>
  <c r="AI119" i="11"/>
  <c r="AJ119" i="11"/>
  <c r="O120" i="11"/>
  <c r="AI120" i="11" s="1"/>
  <c r="P120" i="11"/>
  <c r="AJ120" i="11" s="1"/>
  <c r="AA120" i="11"/>
  <c r="AB120" i="11"/>
  <c r="AC120" i="11"/>
  <c r="AD120" i="11"/>
  <c r="AE120" i="11"/>
  <c r="AF120" i="11"/>
  <c r="AG120" i="11"/>
  <c r="AH120" i="11"/>
  <c r="O121" i="11"/>
  <c r="P121" i="11"/>
  <c r="AA121" i="11"/>
  <c r="AB121" i="11"/>
  <c r="AC121" i="11"/>
  <c r="AD121" i="11"/>
  <c r="AE121" i="11"/>
  <c r="AF121" i="11"/>
  <c r="AG121" i="11"/>
  <c r="AH121" i="11"/>
  <c r="AI121" i="11"/>
  <c r="AJ121" i="11"/>
  <c r="O122" i="11"/>
  <c r="P122" i="11"/>
  <c r="AA122" i="11"/>
  <c r="AB122" i="11"/>
  <c r="AC122" i="11"/>
  <c r="AD122" i="11"/>
  <c r="AE122" i="11"/>
  <c r="AF122" i="11"/>
  <c r="AG122" i="11"/>
  <c r="AH122" i="11"/>
  <c r="AI122" i="11"/>
  <c r="AJ122" i="11"/>
  <c r="O123" i="11"/>
  <c r="AI123" i="11" s="1"/>
  <c r="P123" i="11"/>
  <c r="AJ123" i="11" s="1"/>
  <c r="AA123" i="11"/>
  <c r="AB123" i="11"/>
  <c r="AC123" i="11"/>
  <c r="AD123" i="11"/>
  <c r="AE123" i="11"/>
  <c r="AF123" i="11"/>
  <c r="AG123" i="11"/>
  <c r="AH123" i="11"/>
  <c r="O124" i="11"/>
  <c r="P124" i="11"/>
  <c r="AA124" i="11"/>
  <c r="AB124" i="11"/>
  <c r="AC124" i="11"/>
  <c r="AD124" i="11"/>
  <c r="AE124" i="11"/>
  <c r="AF124" i="11"/>
  <c r="AG124" i="11"/>
  <c r="AH124" i="11"/>
  <c r="AI124" i="11"/>
  <c r="AJ124" i="11"/>
  <c r="O125" i="11"/>
  <c r="AI125" i="11" s="1"/>
  <c r="P125" i="11"/>
  <c r="AJ125" i="11" s="1"/>
  <c r="AA125" i="11"/>
  <c r="AB125" i="11"/>
  <c r="AC125" i="11"/>
  <c r="AD125" i="11"/>
  <c r="AE125" i="11"/>
  <c r="AF125" i="11"/>
  <c r="AG125" i="11"/>
  <c r="AH125" i="11"/>
  <c r="O126" i="11"/>
  <c r="P126" i="11"/>
  <c r="AA126" i="11"/>
  <c r="AB126" i="11"/>
  <c r="AC126" i="11"/>
  <c r="AD126" i="11"/>
  <c r="AE126" i="11"/>
  <c r="AF126" i="11"/>
  <c r="AG126" i="11"/>
  <c r="AH126" i="11"/>
  <c r="AI126" i="11"/>
  <c r="AJ126" i="11"/>
  <c r="O127" i="11"/>
  <c r="P127" i="11"/>
  <c r="AA127" i="11"/>
  <c r="AB127" i="11"/>
  <c r="AC127" i="11"/>
  <c r="AD127" i="11"/>
  <c r="AE127" i="11"/>
  <c r="AF127" i="11"/>
  <c r="AG127" i="11"/>
  <c r="AH127" i="11"/>
  <c r="AI127" i="11"/>
  <c r="AJ127" i="11"/>
  <c r="O128" i="11"/>
  <c r="AI128" i="11" s="1"/>
  <c r="P128" i="11"/>
  <c r="AJ128" i="11" s="1"/>
  <c r="AA128" i="11"/>
  <c r="AB128" i="11"/>
  <c r="AC128" i="11"/>
  <c r="AD128" i="11"/>
  <c r="AE128" i="11"/>
  <c r="AF128" i="11"/>
  <c r="AG128" i="11"/>
  <c r="AH128" i="11"/>
  <c r="O129" i="11"/>
  <c r="P129" i="11"/>
  <c r="AA129" i="11"/>
  <c r="AB129" i="11"/>
  <c r="AC129" i="11"/>
  <c r="AD129" i="11"/>
  <c r="AE129" i="11"/>
  <c r="AF129" i="11"/>
  <c r="AG129" i="11"/>
  <c r="AH129" i="11"/>
  <c r="AI129" i="11"/>
  <c r="AJ129" i="11"/>
  <c r="O130" i="11"/>
  <c r="AI130" i="11" s="1"/>
  <c r="P130" i="11"/>
  <c r="AJ130" i="11" s="1"/>
  <c r="AA130" i="11"/>
  <c r="AB130" i="11"/>
  <c r="AC130" i="11"/>
  <c r="AD130" i="11"/>
  <c r="AE130" i="11"/>
  <c r="AF130" i="11"/>
  <c r="AG130" i="11"/>
  <c r="AH130" i="11"/>
  <c r="O131" i="11"/>
  <c r="P131" i="11"/>
  <c r="AA131" i="11"/>
  <c r="AB131" i="11"/>
  <c r="AC131" i="11"/>
  <c r="AD131" i="11"/>
  <c r="AE131" i="11"/>
  <c r="AF131" i="11"/>
  <c r="AG131" i="11"/>
  <c r="AH131" i="11"/>
  <c r="AI131" i="11"/>
  <c r="AJ131" i="11"/>
  <c r="O132" i="11"/>
  <c r="P132" i="11"/>
  <c r="AA132" i="11"/>
  <c r="AB132" i="11"/>
  <c r="AC132" i="11"/>
  <c r="AD132" i="11"/>
  <c r="AE132" i="11"/>
  <c r="AF132" i="11"/>
  <c r="AG132" i="11"/>
  <c r="AH132" i="11"/>
  <c r="AI132" i="11"/>
  <c r="AJ132" i="11"/>
  <c r="O133" i="11"/>
  <c r="AI133" i="11" s="1"/>
  <c r="P133" i="11"/>
  <c r="AJ133" i="11" s="1"/>
  <c r="AA133" i="11"/>
  <c r="AB133" i="11"/>
  <c r="AC133" i="11"/>
  <c r="AD133" i="11"/>
  <c r="AE133" i="11"/>
  <c r="AF133" i="11"/>
  <c r="AG133" i="11"/>
  <c r="AH133" i="11"/>
  <c r="O134" i="11"/>
  <c r="P134" i="11"/>
  <c r="AA134" i="11"/>
  <c r="AB134" i="11"/>
  <c r="AC134" i="11"/>
  <c r="AD134" i="11"/>
  <c r="AE134" i="11"/>
  <c r="AF134" i="11"/>
  <c r="AG134" i="11"/>
  <c r="AH134" i="11"/>
  <c r="AI134" i="11"/>
  <c r="AJ134" i="11"/>
  <c r="O135" i="11"/>
  <c r="AI135" i="11" s="1"/>
  <c r="P135" i="11"/>
  <c r="AJ135" i="11" s="1"/>
  <c r="AA135" i="11"/>
  <c r="AB135" i="11"/>
  <c r="AC135" i="11"/>
  <c r="AD135" i="11"/>
  <c r="AE135" i="11"/>
  <c r="AF135" i="11"/>
  <c r="AG135" i="11"/>
  <c r="AH135" i="11"/>
  <c r="O136" i="11"/>
  <c r="P136" i="11"/>
  <c r="AJ136" i="11" s="1"/>
  <c r="AA136" i="11"/>
  <c r="AB136" i="11"/>
  <c r="AC136" i="11"/>
  <c r="AD136" i="11"/>
  <c r="AE136" i="11"/>
  <c r="AF136" i="11"/>
  <c r="AG136" i="11"/>
  <c r="AH136" i="11"/>
  <c r="AI136" i="11"/>
  <c r="O137" i="11"/>
  <c r="P137" i="11"/>
  <c r="AA137" i="11"/>
  <c r="AB137" i="11"/>
  <c r="AC137" i="11"/>
  <c r="AD137" i="11"/>
  <c r="AE137" i="11"/>
  <c r="AF137" i="11"/>
  <c r="AG137" i="11"/>
  <c r="AH137" i="11"/>
  <c r="AI137" i="11"/>
  <c r="AJ137" i="11"/>
  <c r="O138" i="11"/>
  <c r="AI138" i="11" s="1"/>
  <c r="P138" i="11"/>
  <c r="AJ138" i="11" s="1"/>
  <c r="AA138" i="11"/>
  <c r="AB138" i="11"/>
  <c r="AC138" i="11"/>
  <c r="AD138" i="11"/>
  <c r="AE138" i="11"/>
  <c r="AF138" i="11"/>
  <c r="AG138" i="11"/>
  <c r="AH138" i="11"/>
  <c r="O139" i="11"/>
  <c r="P139" i="11"/>
  <c r="AA139" i="11"/>
  <c r="AB139" i="11"/>
  <c r="AC139" i="11"/>
  <c r="AD139" i="11"/>
  <c r="AE139" i="11"/>
  <c r="AF139" i="11"/>
  <c r="AG139" i="11"/>
  <c r="AH139" i="11"/>
  <c r="AI139" i="11"/>
  <c r="AJ139" i="11"/>
  <c r="O140" i="11"/>
  <c r="AI140" i="11" s="1"/>
  <c r="P140" i="11"/>
  <c r="AJ140" i="11" s="1"/>
  <c r="AA140" i="11"/>
  <c r="AB140" i="11"/>
  <c r="AC140" i="11"/>
  <c r="AD140" i="11"/>
  <c r="AE140" i="11"/>
  <c r="AF140" i="11"/>
  <c r="AG140" i="11"/>
  <c r="AH140" i="11"/>
  <c r="O141" i="11"/>
  <c r="P141" i="11"/>
  <c r="AJ141" i="11" s="1"/>
  <c r="AA141" i="11"/>
  <c r="AB141" i="11"/>
  <c r="AC141" i="11"/>
  <c r="AD141" i="11"/>
  <c r="AE141" i="11"/>
  <c r="AF141" i="11"/>
  <c r="AG141" i="11"/>
  <c r="AH141" i="11"/>
  <c r="AI141" i="11"/>
  <c r="O142" i="11"/>
  <c r="P142" i="11"/>
  <c r="AA142" i="11"/>
  <c r="AB142" i="11"/>
  <c r="AC142" i="11"/>
  <c r="AD142" i="11"/>
  <c r="AE142" i="11"/>
  <c r="AF142" i="11"/>
  <c r="AG142" i="11"/>
  <c r="AH142" i="11"/>
  <c r="AI142" i="11"/>
  <c r="AJ142" i="11"/>
  <c r="O143" i="11"/>
  <c r="AI143" i="11" s="1"/>
  <c r="P143" i="11"/>
  <c r="AJ143" i="11" s="1"/>
  <c r="AA143" i="11"/>
  <c r="AB143" i="11"/>
  <c r="AC143" i="11"/>
  <c r="AD143" i="11"/>
  <c r="AE143" i="11"/>
  <c r="AF143" i="11"/>
  <c r="AG143" i="11"/>
  <c r="AH143" i="11"/>
  <c r="O144" i="11"/>
  <c r="P144" i="11"/>
  <c r="AA144" i="11"/>
  <c r="AB144" i="11"/>
  <c r="AC144" i="11"/>
  <c r="AD144" i="11"/>
  <c r="AE144" i="11"/>
  <c r="AF144" i="11"/>
  <c r="AG144" i="11"/>
  <c r="AH144" i="11"/>
  <c r="AI144" i="11"/>
  <c r="AJ144" i="11"/>
  <c r="O145" i="11"/>
  <c r="AI145" i="11" s="1"/>
  <c r="P145" i="11"/>
  <c r="AJ145" i="11" s="1"/>
  <c r="AA145" i="11"/>
  <c r="AB145" i="11"/>
  <c r="AC145" i="11"/>
  <c r="AD145" i="11"/>
  <c r="AE145" i="11"/>
  <c r="AF145" i="11"/>
  <c r="AG145" i="11"/>
  <c r="AH145" i="11"/>
  <c r="O146" i="11"/>
  <c r="P146" i="11"/>
  <c r="AJ146" i="11" s="1"/>
  <c r="AA146" i="11"/>
  <c r="AB146" i="11"/>
  <c r="AC146" i="11"/>
  <c r="AD146" i="11"/>
  <c r="AE146" i="11"/>
  <c r="AF146" i="11"/>
  <c r="AG146" i="11"/>
  <c r="AH146" i="11"/>
  <c r="AI146" i="11"/>
  <c r="O147" i="11"/>
  <c r="P147" i="11"/>
  <c r="AA147" i="11"/>
  <c r="AB147" i="11"/>
  <c r="AC147" i="11"/>
  <c r="AD147" i="11"/>
  <c r="AE147" i="11"/>
  <c r="AF147" i="11"/>
  <c r="AG147" i="11"/>
  <c r="AH147" i="11"/>
  <c r="AI147" i="11"/>
  <c r="AJ147" i="11"/>
  <c r="O148" i="11"/>
  <c r="AI148" i="11" s="1"/>
  <c r="P148" i="11"/>
  <c r="AJ148" i="11" s="1"/>
  <c r="AA148" i="11"/>
  <c r="AB148" i="11"/>
  <c r="AC148" i="11"/>
  <c r="AD148" i="11"/>
  <c r="AE148" i="11"/>
  <c r="AF148" i="11"/>
  <c r="AG148" i="11"/>
  <c r="AH148" i="11"/>
  <c r="O149" i="11"/>
  <c r="P149" i="11"/>
  <c r="AA149" i="11"/>
  <c r="AB149" i="11"/>
  <c r="AC149" i="11"/>
  <c r="AD149" i="11"/>
  <c r="AE149" i="11"/>
  <c r="AF149" i="11"/>
  <c r="AG149" i="11"/>
  <c r="AH149" i="11"/>
  <c r="AI149" i="11"/>
  <c r="AJ149" i="11"/>
  <c r="O150" i="11"/>
  <c r="AI150" i="11" s="1"/>
  <c r="P150" i="11"/>
  <c r="AJ150" i="11" s="1"/>
  <c r="AA150" i="11"/>
  <c r="AB150" i="11"/>
  <c r="AC150" i="11"/>
  <c r="AD150" i="11"/>
  <c r="AE150" i="11"/>
  <c r="AF150" i="11"/>
  <c r="AG150" i="11"/>
  <c r="AH150" i="11"/>
  <c r="O151" i="11"/>
  <c r="P151" i="11"/>
  <c r="AJ151" i="11" s="1"/>
  <c r="AA151" i="11"/>
  <c r="AB151" i="11"/>
  <c r="AC151" i="11"/>
  <c r="AD151" i="11"/>
  <c r="AE151" i="11"/>
  <c r="AF151" i="11"/>
  <c r="AG151" i="11"/>
  <c r="AH151" i="11"/>
  <c r="AI151" i="11"/>
  <c r="O152" i="11"/>
  <c r="P152" i="11"/>
  <c r="AA152" i="11"/>
  <c r="AB152" i="11"/>
  <c r="AC152" i="11"/>
  <c r="AD152" i="11"/>
  <c r="AE152" i="11"/>
  <c r="AF152" i="11"/>
  <c r="AG152" i="11"/>
  <c r="AH152" i="11"/>
  <c r="AI152" i="11"/>
  <c r="AJ152" i="11"/>
  <c r="O153" i="11"/>
  <c r="AI153" i="11" s="1"/>
  <c r="P153" i="11"/>
  <c r="AJ153" i="11" s="1"/>
  <c r="AA153" i="11"/>
  <c r="AB153" i="11"/>
  <c r="AC153" i="11"/>
  <c r="AD153" i="11"/>
  <c r="AE153" i="11"/>
  <c r="AF153" i="11"/>
  <c r="AG153" i="11"/>
  <c r="AH153" i="11"/>
  <c r="O154" i="11"/>
  <c r="P154" i="11"/>
  <c r="AA154" i="11"/>
  <c r="AB154" i="11"/>
  <c r="AC154" i="11"/>
  <c r="AD154" i="11"/>
  <c r="AE154" i="11"/>
  <c r="AF154" i="11"/>
  <c r="AG154" i="11"/>
  <c r="AH154" i="11"/>
  <c r="AI154" i="11"/>
  <c r="AJ154" i="11"/>
  <c r="O155" i="11"/>
  <c r="AI155" i="11" s="1"/>
  <c r="P155" i="11"/>
  <c r="AJ155" i="11" s="1"/>
  <c r="AA155" i="11"/>
  <c r="AB155" i="11"/>
  <c r="AC155" i="11"/>
  <c r="AD155" i="11"/>
  <c r="AE155" i="11"/>
  <c r="AF155" i="11"/>
  <c r="AG155" i="11"/>
  <c r="AH155" i="11"/>
  <c r="O156" i="11"/>
  <c r="P156" i="11"/>
  <c r="AJ156" i="11" s="1"/>
  <c r="AA156" i="11"/>
  <c r="AB156" i="11"/>
  <c r="AC156" i="11"/>
  <c r="AD156" i="11"/>
  <c r="AE156" i="11"/>
  <c r="AF156" i="11"/>
  <c r="AG156" i="11"/>
  <c r="AH156" i="11"/>
  <c r="AI156" i="11"/>
  <c r="O157" i="11"/>
  <c r="P157" i="11"/>
  <c r="AA157" i="11"/>
  <c r="AB157" i="11"/>
  <c r="AC157" i="11"/>
  <c r="AD157" i="11"/>
  <c r="AE157" i="11"/>
  <c r="AF157" i="11"/>
  <c r="AG157" i="11"/>
  <c r="AH157" i="11"/>
  <c r="AI157" i="11"/>
  <c r="AJ157" i="11"/>
  <c r="O158" i="11"/>
  <c r="AI158" i="11" s="1"/>
  <c r="P158" i="11"/>
  <c r="AJ158" i="11" s="1"/>
  <c r="AA158" i="11"/>
  <c r="AB158" i="11"/>
  <c r="AC158" i="11"/>
  <c r="AD158" i="11"/>
  <c r="AE158" i="11"/>
  <c r="AF158" i="11"/>
  <c r="AG158" i="11"/>
  <c r="AH158" i="11"/>
  <c r="O159" i="11"/>
  <c r="P159" i="11"/>
  <c r="AA159" i="11"/>
  <c r="AB159" i="11"/>
  <c r="AC159" i="11"/>
  <c r="AD159" i="11"/>
  <c r="AE159" i="11"/>
  <c r="AF159" i="11"/>
  <c r="AG159" i="11"/>
  <c r="AH159" i="11"/>
  <c r="AI159" i="11"/>
  <c r="AJ159" i="11"/>
  <c r="O160" i="11"/>
  <c r="AI160" i="11" s="1"/>
  <c r="P160" i="11"/>
  <c r="AJ160" i="11" s="1"/>
  <c r="AA160" i="11"/>
  <c r="AB160" i="11"/>
  <c r="AC160" i="11"/>
  <c r="AD160" i="11"/>
  <c r="AE160" i="11"/>
  <c r="AF160" i="11"/>
  <c r="AG160" i="11"/>
  <c r="AH160" i="11"/>
  <c r="O161" i="11"/>
  <c r="P161" i="11"/>
  <c r="AJ161" i="11" s="1"/>
  <c r="AA161" i="11"/>
  <c r="AB161" i="11"/>
  <c r="AC161" i="11"/>
  <c r="AD161" i="11"/>
  <c r="AE161" i="11"/>
  <c r="AF161" i="11"/>
  <c r="AG161" i="11"/>
  <c r="AH161" i="11"/>
  <c r="AI161" i="11"/>
  <c r="O162" i="11"/>
  <c r="P162" i="11"/>
  <c r="AA162" i="11"/>
  <c r="AB162" i="11"/>
  <c r="AC162" i="11"/>
  <c r="AD162" i="11"/>
  <c r="AE162" i="11"/>
  <c r="AF162" i="11"/>
  <c r="AG162" i="11"/>
  <c r="AH162" i="11"/>
  <c r="AI162" i="11"/>
  <c r="AJ162" i="11"/>
  <c r="O163" i="11"/>
  <c r="AI163" i="11" s="1"/>
  <c r="P163" i="11"/>
  <c r="AJ163" i="11" s="1"/>
  <c r="AA163" i="11"/>
  <c r="AB163" i="11"/>
  <c r="AC163" i="11"/>
  <c r="AD163" i="11"/>
  <c r="AE163" i="11"/>
  <c r="AF163" i="11"/>
  <c r="AG163" i="11"/>
  <c r="AH163" i="11"/>
  <c r="O164" i="11"/>
  <c r="P164" i="11"/>
  <c r="AA164" i="11"/>
  <c r="AB164" i="11"/>
  <c r="AC164" i="11"/>
  <c r="AD164" i="11"/>
  <c r="AE164" i="11"/>
  <c r="AF164" i="11"/>
  <c r="AG164" i="11"/>
  <c r="AH164" i="11"/>
  <c r="AI164" i="11"/>
  <c r="AJ164" i="11"/>
  <c r="O165" i="11"/>
  <c r="AI165" i="11" s="1"/>
  <c r="P165" i="11"/>
  <c r="AJ165" i="11" s="1"/>
  <c r="AA165" i="11"/>
  <c r="AB165" i="11"/>
  <c r="AC165" i="11"/>
  <c r="AD165" i="11"/>
  <c r="AE165" i="11"/>
  <c r="AF165" i="11"/>
  <c r="AG165" i="11"/>
  <c r="AH165" i="11"/>
  <c r="O166" i="11"/>
  <c r="P166" i="11"/>
  <c r="AJ166" i="11" s="1"/>
  <c r="AA166" i="11"/>
  <c r="AB166" i="11"/>
  <c r="AC166" i="11"/>
  <c r="AD166" i="11"/>
  <c r="AE166" i="11"/>
  <c r="AF166" i="11"/>
  <c r="AG166" i="11"/>
  <c r="AH166" i="11"/>
  <c r="AI166" i="11"/>
  <c r="O167" i="11"/>
  <c r="P167" i="11"/>
  <c r="AA167" i="11"/>
  <c r="AB167" i="11"/>
  <c r="AC167" i="11"/>
  <c r="AD167" i="11"/>
  <c r="AE167" i="11"/>
  <c r="AF167" i="11"/>
  <c r="AG167" i="11"/>
  <c r="AH167" i="11"/>
  <c r="AI167" i="11"/>
  <c r="AJ167" i="11"/>
  <c r="O168" i="11"/>
  <c r="AI168" i="11" s="1"/>
  <c r="P168" i="11"/>
  <c r="AJ168" i="11" s="1"/>
  <c r="AA168" i="11"/>
  <c r="AB168" i="11"/>
  <c r="AC168" i="11"/>
  <c r="AD168" i="11"/>
  <c r="AE168" i="11"/>
  <c r="AF168" i="11"/>
  <c r="AG168" i="11"/>
  <c r="AH168" i="11"/>
  <c r="O169" i="11"/>
  <c r="P169" i="11"/>
  <c r="AA169" i="11"/>
  <c r="AB169" i="11"/>
  <c r="AC169" i="11"/>
  <c r="AD169" i="11"/>
  <c r="AE169" i="11"/>
  <c r="AF169" i="11"/>
  <c r="AG169" i="11"/>
  <c r="AH169" i="11"/>
  <c r="AI169" i="11"/>
  <c r="AJ169" i="11"/>
  <c r="O170" i="11"/>
  <c r="AI170" i="11" s="1"/>
  <c r="P170" i="11"/>
  <c r="AJ170" i="11" s="1"/>
  <c r="AA170" i="11"/>
  <c r="AB170" i="11"/>
  <c r="AC170" i="11"/>
  <c r="AD170" i="11"/>
  <c r="AE170" i="11"/>
  <c r="AF170" i="11"/>
  <c r="AG170" i="11"/>
  <c r="AH170" i="11"/>
  <c r="O171" i="11"/>
  <c r="P171" i="11"/>
  <c r="AJ171" i="11" s="1"/>
  <c r="AA171" i="11"/>
  <c r="AB171" i="11"/>
  <c r="AC171" i="11"/>
  <c r="AD171" i="11"/>
  <c r="AE171" i="11"/>
  <c r="AF171" i="11"/>
  <c r="AG171" i="11"/>
  <c r="AH171" i="11"/>
  <c r="AI171" i="11"/>
  <c r="O172" i="11"/>
  <c r="P172" i="11"/>
  <c r="AA172" i="11"/>
  <c r="AB172" i="11"/>
  <c r="AC172" i="11"/>
  <c r="AD172" i="11"/>
  <c r="AE172" i="11"/>
  <c r="AF172" i="11"/>
  <c r="AG172" i="11"/>
  <c r="AH172" i="11"/>
  <c r="AI172" i="11"/>
  <c r="AJ172" i="11"/>
  <c r="O173" i="11"/>
  <c r="AI173" i="11" s="1"/>
  <c r="P173" i="11"/>
  <c r="AJ173" i="11" s="1"/>
  <c r="AA173" i="11"/>
  <c r="AB173" i="11"/>
  <c r="AC173" i="11"/>
  <c r="AD173" i="11"/>
  <c r="AE173" i="11"/>
  <c r="AF173" i="11"/>
  <c r="AG173" i="11"/>
  <c r="AH173" i="11"/>
  <c r="O174" i="11"/>
  <c r="P174" i="11"/>
  <c r="AA174" i="11"/>
  <c r="AB174" i="11"/>
  <c r="AC174" i="11"/>
  <c r="AD174" i="11"/>
  <c r="AE174" i="11"/>
  <c r="AF174" i="11"/>
  <c r="AG174" i="11"/>
  <c r="AH174" i="11"/>
  <c r="AI174" i="11"/>
  <c r="AJ174" i="11"/>
  <c r="O175" i="11"/>
  <c r="AI175" i="11" s="1"/>
  <c r="P175" i="11"/>
  <c r="AJ175" i="11" s="1"/>
  <c r="AA175" i="11"/>
  <c r="AB175" i="11"/>
  <c r="AC175" i="11"/>
  <c r="AD175" i="11"/>
  <c r="AE175" i="11"/>
  <c r="AF175" i="11"/>
  <c r="AG175" i="11"/>
  <c r="AH175" i="11"/>
  <c r="O176" i="11"/>
  <c r="P176" i="11"/>
  <c r="AJ176" i="11" s="1"/>
  <c r="AA176" i="11"/>
  <c r="AB176" i="11"/>
  <c r="AC176" i="11"/>
  <c r="AD176" i="11"/>
  <c r="AE176" i="11"/>
  <c r="AF176" i="11"/>
  <c r="AG176" i="11"/>
  <c r="AH176" i="11"/>
  <c r="AI176" i="11"/>
  <c r="O177" i="11"/>
  <c r="P177" i="11"/>
  <c r="AA177" i="11"/>
  <c r="AB177" i="11"/>
  <c r="AC177" i="11"/>
  <c r="AD177" i="11"/>
  <c r="AE177" i="11"/>
  <c r="AF177" i="11"/>
  <c r="AG177" i="11"/>
  <c r="AH177" i="11"/>
  <c r="AI177" i="11"/>
  <c r="AJ177" i="11"/>
  <c r="O178" i="11"/>
  <c r="AI178" i="11" s="1"/>
  <c r="P178" i="11"/>
  <c r="AJ178" i="11" s="1"/>
  <c r="AA178" i="11"/>
  <c r="AB178" i="11"/>
  <c r="AC178" i="11"/>
  <c r="AD178" i="11"/>
  <c r="AE178" i="11"/>
  <c r="AF178" i="11"/>
  <c r="AG178" i="11"/>
  <c r="AH178" i="11"/>
  <c r="O179" i="11"/>
  <c r="P179" i="11"/>
  <c r="AA179" i="11"/>
  <c r="AB179" i="11"/>
  <c r="AC179" i="11"/>
  <c r="AD179" i="11"/>
  <c r="AE179" i="11"/>
  <c r="AF179" i="11"/>
  <c r="AG179" i="11"/>
  <c r="AH179" i="11"/>
  <c r="AI179" i="11"/>
  <c r="AJ179" i="11"/>
  <c r="O180" i="11"/>
  <c r="AI180" i="11" s="1"/>
  <c r="P180" i="11"/>
  <c r="AJ180" i="11" s="1"/>
  <c r="AA180" i="11"/>
  <c r="AB180" i="11"/>
  <c r="AC180" i="11"/>
  <c r="AD180" i="11"/>
  <c r="AE180" i="11"/>
  <c r="AF180" i="11"/>
  <c r="AG180" i="11"/>
  <c r="AH180" i="11"/>
  <c r="O181" i="11"/>
  <c r="P181" i="11"/>
  <c r="AJ181" i="11" s="1"/>
  <c r="AA181" i="11"/>
  <c r="AB181" i="11"/>
  <c r="AC181" i="11"/>
  <c r="AD181" i="11"/>
  <c r="AE181" i="11"/>
  <c r="AF181" i="11"/>
  <c r="AG181" i="11"/>
  <c r="AH181" i="11"/>
  <c r="AI181" i="11"/>
  <c r="O182" i="11"/>
  <c r="P182" i="11"/>
  <c r="AA182" i="11"/>
  <c r="AB182" i="11"/>
  <c r="AC182" i="11"/>
  <c r="AD182" i="11"/>
  <c r="AE182" i="11"/>
  <c r="AF182" i="11"/>
  <c r="AG182" i="11"/>
  <c r="AH182" i="11"/>
  <c r="AI182" i="11"/>
  <c r="AJ182" i="11"/>
  <c r="O183" i="11"/>
  <c r="AI183" i="11" s="1"/>
  <c r="P183" i="11"/>
  <c r="AJ183" i="11" s="1"/>
  <c r="AA183" i="11"/>
  <c r="AB183" i="11"/>
  <c r="AC183" i="11"/>
  <c r="AD183" i="11"/>
  <c r="AE183" i="11"/>
  <c r="AF183" i="11"/>
  <c r="AG183" i="11"/>
  <c r="AH183" i="11"/>
  <c r="O184" i="11"/>
  <c r="P184" i="11"/>
  <c r="AA184" i="11"/>
  <c r="AB184" i="11"/>
  <c r="AC184" i="11"/>
  <c r="AD184" i="11"/>
  <c r="AE184" i="11"/>
  <c r="AF184" i="11"/>
  <c r="AG184" i="11"/>
  <c r="AH184" i="11"/>
  <c r="AI184" i="11"/>
  <c r="AJ184" i="11"/>
  <c r="O185" i="11"/>
  <c r="AI185" i="11" s="1"/>
  <c r="P185" i="11"/>
  <c r="AJ185" i="11" s="1"/>
  <c r="AA185" i="11"/>
  <c r="AB185" i="11"/>
  <c r="AC185" i="11"/>
  <c r="AD185" i="11"/>
  <c r="AE185" i="11"/>
  <c r="AF185" i="11"/>
  <c r="AG185" i="11"/>
  <c r="AH185" i="11"/>
  <c r="O186" i="11"/>
  <c r="P186" i="11"/>
  <c r="AJ186" i="11" s="1"/>
  <c r="AA186" i="11"/>
  <c r="AB186" i="11"/>
  <c r="AC186" i="11"/>
  <c r="AD186" i="11"/>
  <c r="AE186" i="11"/>
  <c r="AF186" i="11"/>
  <c r="AG186" i="11"/>
  <c r="AH186" i="11"/>
  <c r="AI186" i="11"/>
  <c r="O187" i="11"/>
  <c r="P187" i="11"/>
  <c r="AA187" i="11"/>
  <c r="AB187" i="11"/>
  <c r="AC187" i="11"/>
  <c r="AD187" i="11"/>
  <c r="AE187" i="11"/>
  <c r="AF187" i="11"/>
  <c r="AG187" i="11"/>
  <c r="AH187" i="11"/>
  <c r="AI187" i="11"/>
  <c r="AJ187" i="11"/>
  <c r="O188" i="11"/>
  <c r="AI188" i="11" s="1"/>
  <c r="P188" i="11"/>
  <c r="AJ188" i="11" s="1"/>
  <c r="AA188" i="11"/>
  <c r="AB188" i="11"/>
  <c r="AC188" i="11"/>
  <c r="AD188" i="11"/>
  <c r="AE188" i="11"/>
  <c r="AF188" i="11"/>
  <c r="AG188" i="11"/>
  <c r="AH188" i="11"/>
  <c r="O189" i="11"/>
  <c r="P189" i="11"/>
  <c r="AA189" i="11"/>
  <c r="AB189" i="11"/>
  <c r="AC189" i="11"/>
  <c r="AD189" i="11"/>
  <c r="AE189" i="11"/>
  <c r="AF189" i="11"/>
  <c r="AG189" i="11"/>
  <c r="AH189" i="11"/>
  <c r="AI189" i="11"/>
  <c r="AJ189" i="11"/>
  <c r="O190" i="11"/>
  <c r="AI190" i="11" s="1"/>
  <c r="P190" i="11"/>
  <c r="AJ190" i="11" s="1"/>
  <c r="AA190" i="11"/>
  <c r="AB190" i="11"/>
  <c r="AC190" i="11"/>
  <c r="AD190" i="11"/>
  <c r="AE190" i="11"/>
  <c r="AF190" i="11"/>
  <c r="AG190" i="11"/>
  <c r="AH190" i="11"/>
  <c r="O191" i="11"/>
  <c r="P191" i="11"/>
  <c r="AJ191" i="11" s="1"/>
  <c r="AA191" i="11"/>
  <c r="AB191" i="11"/>
  <c r="AC191" i="11"/>
  <c r="AD191" i="11"/>
  <c r="AE191" i="11"/>
  <c r="AF191" i="11"/>
  <c r="AG191" i="11"/>
  <c r="AH191" i="11"/>
  <c r="AI191" i="11"/>
  <c r="O192" i="11"/>
  <c r="P192" i="11"/>
  <c r="AA192" i="11"/>
  <c r="AB192" i="11"/>
  <c r="AC192" i="11"/>
  <c r="AD192" i="11"/>
  <c r="AE192" i="11"/>
  <c r="AF192" i="11"/>
  <c r="AG192" i="11"/>
  <c r="AH192" i="11"/>
  <c r="AI192" i="11"/>
  <c r="AJ192" i="11"/>
  <c r="O193" i="11"/>
  <c r="AI193" i="11" s="1"/>
  <c r="P193" i="11"/>
  <c r="AJ193" i="11" s="1"/>
  <c r="AA193" i="11"/>
  <c r="AB193" i="11"/>
  <c r="AC193" i="11"/>
  <c r="AD193" i="11"/>
  <c r="AE193" i="11"/>
  <c r="AF193" i="11"/>
  <c r="AG193" i="11"/>
  <c r="AH193" i="11"/>
  <c r="O194" i="11"/>
  <c r="P194" i="11"/>
  <c r="AA194" i="11"/>
  <c r="AB194" i="11"/>
  <c r="AC194" i="11"/>
  <c r="AD194" i="11"/>
  <c r="AE194" i="11"/>
  <c r="AF194" i="11"/>
  <c r="AG194" i="11"/>
  <c r="AH194" i="11"/>
  <c r="AI194" i="11"/>
  <c r="AJ194" i="11"/>
  <c r="O195" i="11"/>
  <c r="AI195" i="11" s="1"/>
  <c r="P195" i="11"/>
  <c r="AJ195" i="11" s="1"/>
  <c r="AA195" i="11"/>
  <c r="AB195" i="11"/>
  <c r="AC195" i="11"/>
  <c r="AD195" i="11"/>
  <c r="AE195" i="11"/>
  <c r="AF195" i="11"/>
  <c r="AG195" i="11"/>
  <c r="AH195" i="11"/>
  <c r="O196" i="11"/>
  <c r="P196" i="11"/>
  <c r="AJ196" i="11" s="1"/>
  <c r="AA196" i="11"/>
  <c r="AB196" i="11"/>
  <c r="AC196" i="11"/>
  <c r="AD196" i="11"/>
  <c r="AE196" i="11"/>
  <c r="AF196" i="11"/>
  <c r="AG196" i="11"/>
  <c r="AH196" i="11"/>
  <c r="AI196" i="11"/>
  <c r="O197" i="11"/>
  <c r="P197" i="11"/>
  <c r="AA197" i="11"/>
  <c r="AB197" i="11"/>
  <c r="AC197" i="11"/>
  <c r="AD197" i="11"/>
  <c r="AE197" i="11"/>
  <c r="AF197" i="11"/>
  <c r="AG197" i="11"/>
  <c r="AH197" i="11"/>
  <c r="AI197" i="11"/>
  <c r="AJ197" i="11"/>
  <c r="O198" i="11"/>
  <c r="AI198" i="11" s="1"/>
  <c r="P198" i="11"/>
  <c r="AJ198" i="11" s="1"/>
  <c r="AA198" i="11"/>
  <c r="AB198" i="11"/>
  <c r="AC198" i="11"/>
  <c r="AD198" i="11"/>
  <c r="AE198" i="11"/>
  <c r="AF198" i="11"/>
  <c r="AG198" i="11"/>
  <c r="AH198" i="11"/>
  <c r="O199" i="11"/>
  <c r="P199" i="11"/>
  <c r="AA199" i="11"/>
  <c r="AB199" i="11"/>
  <c r="AC199" i="11"/>
  <c r="AD199" i="11"/>
  <c r="AE199" i="11"/>
  <c r="AF199" i="11"/>
  <c r="AG199" i="11"/>
  <c r="AH199" i="11"/>
  <c r="AI199" i="11"/>
  <c r="AJ199" i="11"/>
  <c r="O200" i="11"/>
  <c r="AI200" i="11" s="1"/>
  <c r="P200" i="11"/>
  <c r="AJ200" i="11" s="1"/>
  <c r="AA200" i="11"/>
  <c r="AB200" i="11"/>
  <c r="AC200" i="11"/>
  <c r="AD200" i="11"/>
  <c r="AE200" i="11"/>
  <c r="AF200" i="11"/>
  <c r="AG200" i="11"/>
  <c r="AH200" i="11"/>
  <c r="O201" i="11"/>
  <c r="P201" i="11"/>
  <c r="AJ201" i="11" s="1"/>
  <c r="AA201" i="11"/>
  <c r="AB201" i="11"/>
  <c r="AC201" i="11"/>
  <c r="AD201" i="11"/>
  <c r="AE201" i="11"/>
  <c r="AF201" i="11"/>
  <c r="AG201" i="11"/>
  <c r="AH201" i="11"/>
  <c r="AI201" i="11"/>
  <c r="O202" i="11"/>
  <c r="P202" i="11"/>
  <c r="AA202" i="11"/>
  <c r="AB202" i="11"/>
  <c r="AC202" i="11"/>
  <c r="AD202" i="11"/>
  <c r="AE202" i="11"/>
  <c r="AF202" i="11"/>
  <c r="AG202" i="11"/>
  <c r="AH202" i="11"/>
  <c r="AI202" i="11"/>
  <c r="AJ202" i="11"/>
  <c r="O203" i="11"/>
  <c r="AI203" i="11" s="1"/>
  <c r="P203" i="11"/>
  <c r="AJ203" i="11" s="1"/>
  <c r="AA203" i="11"/>
  <c r="AB203" i="11"/>
  <c r="AC203" i="11"/>
  <c r="AD203" i="11"/>
  <c r="AE203" i="11"/>
  <c r="AF203" i="11"/>
  <c r="AG203" i="11"/>
  <c r="AH203" i="11"/>
  <c r="O204" i="11"/>
  <c r="P204" i="11"/>
  <c r="AA204" i="11"/>
  <c r="AB204" i="11"/>
  <c r="AC204" i="11"/>
  <c r="AD204" i="11"/>
  <c r="AE204" i="11"/>
  <c r="AF204" i="11"/>
  <c r="AG204" i="11"/>
  <c r="AH204" i="11"/>
  <c r="AI204" i="11"/>
  <c r="AJ204" i="11"/>
  <c r="O205" i="11"/>
  <c r="AI205" i="11" s="1"/>
  <c r="P205" i="11"/>
  <c r="AJ205" i="11" s="1"/>
  <c r="AA205" i="11"/>
  <c r="AB205" i="11"/>
  <c r="AC205" i="11"/>
  <c r="AD205" i="11"/>
  <c r="AE205" i="11"/>
  <c r="AF205" i="11"/>
  <c r="AG205" i="11"/>
  <c r="AH205" i="11"/>
  <c r="O206" i="11"/>
  <c r="P206" i="11"/>
  <c r="AJ206" i="11" s="1"/>
  <c r="AA206" i="11"/>
  <c r="AB206" i="11"/>
  <c r="AC206" i="11"/>
  <c r="AD206" i="11"/>
  <c r="AE206" i="11"/>
  <c r="AF206" i="11"/>
  <c r="AG206" i="11"/>
  <c r="AH206" i="11"/>
  <c r="AI206" i="11"/>
  <c r="O207" i="11"/>
  <c r="P207" i="11"/>
  <c r="AA207" i="11"/>
  <c r="AB207" i="11"/>
  <c r="AC207" i="11"/>
  <c r="AD207" i="11"/>
  <c r="AE207" i="11"/>
  <c r="AF207" i="11"/>
  <c r="AG207" i="11"/>
  <c r="AH207" i="11"/>
  <c r="AI207" i="11"/>
  <c r="AJ207" i="11"/>
  <c r="O208" i="11"/>
  <c r="AI208" i="11" s="1"/>
  <c r="P208" i="11"/>
  <c r="AJ208" i="11" s="1"/>
  <c r="AA208" i="11"/>
  <c r="AB208" i="11"/>
  <c r="AC208" i="11"/>
  <c r="AD208" i="11"/>
  <c r="AE208" i="11"/>
  <c r="AF208" i="11"/>
  <c r="AG208" i="11"/>
  <c r="AH208" i="11"/>
  <c r="O209" i="11"/>
  <c r="P209" i="11"/>
  <c r="AA209" i="11"/>
  <c r="AB209" i="11"/>
  <c r="AC209" i="11"/>
  <c r="AD209" i="11"/>
  <c r="AE209" i="11"/>
  <c r="AF209" i="11"/>
  <c r="AG209" i="11"/>
  <c r="AH209" i="11"/>
  <c r="AI209" i="11"/>
  <c r="AJ209" i="11"/>
  <c r="O210" i="11"/>
  <c r="AI210" i="11" s="1"/>
  <c r="P210" i="11"/>
  <c r="AJ210" i="11" s="1"/>
  <c r="AA210" i="11"/>
  <c r="AB210" i="11"/>
  <c r="AC210" i="11"/>
  <c r="AD210" i="11"/>
  <c r="AE210" i="11"/>
  <c r="AF210" i="11"/>
  <c r="AG210" i="11"/>
  <c r="AH210" i="11"/>
  <c r="O211" i="11"/>
  <c r="P211" i="11"/>
  <c r="AJ211" i="11" s="1"/>
  <c r="AA211" i="11"/>
  <c r="AB211" i="11"/>
  <c r="AC211" i="11"/>
  <c r="AD211" i="11"/>
  <c r="AE211" i="11"/>
  <c r="AF211" i="11"/>
  <c r="AG211" i="11"/>
  <c r="AH211" i="11"/>
  <c r="AI211" i="11"/>
  <c r="O212" i="11"/>
  <c r="P212" i="11"/>
  <c r="AA212" i="11"/>
  <c r="AB212" i="11"/>
  <c r="AC212" i="11"/>
  <c r="AD212" i="11"/>
  <c r="AE212" i="11"/>
  <c r="AF212" i="11"/>
  <c r="AG212" i="11"/>
  <c r="AH212" i="11"/>
  <c r="AI212" i="11"/>
  <c r="AJ212" i="11"/>
  <c r="O213" i="11"/>
  <c r="AI213" i="11" s="1"/>
  <c r="P213" i="11"/>
  <c r="AJ213" i="11" s="1"/>
  <c r="AA213" i="11"/>
  <c r="AB213" i="11"/>
  <c r="AC213" i="11"/>
  <c r="AD213" i="11"/>
  <c r="AE213" i="11"/>
  <c r="AF213" i="11"/>
  <c r="AG213" i="11"/>
  <c r="AH213" i="11"/>
  <c r="O214" i="11"/>
  <c r="P214" i="11"/>
  <c r="AA214" i="11"/>
  <c r="AB214" i="11"/>
  <c r="AC214" i="11"/>
  <c r="AD214" i="11"/>
  <c r="AE214" i="11"/>
  <c r="AF214" i="11"/>
  <c r="AG214" i="11"/>
  <c r="AH214" i="11"/>
  <c r="AI214" i="11"/>
  <c r="AJ214" i="11"/>
  <c r="O215" i="11"/>
  <c r="AI215" i="11" s="1"/>
  <c r="P215" i="11"/>
  <c r="AJ215" i="11" s="1"/>
  <c r="AA215" i="11"/>
  <c r="AB215" i="11"/>
  <c r="AC215" i="11"/>
  <c r="AD215" i="11"/>
  <c r="AE215" i="11"/>
  <c r="AF215" i="11"/>
  <c r="AG215" i="11"/>
  <c r="AH215" i="11"/>
  <c r="O216" i="11"/>
  <c r="P216" i="11"/>
  <c r="AJ216" i="11" s="1"/>
  <c r="AA216" i="11"/>
  <c r="AB216" i="11"/>
  <c r="AC216" i="11"/>
  <c r="AD216" i="11"/>
  <c r="AE216" i="11"/>
  <c r="AF216" i="11"/>
  <c r="AG216" i="11"/>
  <c r="AH216" i="11"/>
  <c r="AI216" i="11"/>
  <c r="O217" i="11"/>
  <c r="P217" i="11"/>
  <c r="AA217" i="11"/>
  <c r="AB217" i="11"/>
  <c r="AC217" i="11"/>
  <c r="AD217" i="11"/>
  <c r="AE217" i="11"/>
  <c r="AF217" i="11"/>
  <c r="AG217" i="11"/>
  <c r="AH217" i="11"/>
  <c r="AI217" i="11"/>
  <c r="AJ217" i="11"/>
  <c r="O218" i="11"/>
  <c r="AI218" i="11" s="1"/>
  <c r="P218" i="11"/>
  <c r="AJ218" i="11" s="1"/>
  <c r="AA218" i="11"/>
  <c r="AB218" i="11"/>
  <c r="AC218" i="11"/>
  <c r="AD218" i="11"/>
  <c r="AE218" i="11"/>
  <c r="AF218" i="11"/>
  <c r="AG218" i="11"/>
  <c r="AH218" i="11"/>
  <c r="O219" i="11"/>
  <c r="P219" i="11"/>
  <c r="AA219" i="11"/>
  <c r="AB219" i="11"/>
  <c r="AC219" i="11"/>
  <c r="AD219" i="11"/>
  <c r="AE219" i="11"/>
  <c r="AF219" i="11"/>
  <c r="AG219" i="11"/>
  <c r="AH219" i="11"/>
  <c r="AI219" i="11"/>
  <c r="AJ219" i="11"/>
  <c r="O220" i="11"/>
  <c r="AI220" i="11" s="1"/>
  <c r="P220" i="11"/>
  <c r="AJ220" i="11" s="1"/>
  <c r="AA220" i="11"/>
  <c r="AB220" i="11"/>
  <c r="AC220" i="11"/>
  <c r="AD220" i="11"/>
  <c r="AE220" i="11"/>
  <c r="AF220" i="11"/>
  <c r="AG220" i="11"/>
  <c r="AH220" i="11"/>
  <c r="O221" i="11"/>
  <c r="P221" i="11"/>
  <c r="AJ221" i="11" s="1"/>
  <c r="AA221" i="11"/>
  <c r="AB221" i="11"/>
  <c r="AC221" i="11"/>
  <c r="AD221" i="11"/>
  <c r="AE221" i="11"/>
  <c r="AF221" i="11"/>
  <c r="AG221" i="11"/>
  <c r="AH221" i="11"/>
  <c r="AI221" i="11"/>
  <c r="O222" i="11"/>
  <c r="P222" i="11"/>
  <c r="AA222" i="11"/>
  <c r="AB222" i="11"/>
  <c r="AC222" i="11"/>
  <c r="AD222" i="11"/>
  <c r="AE222" i="11"/>
  <c r="AF222" i="11"/>
  <c r="AG222" i="11"/>
  <c r="AH222" i="11"/>
  <c r="AI222" i="11"/>
  <c r="AJ222" i="11"/>
  <c r="O223" i="11"/>
  <c r="AI223" i="11" s="1"/>
  <c r="P223" i="11"/>
  <c r="AJ223" i="11" s="1"/>
  <c r="AA223" i="11"/>
  <c r="AB223" i="11"/>
  <c r="AC223" i="11"/>
  <c r="AD223" i="11"/>
  <c r="AE223" i="11"/>
  <c r="AF223" i="11"/>
  <c r="AG223" i="11"/>
  <c r="AH223" i="11"/>
  <c r="O224" i="11"/>
  <c r="P224" i="11"/>
  <c r="AA224" i="11"/>
  <c r="AB224" i="11"/>
  <c r="AC224" i="11"/>
  <c r="AD224" i="11"/>
  <c r="AE224" i="11"/>
  <c r="AF224" i="11"/>
  <c r="AG224" i="11"/>
  <c r="AH224" i="11"/>
  <c r="AI224" i="11"/>
  <c r="AJ224" i="11"/>
  <c r="O225" i="11"/>
  <c r="AI225" i="11" s="1"/>
  <c r="P225" i="11"/>
  <c r="AJ225" i="11" s="1"/>
  <c r="AA225" i="11"/>
  <c r="AB225" i="11"/>
  <c r="AC225" i="11"/>
  <c r="AD225" i="11"/>
  <c r="AE225" i="11"/>
  <c r="AF225" i="11"/>
  <c r="AG225" i="11"/>
  <c r="AH225" i="11"/>
  <c r="O226" i="11"/>
  <c r="P226" i="11"/>
  <c r="AJ226" i="11" s="1"/>
  <c r="AA226" i="11"/>
  <c r="AB226" i="11"/>
  <c r="AC226" i="11"/>
  <c r="AD226" i="11"/>
  <c r="AE226" i="11"/>
  <c r="AF226" i="11"/>
  <c r="AG226" i="11"/>
  <c r="AH226" i="11"/>
  <c r="AI226" i="11"/>
  <c r="O227" i="11"/>
  <c r="P227" i="11"/>
  <c r="AA227" i="11"/>
  <c r="AB227" i="11"/>
  <c r="AC227" i="11"/>
  <c r="AD227" i="11"/>
  <c r="AE227" i="11"/>
  <c r="AF227" i="11"/>
  <c r="AG227" i="11"/>
  <c r="AH227" i="11"/>
  <c r="AI227" i="11"/>
  <c r="AJ227" i="11"/>
  <c r="O228" i="11"/>
  <c r="AI228" i="11" s="1"/>
  <c r="P228" i="11"/>
  <c r="AJ228" i="11" s="1"/>
  <c r="AA228" i="11"/>
  <c r="AB228" i="11"/>
  <c r="AC228" i="11"/>
  <c r="AD228" i="11"/>
  <c r="AE228" i="11"/>
  <c r="AF228" i="11"/>
  <c r="AG228" i="11"/>
  <c r="AH228" i="11"/>
  <c r="O229" i="11"/>
  <c r="P229" i="11"/>
  <c r="AA229" i="11"/>
  <c r="AB229" i="11"/>
  <c r="AC229" i="11"/>
  <c r="AD229" i="11"/>
  <c r="AE229" i="11"/>
  <c r="AF229" i="11"/>
  <c r="AG229" i="11"/>
  <c r="AH229" i="11"/>
  <c r="AI229" i="11"/>
  <c r="AJ229" i="11"/>
  <c r="O230" i="11"/>
  <c r="AI230" i="11" s="1"/>
  <c r="P230" i="11"/>
  <c r="AJ230" i="11" s="1"/>
  <c r="AA230" i="11"/>
  <c r="AB230" i="11"/>
  <c r="AC230" i="11"/>
  <c r="AD230" i="11"/>
  <c r="AE230" i="11"/>
  <c r="AF230" i="11"/>
  <c r="AG230" i="11"/>
  <c r="AH230" i="11"/>
  <c r="O231" i="11"/>
  <c r="P231" i="11"/>
  <c r="AJ231" i="11" s="1"/>
  <c r="AA231" i="11"/>
  <c r="AB231" i="11"/>
  <c r="AC231" i="11"/>
  <c r="AD231" i="11"/>
  <c r="AE231" i="11"/>
  <c r="AF231" i="11"/>
  <c r="AG231" i="11"/>
  <c r="AH231" i="11"/>
  <c r="AI231" i="11"/>
  <c r="O232" i="11"/>
  <c r="P232" i="11"/>
  <c r="AA232" i="11"/>
  <c r="AB232" i="11"/>
  <c r="AC232" i="11"/>
  <c r="AD232" i="11"/>
  <c r="AE232" i="11"/>
  <c r="AF232" i="11"/>
  <c r="AG232" i="11"/>
  <c r="AH232" i="11"/>
  <c r="AI232" i="11"/>
  <c r="AJ232" i="11"/>
  <c r="O233" i="11"/>
  <c r="AI233" i="11" s="1"/>
  <c r="P233" i="11"/>
  <c r="AJ233" i="11" s="1"/>
  <c r="AA233" i="11"/>
  <c r="AB233" i="11"/>
  <c r="AC233" i="11"/>
  <c r="AD233" i="11"/>
  <c r="AE233" i="11"/>
  <c r="AF233" i="11"/>
  <c r="AG233" i="11"/>
  <c r="AH233" i="11"/>
  <c r="O234" i="11"/>
  <c r="P234" i="11"/>
  <c r="AA234" i="11"/>
  <c r="AB234" i="11"/>
  <c r="AC234" i="11"/>
  <c r="AD234" i="11"/>
  <c r="AE234" i="11"/>
  <c r="AF234" i="11"/>
  <c r="AG234" i="11"/>
  <c r="AH234" i="11"/>
  <c r="AI234" i="11"/>
  <c r="AJ234" i="11"/>
  <c r="O235" i="11"/>
  <c r="AI235" i="11" s="1"/>
  <c r="P235" i="11"/>
  <c r="AJ235" i="11" s="1"/>
  <c r="AA235" i="11"/>
  <c r="AB235" i="11"/>
  <c r="AC235" i="11"/>
  <c r="AD235" i="11"/>
  <c r="AE235" i="11"/>
  <c r="AF235" i="11"/>
  <c r="AG235" i="11"/>
  <c r="AH235" i="11"/>
  <c r="O236" i="11"/>
  <c r="P236" i="11"/>
  <c r="AJ236" i="11" s="1"/>
  <c r="AA236" i="11"/>
  <c r="AB236" i="11"/>
  <c r="AC236" i="11"/>
  <c r="AD236" i="11"/>
  <c r="AE236" i="11"/>
  <c r="AF236" i="11"/>
  <c r="AG236" i="11"/>
  <c r="AH236" i="11"/>
  <c r="AI236" i="11"/>
  <c r="O237" i="11"/>
  <c r="P237" i="11"/>
  <c r="AA237" i="11"/>
  <c r="AB237" i="11"/>
  <c r="AC237" i="11"/>
  <c r="AD237" i="11"/>
  <c r="AE237" i="11"/>
  <c r="AF237" i="11"/>
  <c r="AG237" i="11"/>
  <c r="AH237" i="11"/>
  <c r="AI237" i="11"/>
  <c r="AJ237" i="11"/>
  <c r="O238" i="11"/>
  <c r="AI238" i="11" s="1"/>
  <c r="P238" i="11"/>
  <c r="AJ238" i="11" s="1"/>
  <c r="AA238" i="11"/>
  <c r="AB238" i="11"/>
  <c r="AC238" i="11"/>
  <c r="AD238" i="11"/>
  <c r="AE238" i="11"/>
  <c r="AF238" i="11"/>
  <c r="AG238" i="11"/>
  <c r="AH238" i="11"/>
  <c r="O239" i="11"/>
  <c r="P239" i="11"/>
  <c r="AA239" i="11"/>
  <c r="AB239" i="11"/>
  <c r="AC239" i="11"/>
  <c r="AD239" i="11"/>
  <c r="AE239" i="11"/>
  <c r="AF239" i="11"/>
  <c r="AG239" i="11"/>
  <c r="AH239" i="11"/>
  <c r="AI239" i="11"/>
  <c r="AJ239" i="11"/>
  <c r="O240" i="11"/>
  <c r="AI240" i="11" s="1"/>
  <c r="P240" i="11"/>
  <c r="AJ240" i="11" s="1"/>
  <c r="AA240" i="11"/>
  <c r="AB240" i="11"/>
  <c r="AC240" i="11"/>
  <c r="AD240" i="11"/>
  <c r="AE240" i="11"/>
  <c r="AF240" i="11"/>
  <c r="AG240" i="11"/>
  <c r="AH240" i="11"/>
  <c r="O241" i="11"/>
  <c r="P241" i="11"/>
  <c r="AJ241" i="11" s="1"/>
  <c r="AA241" i="11"/>
  <c r="AB241" i="11"/>
  <c r="AC241" i="11"/>
  <c r="AD241" i="11"/>
  <c r="AE241" i="11"/>
  <c r="AF241" i="11"/>
  <c r="AG241" i="11"/>
  <c r="AH241" i="11"/>
  <c r="AI241" i="11"/>
  <c r="O242" i="11"/>
  <c r="P242" i="11"/>
  <c r="AA242" i="11"/>
  <c r="AB242" i="11"/>
  <c r="AC242" i="11"/>
  <c r="AD242" i="11"/>
  <c r="AE242" i="11"/>
  <c r="AF242" i="11"/>
  <c r="AG242" i="11"/>
  <c r="AH242" i="11"/>
  <c r="AI242" i="11"/>
  <c r="AJ242" i="11"/>
  <c r="O243" i="11"/>
  <c r="AI243" i="11" s="1"/>
  <c r="P243" i="11"/>
  <c r="AJ243" i="11" s="1"/>
  <c r="AA243" i="11"/>
  <c r="AB243" i="11"/>
  <c r="AC243" i="11"/>
  <c r="AD243" i="11"/>
  <c r="AE243" i="11"/>
  <c r="AF243" i="11"/>
  <c r="AG243" i="11"/>
  <c r="AH243" i="11"/>
  <c r="O244" i="11"/>
  <c r="P244" i="11"/>
  <c r="AA244" i="11"/>
  <c r="AB244" i="11"/>
  <c r="AC244" i="11"/>
  <c r="AD244" i="11"/>
  <c r="AE244" i="11"/>
  <c r="AF244" i="11"/>
  <c r="AG244" i="11"/>
  <c r="AH244" i="11"/>
  <c r="AI244" i="11"/>
  <c r="AJ244" i="11"/>
  <c r="O245" i="11"/>
  <c r="AI245" i="11" s="1"/>
  <c r="P245" i="11"/>
  <c r="AJ245" i="11" s="1"/>
  <c r="AA245" i="11"/>
  <c r="AB245" i="11"/>
  <c r="AC245" i="11"/>
  <c r="AD245" i="11"/>
  <c r="AE245" i="11"/>
  <c r="AF245" i="11"/>
  <c r="AG245" i="11"/>
  <c r="AH245" i="11"/>
  <c r="O246" i="11"/>
  <c r="P246" i="11"/>
  <c r="AJ246" i="11" s="1"/>
  <c r="AA246" i="11"/>
  <c r="AB246" i="11"/>
  <c r="AC246" i="11"/>
  <c r="AD246" i="11"/>
  <c r="AE246" i="11"/>
  <c r="AF246" i="11"/>
  <c r="AG246" i="11"/>
  <c r="AH246" i="11"/>
  <c r="AI246" i="11"/>
  <c r="O247" i="11"/>
  <c r="P247" i="11"/>
  <c r="AA247" i="11"/>
  <c r="AB247" i="11"/>
  <c r="AC247" i="11"/>
  <c r="AD247" i="11"/>
  <c r="AE247" i="11"/>
  <c r="AF247" i="11"/>
  <c r="AG247" i="11"/>
  <c r="AH247" i="11"/>
  <c r="AI247" i="11"/>
  <c r="AJ247" i="11"/>
  <c r="O248" i="11"/>
  <c r="AI248" i="11" s="1"/>
  <c r="P248" i="11"/>
  <c r="AJ248" i="11" s="1"/>
  <c r="AA248" i="11"/>
  <c r="AB248" i="11"/>
  <c r="AC248" i="11"/>
  <c r="AD248" i="11"/>
  <c r="AE248" i="11"/>
  <c r="AF248" i="11"/>
  <c r="AG248" i="11"/>
  <c r="AH248" i="11"/>
  <c r="O249" i="11"/>
  <c r="P249" i="11"/>
  <c r="AA249" i="11"/>
  <c r="AB249" i="11"/>
  <c r="AC249" i="11"/>
  <c r="AD249" i="11"/>
  <c r="AE249" i="11"/>
  <c r="AF249" i="11"/>
  <c r="AG249" i="11"/>
  <c r="AH249" i="11"/>
  <c r="AI249" i="11"/>
  <c r="AJ249" i="11"/>
  <c r="O250" i="11"/>
  <c r="AI250" i="11" s="1"/>
  <c r="P250" i="11"/>
  <c r="AJ250" i="11" s="1"/>
  <c r="AA250" i="11"/>
  <c r="AB250" i="11"/>
  <c r="AC250" i="11"/>
  <c r="AD250" i="11"/>
  <c r="AE250" i="11"/>
  <c r="AF250" i="11"/>
  <c r="AG250" i="11"/>
  <c r="AH250" i="11"/>
  <c r="O251" i="11"/>
  <c r="P251" i="11"/>
  <c r="AJ251" i="11" s="1"/>
  <c r="AA251" i="11"/>
  <c r="AB251" i="11"/>
  <c r="AC251" i="11"/>
  <c r="AD251" i="11"/>
  <c r="AE251" i="11"/>
  <c r="AF251" i="11"/>
  <c r="AG251" i="11"/>
  <c r="AH251" i="11"/>
  <c r="AI251" i="11"/>
  <c r="O252" i="11"/>
  <c r="P252" i="11"/>
  <c r="AA252" i="11"/>
  <c r="AB252" i="11"/>
  <c r="AC252" i="11"/>
  <c r="AD252" i="11"/>
  <c r="AE252" i="11"/>
  <c r="AF252" i="11"/>
  <c r="AG252" i="11"/>
  <c r="AH252" i="11"/>
  <c r="AI252" i="11"/>
  <c r="AJ252" i="11"/>
  <c r="O253" i="11"/>
  <c r="AI253" i="11" s="1"/>
  <c r="P253" i="11"/>
  <c r="AJ253" i="11" s="1"/>
  <c r="AA253" i="11"/>
  <c r="AB253" i="11"/>
  <c r="AC253" i="11"/>
  <c r="AD253" i="11"/>
  <c r="AE253" i="11"/>
  <c r="AF253" i="11"/>
  <c r="AG253" i="11"/>
  <c r="AH253" i="11"/>
  <c r="O254" i="11"/>
  <c r="P254" i="11"/>
  <c r="AA254" i="11"/>
  <c r="AB254" i="11"/>
  <c r="AC254" i="11"/>
  <c r="AD254" i="11"/>
  <c r="AE254" i="11"/>
  <c r="AF254" i="11"/>
  <c r="AG254" i="11"/>
  <c r="AH254" i="11"/>
  <c r="AI254" i="11"/>
  <c r="AJ254" i="11"/>
  <c r="O255" i="11"/>
  <c r="AI255" i="11" s="1"/>
  <c r="P255" i="11"/>
  <c r="AJ255" i="11" s="1"/>
  <c r="AA255" i="11"/>
  <c r="AB255" i="11"/>
  <c r="AC255" i="11"/>
  <c r="AD255" i="11"/>
  <c r="AE255" i="11"/>
  <c r="AF255" i="11"/>
  <c r="AG255" i="11"/>
  <c r="AH255" i="11"/>
  <c r="O256" i="11"/>
  <c r="P256" i="11"/>
  <c r="AJ256" i="11" s="1"/>
  <c r="AA256" i="11"/>
  <c r="AB256" i="11"/>
  <c r="AC256" i="11"/>
  <c r="AD256" i="11"/>
  <c r="AE256" i="11"/>
  <c r="AF256" i="11"/>
  <c r="AG256" i="11"/>
  <c r="AH256" i="11"/>
  <c r="AI256" i="11"/>
  <c r="O257" i="11"/>
  <c r="P257" i="11"/>
  <c r="AA257" i="11"/>
  <c r="AB257" i="11"/>
  <c r="AC257" i="11"/>
  <c r="AD257" i="11"/>
  <c r="AE257" i="11"/>
  <c r="AF257" i="11"/>
  <c r="AG257" i="11"/>
  <c r="AH257" i="11"/>
  <c r="AI257" i="11"/>
  <c r="AJ257" i="11"/>
  <c r="O258" i="11"/>
  <c r="AI258" i="11" s="1"/>
  <c r="P258" i="11"/>
  <c r="AJ258" i="11" s="1"/>
  <c r="AA258" i="11"/>
  <c r="AB258" i="11"/>
  <c r="AC258" i="11"/>
  <c r="AD258" i="11"/>
  <c r="AE258" i="11"/>
  <c r="AF258" i="11"/>
  <c r="AG258" i="11"/>
  <c r="AH258" i="11"/>
  <c r="O259" i="11"/>
  <c r="P259" i="11"/>
  <c r="AA259" i="11"/>
  <c r="AB259" i="11"/>
  <c r="AC259" i="11"/>
  <c r="AD259" i="11"/>
  <c r="AE259" i="11"/>
  <c r="AF259" i="11"/>
  <c r="AG259" i="11"/>
  <c r="AH259" i="11"/>
  <c r="AI259" i="11"/>
  <c r="AJ259" i="11"/>
  <c r="O260" i="11"/>
  <c r="AI260" i="11" s="1"/>
  <c r="P260" i="11"/>
  <c r="AJ260" i="11" s="1"/>
  <c r="AA260" i="11"/>
  <c r="AB260" i="11"/>
  <c r="AC260" i="11"/>
  <c r="AD260" i="11"/>
  <c r="AE260" i="11"/>
  <c r="AF260" i="11"/>
  <c r="AG260" i="11"/>
  <c r="AH260" i="11"/>
  <c r="O261" i="11"/>
  <c r="P261" i="11"/>
  <c r="AJ261" i="11" s="1"/>
  <c r="AA261" i="11"/>
  <c r="AB261" i="11"/>
  <c r="AC261" i="11"/>
  <c r="AD261" i="11"/>
  <c r="AE261" i="11"/>
  <c r="AF261" i="11"/>
  <c r="AG261" i="11"/>
  <c r="AH261" i="11"/>
  <c r="AI261" i="11"/>
  <c r="O262" i="11"/>
  <c r="P262" i="11"/>
  <c r="AA262" i="11"/>
  <c r="AB262" i="11"/>
  <c r="AC262" i="11"/>
  <c r="AD262" i="11"/>
  <c r="AE262" i="11"/>
  <c r="AF262" i="11"/>
  <c r="AG262" i="11"/>
  <c r="AH262" i="11"/>
  <c r="AI262" i="11"/>
  <c r="AJ262" i="11"/>
  <c r="O263" i="11"/>
  <c r="AI263" i="11" s="1"/>
  <c r="P263" i="11"/>
  <c r="AJ263" i="11" s="1"/>
  <c r="AA263" i="11"/>
  <c r="AB263" i="11"/>
  <c r="AC263" i="11"/>
  <c r="AD263" i="11"/>
  <c r="AE263" i="11"/>
  <c r="AF263" i="11"/>
  <c r="AG263" i="11"/>
  <c r="AH263" i="11"/>
  <c r="O264" i="11"/>
  <c r="P264" i="11"/>
  <c r="AA264" i="11"/>
  <c r="AB264" i="11"/>
  <c r="AC264" i="11"/>
  <c r="AD264" i="11"/>
  <c r="AE264" i="11"/>
  <c r="AF264" i="11"/>
  <c r="AG264" i="11"/>
  <c r="AH264" i="11"/>
  <c r="AI264" i="11"/>
  <c r="AJ264" i="11"/>
  <c r="O265" i="11"/>
  <c r="AI265" i="11" s="1"/>
  <c r="P265" i="11"/>
  <c r="AJ265" i="11" s="1"/>
  <c r="AA265" i="11"/>
  <c r="AB265" i="11"/>
  <c r="AC265" i="11"/>
  <c r="AD265" i="11"/>
  <c r="AE265" i="11"/>
  <c r="AF265" i="11"/>
  <c r="AG265" i="11"/>
  <c r="AH265" i="11"/>
  <c r="O266" i="11"/>
  <c r="P266" i="11"/>
  <c r="AJ266" i="11" s="1"/>
  <c r="AA266" i="11"/>
  <c r="AB266" i="11"/>
  <c r="AC266" i="11"/>
  <c r="AD266" i="11"/>
  <c r="AE266" i="11"/>
  <c r="AF266" i="11"/>
  <c r="AG266" i="11"/>
  <c r="AH266" i="11"/>
  <c r="AI266" i="11"/>
  <c r="O267" i="11"/>
  <c r="P267" i="11"/>
  <c r="AA267" i="11"/>
  <c r="AB267" i="11"/>
  <c r="AC267" i="11"/>
  <c r="AD267" i="11"/>
  <c r="AE267" i="11"/>
  <c r="AF267" i="11"/>
  <c r="AG267" i="11"/>
  <c r="AH267" i="11"/>
  <c r="AI267" i="11"/>
  <c r="AJ267" i="11"/>
  <c r="O268" i="11"/>
  <c r="AI268" i="11" s="1"/>
  <c r="P268" i="11"/>
  <c r="AJ268" i="11" s="1"/>
  <c r="AA268" i="11"/>
  <c r="AB268" i="11"/>
  <c r="AC268" i="11"/>
  <c r="AD268" i="11"/>
  <c r="AE268" i="11"/>
  <c r="AF268" i="11"/>
  <c r="AG268" i="11"/>
  <c r="AH268" i="11"/>
  <c r="O269" i="11"/>
  <c r="P269" i="11"/>
  <c r="AA269" i="11"/>
  <c r="AB269" i="11"/>
  <c r="AC269" i="11"/>
  <c r="AD269" i="11"/>
  <c r="AE269" i="11"/>
  <c r="AF269" i="11"/>
  <c r="AG269" i="11"/>
  <c r="AH269" i="11"/>
  <c r="AI269" i="11"/>
  <c r="AJ269" i="11"/>
  <c r="O270" i="11"/>
  <c r="AI270" i="11" s="1"/>
  <c r="P270" i="11"/>
  <c r="AJ270" i="11" s="1"/>
  <c r="AA270" i="11"/>
  <c r="AB270" i="11"/>
  <c r="AC270" i="11"/>
  <c r="AD270" i="11"/>
  <c r="AE270" i="11"/>
  <c r="AF270" i="11"/>
  <c r="AG270" i="11"/>
  <c r="AH270" i="11"/>
  <c r="O271" i="11"/>
  <c r="P271" i="11"/>
  <c r="AJ271" i="11" s="1"/>
  <c r="AA271" i="11"/>
  <c r="AB271" i="11"/>
  <c r="AC271" i="11"/>
  <c r="AD271" i="11"/>
  <c r="AE271" i="11"/>
  <c r="AF271" i="11"/>
  <c r="AG271" i="11"/>
  <c r="AH271" i="11"/>
  <c r="AI271" i="11"/>
  <c r="O272" i="11"/>
  <c r="P272" i="11"/>
  <c r="AA272" i="11"/>
  <c r="AB272" i="11"/>
  <c r="AC272" i="11"/>
  <c r="AD272" i="11"/>
  <c r="AE272" i="11"/>
  <c r="AF272" i="11"/>
  <c r="AG272" i="11"/>
  <c r="AH272" i="11"/>
  <c r="AI272" i="11"/>
  <c r="AJ272" i="11"/>
  <c r="O273" i="11"/>
  <c r="AI273" i="11" s="1"/>
  <c r="P273" i="11"/>
  <c r="AJ273" i="11" s="1"/>
  <c r="AA273" i="11"/>
  <c r="AB273" i="11"/>
  <c r="AC273" i="11"/>
  <c r="AD273" i="11"/>
  <c r="AE273" i="11"/>
  <c r="AF273" i="11"/>
  <c r="AG273" i="11"/>
  <c r="AH273" i="11"/>
  <c r="O274" i="11"/>
  <c r="P274" i="11"/>
  <c r="AA274" i="11"/>
  <c r="AB274" i="11"/>
  <c r="AC274" i="11"/>
  <c r="AD274" i="11"/>
  <c r="AE274" i="11"/>
  <c r="AF274" i="11"/>
  <c r="AG274" i="11"/>
  <c r="AH274" i="11"/>
  <c r="AI274" i="11"/>
  <c r="AJ274" i="11"/>
  <c r="O275" i="11"/>
  <c r="AI275" i="11" s="1"/>
  <c r="P275" i="11"/>
  <c r="AJ275" i="11" s="1"/>
  <c r="AA275" i="11"/>
  <c r="AB275" i="11"/>
  <c r="AC275" i="11"/>
  <c r="AD275" i="11"/>
  <c r="AE275" i="11"/>
  <c r="AF275" i="11"/>
  <c r="AG275" i="11"/>
  <c r="AH275" i="11"/>
  <c r="O276" i="11"/>
  <c r="P276" i="11"/>
  <c r="AJ276" i="11" s="1"/>
  <c r="AA276" i="11"/>
  <c r="AB276" i="11"/>
  <c r="AC276" i="11"/>
  <c r="AD276" i="11"/>
  <c r="AE276" i="11"/>
  <c r="AF276" i="11"/>
  <c r="AG276" i="11"/>
  <c r="AH276" i="11"/>
  <c r="AI276" i="11"/>
  <c r="O277" i="11"/>
  <c r="P277" i="11"/>
  <c r="AA277" i="11"/>
  <c r="AB277" i="11"/>
  <c r="AC277" i="11"/>
  <c r="AD277" i="11"/>
  <c r="AE277" i="11"/>
  <c r="AF277" i="11"/>
  <c r="AG277" i="11"/>
  <c r="AH277" i="11"/>
  <c r="AI277" i="11"/>
  <c r="AJ277" i="11"/>
  <c r="O278" i="11"/>
  <c r="AI278" i="11" s="1"/>
  <c r="P278" i="11"/>
  <c r="AJ278" i="11" s="1"/>
  <c r="AA278" i="11"/>
  <c r="AB278" i="11"/>
  <c r="AC278" i="11"/>
  <c r="AD278" i="11"/>
  <c r="AE278" i="11"/>
  <c r="AF278" i="11"/>
  <c r="AG278" i="11"/>
  <c r="AH278" i="11"/>
  <c r="O279" i="11"/>
  <c r="P279" i="11"/>
  <c r="AA279" i="11"/>
  <c r="AB279" i="11"/>
  <c r="AC279" i="11"/>
  <c r="AD279" i="11"/>
  <c r="AE279" i="11"/>
  <c r="AF279" i="11"/>
  <c r="AG279" i="11"/>
  <c r="AH279" i="11"/>
  <c r="AI279" i="11"/>
  <c r="AJ279" i="11"/>
  <c r="O280" i="11"/>
  <c r="AI280" i="11" s="1"/>
  <c r="P280" i="11"/>
  <c r="AJ280" i="11" s="1"/>
  <c r="AA280" i="11"/>
  <c r="AB280" i="11"/>
  <c r="AC280" i="11"/>
  <c r="AD280" i="11"/>
  <c r="AE280" i="11"/>
  <c r="AF280" i="11"/>
  <c r="AG280" i="11"/>
  <c r="AH280" i="11"/>
  <c r="O281" i="11"/>
  <c r="P281" i="11"/>
  <c r="AJ281" i="11" s="1"/>
  <c r="AA281" i="11"/>
  <c r="AB281" i="11"/>
  <c r="AC281" i="11"/>
  <c r="AD281" i="11"/>
  <c r="AE281" i="11"/>
  <c r="AF281" i="11"/>
  <c r="AG281" i="11"/>
  <c r="AH281" i="11"/>
  <c r="AI281" i="11"/>
  <c r="O282" i="11"/>
  <c r="P282" i="11"/>
  <c r="AA282" i="11"/>
  <c r="AB282" i="11"/>
  <c r="AC282" i="11"/>
  <c r="AD282" i="11"/>
  <c r="AE282" i="11"/>
  <c r="AF282" i="11"/>
  <c r="AG282" i="11"/>
  <c r="AH282" i="11"/>
  <c r="AI282" i="11"/>
  <c r="AJ282" i="11"/>
  <c r="O283" i="11"/>
  <c r="AI283" i="11" s="1"/>
  <c r="P283" i="11"/>
  <c r="AJ283" i="11" s="1"/>
  <c r="AA283" i="11"/>
  <c r="AB283" i="11"/>
  <c r="AC283" i="11"/>
  <c r="AD283" i="11"/>
  <c r="AE283" i="11"/>
  <c r="AF283" i="11"/>
  <c r="AG283" i="11"/>
  <c r="AH283" i="11"/>
  <c r="O284" i="11"/>
  <c r="P284" i="11"/>
  <c r="AA284" i="11"/>
  <c r="AB284" i="11"/>
  <c r="AC284" i="11"/>
  <c r="AD284" i="11"/>
  <c r="AE284" i="11"/>
  <c r="AF284" i="11"/>
  <c r="AG284" i="11"/>
  <c r="AH284" i="11"/>
  <c r="AI284" i="11"/>
  <c r="AJ284" i="11"/>
  <c r="O285" i="11"/>
  <c r="AI285" i="11" s="1"/>
  <c r="P285" i="11"/>
  <c r="AJ285" i="11" s="1"/>
  <c r="AA285" i="11"/>
  <c r="AB285" i="11"/>
  <c r="AC285" i="11"/>
  <c r="AD285" i="11"/>
  <c r="AE285" i="11"/>
  <c r="AF285" i="11"/>
  <c r="AG285" i="11"/>
  <c r="AH285" i="11"/>
  <c r="O286" i="11"/>
  <c r="P286" i="11"/>
  <c r="AJ286" i="11" s="1"/>
  <c r="AA286" i="11"/>
  <c r="AB286" i="11"/>
  <c r="AC286" i="11"/>
  <c r="AD286" i="11"/>
  <c r="AE286" i="11"/>
  <c r="AF286" i="11"/>
  <c r="AG286" i="11"/>
  <c r="AH286" i="11"/>
  <c r="AI286" i="11"/>
  <c r="O287" i="11"/>
  <c r="P287" i="11"/>
  <c r="AA287" i="11"/>
  <c r="AB287" i="11"/>
  <c r="AC287" i="11"/>
  <c r="AD287" i="11"/>
  <c r="AE287" i="11"/>
  <c r="AF287" i="11"/>
  <c r="AG287" i="11"/>
  <c r="AH287" i="11"/>
  <c r="AI287" i="11"/>
  <c r="AJ287" i="11"/>
  <c r="O288" i="11"/>
  <c r="AI288" i="11" s="1"/>
  <c r="P288" i="11"/>
  <c r="AJ288" i="11" s="1"/>
  <c r="AA288" i="11"/>
  <c r="AB288" i="11"/>
  <c r="AC288" i="11"/>
  <c r="AD288" i="11"/>
  <c r="AE288" i="11"/>
  <c r="AF288" i="11"/>
  <c r="AG288" i="11"/>
  <c r="AH288" i="11"/>
  <c r="O289" i="11"/>
  <c r="P289" i="11"/>
  <c r="AA289" i="11"/>
  <c r="AB289" i="11"/>
  <c r="AC289" i="11"/>
  <c r="AD289" i="11"/>
  <c r="AE289" i="11"/>
  <c r="AF289" i="11"/>
  <c r="AG289" i="11"/>
  <c r="AH289" i="11"/>
  <c r="AI289" i="11"/>
  <c r="AJ289" i="11"/>
  <c r="O290" i="11"/>
  <c r="AI290" i="11" s="1"/>
  <c r="P290" i="11"/>
  <c r="AJ290" i="11" s="1"/>
  <c r="AA290" i="11"/>
  <c r="AB290" i="11"/>
  <c r="AC290" i="11"/>
  <c r="AD290" i="11"/>
  <c r="AE290" i="11"/>
  <c r="AF290" i="11"/>
  <c r="AG290" i="11"/>
  <c r="AH290" i="11"/>
  <c r="O291" i="11"/>
  <c r="P291" i="11"/>
  <c r="AJ291" i="11" s="1"/>
  <c r="AA291" i="11"/>
  <c r="AB291" i="11"/>
  <c r="AC291" i="11"/>
  <c r="AD291" i="11"/>
  <c r="AE291" i="11"/>
  <c r="AF291" i="11"/>
  <c r="AG291" i="11"/>
  <c r="AH291" i="11"/>
  <c r="AI291" i="11"/>
  <c r="O292" i="11"/>
  <c r="P292" i="11"/>
  <c r="AA292" i="11"/>
  <c r="AB292" i="11"/>
  <c r="AC292" i="11"/>
  <c r="AD292" i="11"/>
  <c r="AE292" i="11"/>
  <c r="AF292" i="11"/>
  <c r="AG292" i="11"/>
  <c r="AH292" i="11"/>
  <c r="AI292" i="11"/>
  <c r="AJ292" i="11"/>
  <c r="O293" i="11"/>
  <c r="AI293" i="11" s="1"/>
  <c r="P293" i="11"/>
  <c r="AJ293" i="11" s="1"/>
  <c r="AA293" i="11"/>
  <c r="AB293" i="11"/>
  <c r="AC293" i="11"/>
  <c r="AD293" i="11"/>
  <c r="AE293" i="11"/>
  <c r="AF293" i="11"/>
  <c r="AG293" i="11"/>
  <c r="AH293" i="11"/>
  <c r="O294" i="11"/>
  <c r="P294" i="11"/>
  <c r="AA294" i="11"/>
  <c r="AB294" i="11"/>
  <c r="AC294" i="11"/>
  <c r="AD294" i="11"/>
  <c r="AE294" i="11"/>
  <c r="AF294" i="11"/>
  <c r="AG294" i="11"/>
  <c r="AH294" i="11"/>
  <c r="AI294" i="11"/>
  <c r="AJ294" i="11"/>
  <c r="O295" i="11"/>
  <c r="AI295" i="11" s="1"/>
  <c r="P295" i="11"/>
  <c r="AJ295" i="11" s="1"/>
  <c r="AA295" i="11"/>
  <c r="AB295" i="11"/>
  <c r="AC295" i="11"/>
  <c r="AD295" i="11"/>
  <c r="AE295" i="11"/>
  <c r="AF295" i="11"/>
  <c r="AG295" i="11"/>
  <c r="AH295" i="11"/>
  <c r="O296" i="11"/>
  <c r="P296" i="11"/>
  <c r="AJ296" i="11" s="1"/>
  <c r="AA296" i="11"/>
  <c r="AB296" i="11"/>
  <c r="AC296" i="11"/>
  <c r="AD296" i="11"/>
  <c r="AE296" i="11"/>
  <c r="AF296" i="11"/>
  <c r="AG296" i="11"/>
  <c r="AH296" i="11"/>
  <c r="AI296" i="11"/>
  <c r="O297" i="11"/>
  <c r="P297" i="11"/>
  <c r="AA297" i="11"/>
  <c r="AB297" i="11"/>
  <c r="AC297" i="11"/>
  <c r="AD297" i="11"/>
  <c r="AE297" i="11"/>
  <c r="AF297" i="11"/>
  <c r="AG297" i="11"/>
  <c r="AH297" i="11"/>
  <c r="AI297" i="11"/>
  <c r="AJ297" i="11"/>
  <c r="O298" i="11"/>
  <c r="AI298" i="11" s="1"/>
  <c r="P298" i="11"/>
  <c r="AJ298" i="11" s="1"/>
  <c r="AA298" i="11"/>
  <c r="AB298" i="11"/>
  <c r="AC298" i="11"/>
  <c r="AD298" i="11"/>
  <c r="AE298" i="11"/>
  <c r="AF298" i="11"/>
  <c r="AG298" i="11"/>
  <c r="AH298" i="11"/>
  <c r="O299" i="11"/>
  <c r="P299" i="11"/>
  <c r="AA299" i="11"/>
  <c r="AB299" i="11"/>
  <c r="AC299" i="11"/>
  <c r="AD299" i="11"/>
  <c r="AE299" i="11"/>
  <c r="AF299" i="11"/>
  <c r="AG299" i="11"/>
  <c r="AH299" i="11"/>
  <c r="AI299" i="11"/>
  <c r="AJ299" i="11"/>
  <c r="O300" i="11"/>
  <c r="AI300" i="11" s="1"/>
  <c r="P300" i="11"/>
  <c r="AJ300" i="11" s="1"/>
  <c r="AA300" i="11"/>
  <c r="AB300" i="11"/>
  <c r="AC300" i="11"/>
  <c r="AD300" i="11"/>
  <c r="AE300" i="11"/>
  <c r="AF300" i="11"/>
  <c r="AG300" i="11"/>
  <c r="AH300" i="11"/>
  <c r="O301" i="11"/>
  <c r="P301" i="11"/>
  <c r="AJ301" i="11" s="1"/>
  <c r="AA301" i="11"/>
  <c r="AB301" i="11"/>
  <c r="AC301" i="11"/>
  <c r="AD301" i="11"/>
  <c r="AE301" i="11"/>
  <c r="AF301" i="11"/>
  <c r="AG301" i="11"/>
  <c r="AH301" i="11"/>
  <c r="AI301" i="11"/>
  <c r="O302" i="11"/>
  <c r="P302" i="11"/>
  <c r="AA302" i="11"/>
  <c r="AB302" i="11"/>
  <c r="AC302" i="11"/>
  <c r="AD302" i="11"/>
  <c r="AE302" i="11"/>
  <c r="AF302" i="11"/>
  <c r="AG302" i="11"/>
  <c r="AH302" i="11"/>
  <c r="AI302" i="11"/>
  <c r="AJ302" i="11"/>
  <c r="O303" i="11"/>
  <c r="AI303" i="11" s="1"/>
  <c r="P303" i="11"/>
  <c r="AJ303" i="11" s="1"/>
  <c r="AA303" i="11"/>
  <c r="AB303" i="11"/>
  <c r="AC303" i="11"/>
  <c r="AD303" i="11"/>
  <c r="AE303" i="11"/>
  <c r="AF303" i="11"/>
  <c r="AG303" i="11"/>
  <c r="AH303" i="11"/>
  <c r="O304" i="11"/>
  <c r="P304" i="11"/>
  <c r="AA304" i="11"/>
  <c r="AB304" i="11"/>
  <c r="AC304" i="11"/>
  <c r="AD304" i="11"/>
  <c r="AE304" i="11"/>
  <c r="AF304" i="11"/>
  <c r="AG304" i="11"/>
  <c r="AH304" i="11"/>
  <c r="AI304" i="11"/>
  <c r="AJ304" i="11"/>
  <c r="O305" i="11"/>
  <c r="AI305" i="11" s="1"/>
  <c r="P305" i="11"/>
  <c r="AJ305" i="11" s="1"/>
  <c r="AA305" i="11"/>
  <c r="AB305" i="11"/>
  <c r="AC305" i="11"/>
  <c r="AD305" i="11"/>
  <c r="AE305" i="11"/>
  <c r="AF305" i="11"/>
  <c r="AG305" i="11"/>
  <c r="AH305" i="11"/>
  <c r="O306" i="11"/>
  <c r="P306" i="11"/>
  <c r="AJ306" i="11" s="1"/>
  <c r="AA306" i="11"/>
  <c r="AB306" i="11"/>
  <c r="AC306" i="11"/>
  <c r="AD306" i="11"/>
  <c r="AE306" i="11"/>
  <c r="AF306" i="11"/>
  <c r="AG306" i="11"/>
  <c r="AH306" i="11"/>
  <c r="AI306" i="11"/>
  <c r="O307" i="11"/>
  <c r="P307" i="11"/>
  <c r="AA307" i="11"/>
  <c r="AB307" i="11"/>
  <c r="AC307" i="11"/>
  <c r="AD307" i="11"/>
  <c r="AE307" i="11"/>
  <c r="AF307" i="11"/>
  <c r="AG307" i="11"/>
  <c r="AH307" i="11"/>
  <c r="AI307" i="11"/>
  <c r="AJ307" i="11"/>
  <c r="O308" i="11"/>
  <c r="AI308" i="11" s="1"/>
  <c r="P308" i="11"/>
  <c r="AJ308" i="11" s="1"/>
  <c r="AA308" i="11"/>
  <c r="AB308" i="11"/>
  <c r="AC308" i="11"/>
  <c r="AD308" i="11"/>
  <c r="AE308" i="11"/>
  <c r="AF308" i="11"/>
  <c r="AG308" i="11"/>
  <c r="AH308" i="11"/>
  <c r="O309" i="11"/>
  <c r="P309" i="11"/>
  <c r="AA309" i="11"/>
  <c r="AB309" i="11"/>
  <c r="AC309" i="11"/>
  <c r="AD309" i="11"/>
  <c r="AE309" i="11"/>
  <c r="AF309" i="11"/>
  <c r="AG309" i="11"/>
  <c r="AH309" i="11"/>
  <c r="AI309" i="11"/>
  <c r="AJ309" i="11"/>
  <c r="O310" i="11"/>
  <c r="AI310" i="11" s="1"/>
  <c r="P310" i="11"/>
  <c r="AJ310" i="11" s="1"/>
  <c r="AA310" i="11"/>
  <c r="AB310" i="11"/>
  <c r="AC310" i="11"/>
  <c r="AD310" i="11"/>
  <c r="AE310" i="11"/>
  <c r="AF310" i="11"/>
  <c r="AG310" i="11"/>
  <c r="AH310" i="11"/>
  <c r="O311" i="11"/>
  <c r="P311" i="11"/>
  <c r="AJ311" i="11" s="1"/>
  <c r="AA311" i="11"/>
  <c r="AB311" i="11"/>
  <c r="AC311" i="11"/>
  <c r="AD311" i="11"/>
  <c r="AE311" i="11"/>
  <c r="AF311" i="11"/>
  <c r="AG311" i="11"/>
  <c r="AH311" i="11"/>
  <c r="AI311" i="11"/>
  <c r="O312" i="11"/>
  <c r="P312" i="11"/>
  <c r="AA312" i="11"/>
  <c r="AB312" i="11"/>
  <c r="AC312" i="11"/>
  <c r="AD312" i="11"/>
  <c r="AE312" i="11"/>
  <c r="AF312" i="11"/>
  <c r="AG312" i="11"/>
  <c r="AH312" i="11"/>
  <c r="AI312" i="11"/>
  <c r="AJ312" i="11"/>
  <c r="O313" i="11"/>
  <c r="AI313" i="11" s="1"/>
  <c r="P313" i="11"/>
  <c r="AJ313" i="11" s="1"/>
  <c r="AA313" i="11"/>
  <c r="AB313" i="11"/>
  <c r="AC313" i="11"/>
  <c r="AD313" i="11"/>
  <c r="AE313" i="11"/>
  <c r="AF313" i="11"/>
  <c r="AG313" i="11"/>
  <c r="AH313" i="11"/>
  <c r="O314" i="11"/>
  <c r="P314" i="11"/>
  <c r="AA314" i="11"/>
  <c r="AB314" i="11"/>
  <c r="AC314" i="11"/>
  <c r="AD314" i="11"/>
  <c r="AE314" i="11"/>
  <c r="AF314" i="11"/>
  <c r="AG314" i="11"/>
  <c r="AH314" i="11"/>
  <c r="AI314" i="11"/>
  <c r="AJ314" i="11"/>
  <c r="O315" i="11"/>
  <c r="AI315" i="11" s="1"/>
  <c r="P315" i="11"/>
  <c r="AJ315" i="11" s="1"/>
  <c r="AA315" i="11"/>
  <c r="AB315" i="11"/>
  <c r="AC315" i="11"/>
  <c r="AD315" i="11"/>
  <c r="AE315" i="11"/>
  <c r="AF315" i="11"/>
  <c r="AG315" i="11"/>
  <c r="AH315" i="11"/>
  <c r="O316" i="11"/>
  <c r="P316" i="11"/>
  <c r="AJ316" i="11" s="1"/>
  <c r="AA316" i="11"/>
  <c r="AB316" i="11"/>
  <c r="AC316" i="11"/>
  <c r="AD316" i="11"/>
  <c r="AE316" i="11"/>
  <c r="AF316" i="11"/>
  <c r="AG316" i="11"/>
  <c r="AH316" i="11"/>
  <c r="AI316" i="11"/>
  <c r="O317" i="11"/>
  <c r="P317" i="11"/>
  <c r="AA317" i="11"/>
  <c r="AB317" i="11"/>
  <c r="AC317" i="11"/>
  <c r="AD317" i="11"/>
  <c r="AE317" i="11"/>
  <c r="AF317" i="11"/>
  <c r="AG317" i="11"/>
  <c r="AH317" i="11"/>
  <c r="AI317" i="11"/>
  <c r="AJ317" i="11"/>
  <c r="O318" i="11"/>
  <c r="AI318" i="11" s="1"/>
  <c r="P318" i="11"/>
  <c r="AJ318" i="11" s="1"/>
  <c r="AA318" i="11"/>
  <c r="AB318" i="11"/>
  <c r="AC318" i="11"/>
  <c r="AD318" i="11"/>
  <c r="AE318" i="11"/>
  <c r="AF318" i="11"/>
  <c r="AG318" i="11"/>
  <c r="AH318" i="11"/>
  <c r="O319" i="11"/>
  <c r="P319" i="11"/>
  <c r="AA319" i="11"/>
  <c r="AB319" i="11"/>
  <c r="AC319" i="11"/>
  <c r="AD319" i="11"/>
  <c r="AE319" i="11"/>
  <c r="AF319" i="11"/>
  <c r="AG319" i="11"/>
  <c r="AH319" i="11"/>
  <c r="AI319" i="11"/>
  <c r="AJ319" i="11"/>
  <c r="O320" i="11"/>
  <c r="AI320" i="11" s="1"/>
  <c r="P320" i="11"/>
  <c r="AJ320" i="11" s="1"/>
  <c r="AA320" i="11"/>
  <c r="AB320" i="11"/>
  <c r="AC320" i="11"/>
  <c r="AD320" i="11"/>
  <c r="AE320" i="11"/>
  <c r="AF320" i="11"/>
  <c r="AG320" i="11"/>
  <c r="AH320" i="11"/>
  <c r="O321" i="11"/>
  <c r="P321" i="11"/>
  <c r="AJ321" i="11" s="1"/>
  <c r="AA321" i="11"/>
  <c r="AB321" i="11"/>
  <c r="AC321" i="11"/>
  <c r="AD321" i="11"/>
  <c r="AE321" i="11"/>
  <c r="AF321" i="11"/>
  <c r="AG321" i="11"/>
  <c r="AH321" i="11"/>
  <c r="AI321" i="11"/>
  <c r="O322" i="11"/>
  <c r="P322" i="11"/>
  <c r="AA322" i="11"/>
  <c r="AB322" i="11"/>
  <c r="AC322" i="11"/>
  <c r="AD322" i="11"/>
  <c r="AE322" i="11"/>
  <c r="AF322" i="11"/>
  <c r="AG322" i="11"/>
  <c r="AH322" i="11"/>
  <c r="AI322" i="11"/>
  <c r="AJ322" i="11"/>
  <c r="O323" i="11"/>
  <c r="AI323" i="11" s="1"/>
  <c r="P323" i="11"/>
  <c r="AJ323" i="11" s="1"/>
  <c r="AA323" i="11"/>
  <c r="AB323" i="11"/>
  <c r="AC323" i="11"/>
  <c r="AD323" i="11"/>
  <c r="AE323" i="11"/>
  <c r="AF323" i="11"/>
  <c r="AG323" i="11"/>
  <c r="AH323" i="11"/>
  <c r="O324" i="11"/>
  <c r="P324" i="11"/>
  <c r="AA324" i="11"/>
  <c r="AB324" i="11"/>
  <c r="AC324" i="11"/>
  <c r="AD324" i="11"/>
  <c r="AE324" i="11"/>
  <c r="AF324" i="11"/>
  <c r="AG324" i="11"/>
  <c r="AH324" i="11"/>
  <c r="AI324" i="11"/>
  <c r="AJ324" i="11"/>
  <c r="O325" i="11"/>
  <c r="AI325" i="11" s="1"/>
  <c r="P325" i="11"/>
  <c r="AJ325" i="11" s="1"/>
  <c r="AA325" i="11"/>
  <c r="AB325" i="11"/>
  <c r="AC325" i="11"/>
  <c r="AD325" i="11"/>
  <c r="AE325" i="11"/>
  <c r="AF325" i="11"/>
  <c r="AG325" i="11"/>
  <c r="AH325" i="11"/>
  <c r="O326" i="11"/>
  <c r="P326" i="11"/>
  <c r="AJ326" i="11" s="1"/>
  <c r="AA326" i="11"/>
  <c r="AB326" i="11"/>
  <c r="AC326" i="11"/>
  <c r="AD326" i="11"/>
  <c r="AE326" i="11"/>
  <c r="AF326" i="11"/>
  <c r="AG326" i="11"/>
  <c r="AH326" i="11"/>
  <c r="AI326" i="11"/>
  <c r="O327" i="11"/>
  <c r="P327" i="11"/>
  <c r="AA327" i="11"/>
  <c r="AB327" i="11"/>
  <c r="AC327" i="11"/>
  <c r="AD327" i="11"/>
  <c r="AE327" i="11"/>
  <c r="AF327" i="11"/>
  <c r="AG327" i="11"/>
  <c r="AH327" i="11"/>
  <c r="AI327" i="11"/>
  <c r="AJ327" i="11"/>
  <c r="O328" i="11"/>
  <c r="AI328" i="11" s="1"/>
  <c r="P328" i="11"/>
  <c r="AJ328" i="11" s="1"/>
  <c r="AA328" i="11"/>
  <c r="AB328" i="11"/>
  <c r="AC328" i="11"/>
  <c r="AD328" i="11"/>
  <c r="AE328" i="11"/>
  <c r="AF328" i="11"/>
  <c r="AG328" i="11"/>
  <c r="AH328" i="11"/>
  <c r="O329" i="11"/>
  <c r="P329" i="11"/>
  <c r="AA329" i="11"/>
  <c r="AB329" i="11"/>
  <c r="AC329" i="11"/>
  <c r="AD329" i="11"/>
  <c r="AE329" i="11"/>
  <c r="AF329" i="11"/>
  <c r="AG329" i="11"/>
  <c r="AH329" i="11"/>
  <c r="AI329" i="11"/>
  <c r="AJ329" i="11"/>
  <c r="O330" i="11"/>
  <c r="AI330" i="11" s="1"/>
  <c r="P330" i="11"/>
  <c r="AJ330" i="11" s="1"/>
  <c r="AA330" i="11"/>
  <c r="AB330" i="11"/>
  <c r="AC330" i="11"/>
  <c r="AD330" i="11"/>
  <c r="AE330" i="11"/>
  <c r="AF330" i="11"/>
  <c r="AG330" i="11"/>
  <c r="AH330" i="11"/>
  <c r="O331" i="11"/>
  <c r="P331" i="11"/>
  <c r="AJ331" i="11" s="1"/>
  <c r="AA331" i="11"/>
  <c r="AB331" i="11"/>
  <c r="AC331" i="11"/>
  <c r="AD331" i="11"/>
  <c r="AE331" i="11"/>
  <c r="AF331" i="11"/>
  <c r="AG331" i="11"/>
  <c r="AH331" i="11"/>
  <c r="AI331" i="11"/>
  <c r="O332" i="11"/>
  <c r="P332" i="11"/>
  <c r="AA332" i="11"/>
  <c r="AB332" i="11"/>
  <c r="AC332" i="11"/>
  <c r="AD332" i="11"/>
  <c r="AE332" i="11"/>
  <c r="AF332" i="11"/>
  <c r="AG332" i="11"/>
  <c r="AH332" i="11"/>
  <c r="AI332" i="11"/>
  <c r="AJ332" i="11"/>
  <c r="O333" i="11"/>
  <c r="AI333" i="11" s="1"/>
  <c r="P333" i="11"/>
  <c r="AJ333" i="11" s="1"/>
  <c r="AA333" i="11"/>
  <c r="AB333" i="11"/>
  <c r="AC333" i="11"/>
  <c r="AD333" i="11"/>
  <c r="AE333" i="11"/>
  <c r="AF333" i="11"/>
  <c r="AG333" i="11"/>
  <c r="AH333" i="11"/>
  <c r="O334" i="11"/>
  <c r="P334" i="11"/>
  <c r="AA334" i="11"/>
  <c r="AB334" i="11"/>
  <c r="AC334" i="11"/>
  <c r="AD334" i="11"/>
  <c r="AE334" i="11"/>
  <c r="AF334" i="11"/>
  <c r="AG334" i="11"/>
  <c r="AH334" i="11"/>
  <c r="AI334" i="11"/>
  <c r="AJ334" i="11"/>
  <c r="O335" i="11"/>
  <c r="AI335" i="11" s="1"/>
  <c r="P335" i="11"/>
  <c r="AJ335" i="11" s="1"/>
  <c r="AA335" i="11"/>
  <c r="AB335" i="11"/>
  <c r="AC335" i="11"/>
  <c r="AD335" i="11"/>
  <c r="AE335" i="11"/>
  <c r="AF335" i="11"/>
  <c r="AG335" i="11"/>
  <c r="AH335" i="11"/>
  <c r="O336" i="11"/>
  <c r="P336" i="11"/>
  <c r="AJ336" i="11" s="1"/>
  <c r="AA336" i="11"/>
  <c r="AB336" i="11"/>
  <c r="AC336" i="11"/>
  <c r="AD336" i="11"/>
  <c r="AE336" i="11"/>
  <c r="AF336" i="11"/>
  <c r="AG336" i="11"/>
  <c r="AH336" i="11"/>
  <c r="AI336" i="11"/>
  <c r="O337" i="11"/>
  <c r="P337" i="11"/>
  <c r="AA337" i="11"/>
  <c r="AB337" i="11"/>
  <c r="AC337" i="11"/>
  <c r="AD337" i="11"/>
  <c r="AE337" i="11"/>
  <c r="AF337" i="11"/>
  <c r="AG337" i="11"/>
  <c r="AH337" i="11"/>
  <c r="AI337" i="11"/>
  <c r="AJ337" i="11"/>
  <c r="O338" i="11"/>
  <c r="AI338" i="11" s="1"/>
  <c r="P338" i="11"/>
  <c r="AJ338" i="11" s="1"/>
  <c r="AA338" i="11"/>
  <c r="AB338" i="11"/>
  <c r="AC338" i="11"/>
  <c r="AD338" i="11"/>
  <c r="AE338" i="11"/>
  <c r="AF338" i="11"/>
  <c r="AG338" i="11"/>
  <c r="AH338" i="11"/>
  <c r="O339" i="11"/>
  <c r="P339" i="11"/>
  <c r="AA339" i="11"/>
  <c r="AB339" i="11"/>
  <c r="AC339" i="11"/>
  <c r="AD339" i="11"/>
  <c r="AE339" i="11"/>
  <c r="AF339" i="11"/>
  <c r="AG339" i="11"/>
  <c r="AH339" i="11"/>
  <c r="AI339" i="11"/>
  <c r="AJ339" i="11"/>
  <c r="O340" i="11"/>
  <c r="AI340" i="11" s="1"/>
  <c r="P340" i="11"/>
  <c r="AJ340" i="11" s="1"/>
  <c r="AA340" i="11"/>
  <c r="AB340" i="11"/>
  <c r="AC340" i="11"/>
  <c r="AD340" i="11"/>
  <c r="AE340" i="11"/>
  <c r="AF340" i="11"/>
  <c r="AG340" i="11"/>
  <c r="AH340" i="11"/>
  <c r="O341" i="11"/>
  <c r="P341" i="11"/>
  <c r="AJ341" i="11" s="1"/>
  <c r="AA341" i="11"/>
  <c r="AB341" i="11"/>
  <c r="AC341" i="11"/>
  <c r="AD341" i="11"/>
  <c r="AE341" i="11"/>
  <c r="AF341" i="11"/>
  <c r="AG341" i="11"/>
  <c r="AH341" i="11"/>
  <c r="AI341" i="11"/>
  <c r="O342" i="11"/>
  <c r="P342" i="11"/>
  <c r="AA342" i="11"/>
  <c r="AB342" i="11"/>
  <c r="AC342" i="11"/>
  <c r="AD342" i="11"/>
  <c r="AE342" i="11"/>
  <c r="AF342" i="11"/>
  <c r="AG342" i="11"/>
  <c r="AH342" i="11"/>
  <c r="AI342" i="11"/>
  <c r="AJ342" i="11"/>
  <c r="O343" i="11"/>
  <c r="AI343" i="11" s="1"/>
  <c r="P343" i="11"/>
  <c r="AJ343" i="11" s="1"/>
  <c r="AA343" i="11"/>
  <c r="AB343" i="11"/>
  <c r="AC343" i="11"/>
  <c r="AD343" i="11"/>
  <c r="AE343" i="11"/>
  <c r="AF343" i="11"/>
  <c r="AG343" i="11"/>
  <c r="AH343" i="11"/>
  <c r="O344" i="11"/>
  <c r="P344" i="11"/>
  <c r="AA344" i="11"/>
  <c r="AB344" i="11"/>
  <c r="AC344" i="11"/>
  <c r="AD344" i="11"/>
  <c r="AE344" i="11"/>
  <c r="AF344" i="11"/>
  <c r="AG344" i="11"/>
  <c r="AH344" i="11"/>
  <c r="AI344" i="11"/>
  <c r="AJ344" i="11"/>
  <c r="O345" i="11"/>
  <c r="AI345" i="11" s="1"/>
  <c r="P345" i="11"/>
  <c r="AJ345" i="11" s="1"/>
  <c r="AA345" i="11"/>
  <c r="AB345" i="11"/>
  <c r="AC345" i="11"/>
  <c r="AD345" i="11"/>
  <c r="AE345" i="11"/>
  <c r="AF345" i="11"/>
  <c r="AG345" i="11"/>
  <c r="AH345" i="11"/>
  <c r="O346" i="11"/>
  <c r="P346" i="11"/>
  <c r="AJ346" i="11" s="1"/>
  <c r="AA346" i="11"/>
  <c r="AB346" i="11"/>
  <c r="AC346" i="11"/>
  <c r="AD346" i="11"/>
  <c r="AE346" i="11"/>
  <c r="AF346" i="11"/>
  <c r="AG346" i="11"/>
  <c r="AH346" i="11"/>
  <c r="AI346" i="11"/>
  <c r="O347" i="11"/>
  <c r="P347" i="11"/>
  <c r="AA347" i="11"/>
  <c r="AB347" i="11"/>
  <c r="AC347" i="11"/>
  <c r="AD347" i="11"/>
  <c r="AE347" i="11"/>
  <c r="AF347" i="11"/>
  <c r="AG347" i="11"/>
  <c r="AH347" i="11"/>
  <c r="AI347" i="11"/>
  <c r="AJ347" i="11"/>
  <c r="O348" i="11"/>
  <c r="AI348" i="11" s="1"/>
  <c r="P348" i="11"/>
  <c r="AJ348" i="11" s="1"/>
  <c r="AA348" i="11"/>
  <c r="AB348" i="11"/>
  <c r="AC348" i="11"/>
  <c r="AD348" i="11"/>
  <c r="AE348" i="11"/>
  <c r="AF348" i="11"/>
  <c r="AG348" i="11"/>
  <c r="AH348" i="11"/>
  <c r="O349" i="11"/>
  <c r="P349" i="11"/>
  <c r="AA349" i="11"/>
  <c r="AB349" i="11"/>
  <c r="AC349" i="11"/>
  <c r="AD349" i="11"/>
  <c r="AE349" i="11"/>
  <c r="AF349" i="11"/>
  <c r="AG349" i="11"/>
  <c r="AH349" i="11"/>
  <c r="AI349" i="11"/>
  <c r="AJ349" i="11"/>
  <c r="AI17" i="9"/>
  <c r="AI16" i="9"/>
  <c r="AI15" i="9"/>
  <c r="AI14" i="9"/>
  <c r="AI13" i="9"/>
  <c r="AI12" i="9"/>
  <c r="AI11" i="9"/>
  <c r="AI10" i="9"/>
  <c r="AI9" i="9"/>
  <c r="AI8" i="9"/>
  <c r="AI7" i="9"/>
  <c r="AI6" i="9"/>
  <c r="AI5" i="9"/>
  <c r="AI4" i="9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34" i="8" s="1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AI5" i="7"/>
  <c r="AI4" i="7"/>
  <c r="AI384" i="6"/>
  <c r="AI383" i="6"/>
  <c r="AI382" i="6"/>
  <c r="AI381" i="6"/>
  <c r="AI380" i="6"/>
  <c r="AI379" i="6"/>
  <c r="AI378" i="6"/>
  <c r="AI377" i="6"/>
  <c r="AI376" i="6"/>
  <c r="AI375" i="6"/>
  <c r="AI374" i="6"/>
  <c r="AI373" i="6"/>
  <c r="AI372" i="6"/>
  <c r="AI371" i="6"/>
  <c r="AI370" i="6"/>
  <c r="AI369" i="6"/>
  <c r="AI368" i="6"/>
  <c r="AI367" i="6"/>
  <c r="AI366" i="6"/>
  <c r="AI365" i="6"/>
  <c r="AI364" i="6"/>
  <c r="AI363" i="6"/>
  <c r="AI362" i="6"/>
  <c r="AI361" i="6"/>
  <c r="AI360" i="6"/>
  <c r="AI359" i="6"/>
  <c r="AI358" i="6"/>
  <c r="AI357" i="6"/>
  <c r="AI356" i="6"/>
  <c r="AI355" i="6"/>
  <c r="AI354" i="6"/>
  <c r="AI353" i="6"/>
  <c r="AI352" i="6"/>
  <c r="AI351" i="6"/>
  <c r="AI350" i="6"/>
  <c r="AI349" i="6"/>
  <c r="AI348" i="6"/>
  <c r="AI347" i="6"/>
  <c r="AI346" i="6"/>
  <c r="AI345" i="6"/>
  <c r="AI344" i="6"/>
  <c r="AI343" i="6"/>
  <c r="AI342" i="6"/>
  <c r="AI341" i="6"/>
  <c r="AI340" i="6"/>
  <c r="AI339" i="6"/>
  <c r="AI338" i="6"/>
  <c r="AI337" i="6"/>
  <c r="AI336" i="6"/>
  <c r="AI335" i="6"/>
  <c r="AI334" i="6"/>
  <c r="AI333" i="6"/>
  <c r="AI332" i="6"/>
  <c r="AI331" i="6"/>
  <c r="AI330" i="6"/>
  <c r="AI329" i="6"/>
  <c r="AI328" i="6"/>
  <c r="AI327" i="6"/>
  <c r="AI326" i="6"/>
  <c r="AI325" i="6"/>
  <c r="AI324" i="6"/>
  <c r="AI323" i="6"/>
  <c r="AI322" i="6"/>
  <c r="AI321" i="6"/>
  <c r="AI320" i="6"/>
  <c r="AI319" i="6"/>
  <c r="AI318" i="6"/>
  <c r="AI317" i="6"/>
  <c r="AI316" i="6"/>
  <c r="AI315" i="6"/>
  <c r="AI314" i="6"/>
  <c r="AI313" i="6"/>
  <c r="AI312" i="6"/>
  <c r="AI311" i="6"/>
  <c r="AI310" i="6"/>
  <c r="AI309" i="6"/>
  <c r="AI308" i="6"/>
  <c r="AI307" i="6"/>
  <c r="AI306" i="6"/>
  <c r="AI305" i="6"/>
  <c r="AI304" i="6"/>
  <c r="AI303" i="6"/>
  <c r="AI302" i="6"/>
  <c r="AI301" i="6"/>
  <c r="AI300" i="6"/>
  <c r="AI299" i="6"/>
  <c r="AI298" i="6"/>
  <c r="AI297" i="6"/>
  <c r="AI296" i="6"/>
  <c r="AI295" i="6"/>
  <c r="AI294" i="6"/>
  <c r="AI293" i="6"/>
  <c r="AI292" i="6"/>
  <c r="AI291" i="6"/>
  <c r="AI290" i="6"/>
  <c r="AI289" i="6"/>
  <c r="AI288" i="6"/>
  <c r="AI287" i="6"/>
  <c r="AI286" i="6"/>
  <c r="AI285" i="6"/>
  <c r="AI284" i="6"/>
  <c r="AI283" i="6"/>
  <c r="AI282" i="6"/>
  <c r="AI281" i="6"/>
  <c r="AI280" i="6"/>
  <c r="AI279" i="6"/>
  <c r="AI278" i="6"/>
  <c r="AI277" i="6"/>
  <c r="AI276" i="6"/>
  <c r="AI275" i="6"/>
  <c r="AI274" i="6"/>
  <c r="AI273" i="6"/>
  <c r="AI272" i="6"/>
  <c r="AI271" i="6"/>
  <c r="AI270" i="6"/>
  <c r="AI269" i="6"/>
  <c r="AI268" i="6"/>
  <c r="AI267" i="6"/>
  <c r="AI266" i="6"/>
  <c r="AI265" i="6"/>
  <c r="AI264" i="6"/>
  <c r="AI263" i="6"/>
  <c r="AI262" i="6"/>
  <c r="AI261" i="6"/>
  <c r="AI260" i="6"/>
  <c r="AI259" i="6"/>
  <c r="AI258" i="6"/>
  <c r="AI257" i="6"/>
  <c r="AI256" i="6"/>
  <c r="AI255" i="6"/>
  <c r="AI254" i="6"/>
  <c r="AI253" i="6"/>
  <c r="AI252" i="6"/>
  <c r="AI251" i="6"/>
  <c r="AI250" i="6"/>
  <c r="AI249" i="6"/>
  <c r="AI248" i="6"/>
  <c r="AI247" i="6"/>
  <c r="AI246" i="6"/>
  <c r="AI245" i="6"/>
  <c r="AI244" i="6"/>
  <c r="AI243" i="6"/>
  <c r="AI242" i="6"/>
  <c r="AI241" i="6"/>
  <c r="AI240" i="6"/>
  <c r="AI239" i="6"/>
  <c r="AI238" i="6"/>
  <c r="AI237" i="6"/>
  <c r="AI236" i="6"/>
  <c r="AI235" i="6"/>
  <c r="AI234" i="6"/>
  <c r="AI233" i="6"/>
  <c r="AI232" i="6"/>
  <c r="AI231" i="6"/>
  <c r="AI230" i="6"/>
  <c r="AI229" i="6"/>
  <c r="AI228" i="6"/>
  <c r="AI227" i="6"/>
  <c r="AI226" i="6"/>
  <c r="AI225" i="6"/>
  <c r="AI224" i="6"/>
  <c r="AI223" i="6"/>
  <c r="AI222" i="6"/>
  <c r="AI221" i="6"/>
  <c r="AI220" i="6"/>
  <c r="AI219" i="6"/>
  <c r="AI218" i="6"/>
  <c r="AI217" i="6"/>
  <c r="AI216" i="6"/>
  <c r="AI215" i="6"/>
  <c r="AI214" i="6"/>
  <c r="AI213" i="6"/>
  <c r="AI212" i="6"/>
  <c r="AI211" i="6"/>
  <c r="AI210" i="6"/>
  <c r="AI209" i="6"/>
  <c r="AI208" i="6"/>
  <c r="AI207" i="6"/>
  <c r="AI206" i="6"/>
  <c r="AI205" i="6"/>
  <c r="AI204" i="6"/>
  <c r="AI203" i="6"/>
  <c r="AI202" i="6"/>
  <c r="AI201" i="6"/>
  <c r="AI200" i="6"/>
  <c r="AI199" i="6"/>
  <c r="AI198" i="6"/>
  <c r="AI197" i="6"/>
  <c r="AI196" i="6"/>
  <c r="AI195" i="6"/>
  <c r="AI194" i="6"/>
  <c r="AI193" i="6"/>
  <c r="AI192" i="6"/>
  <c r="AI191" i="6"/>
  <c r="AI190" i="6"/>
  <c r="AI189" i="6"/>
  <c r="AI188" i="6"/>
  <c r="AI187" i="6"/>
  <c r="AI186" i="6"/>
  <c r="AI185" i="6"/>
  <c r="AI184" i="6"/>
  <c r="AI183" i="6"/>
  <c r="AI182" i="6"/>
  <c r="AI181" i="6"/>
  <c r="AI180" i="6"/>
  <c r="AI179" i="6"/>
  <c r="AI178" i="6"/>
  <c r="AI177" i="6"/>
  <c r="AI176" i="6"/>
  <c r="AI175" i="6"/>
  <c r="AI174" i="6"/>
  <c r="AI173" i="6"/>
  <c r="AI172" i="6"/>
  <c r="AI171" i="6"/>
  <c r="AI170" i="6"/>
  <c r="AI169" i="6"/>
  <c r="AI168" i="6"/>
  <c r="AI167" i="6"/>
  <c r="AI166" i="6"/>
  <c r="AI165" i="6"/>
  <c r="AI164" i="6"/>
  <c r="AI163" i="6"/>
  <c r="AI162" i="6"/>
  <c r="AI161" i="6"/>
  <c r="AI160" i="6"/>
  <c r="AI159" i="6"/>
  <c r="AI158" i="6"/>
  <c r="AI157" i="6"/>
  <c r="AI156" i="6"/>
  <c r="AI155" i="6"/>
  <c r="AI154" i="6"/>
  <c r="AI153" i="6"/>
  <c r="AI152" i="6"/>
  <c r="AI151" i="6"/>
  <c r="AI150" i="6"/>
  <c r="AI149" i="6"/>
  <c r="AI148" i="6"/>
  <c r="AI147" i="6"/>
  <c r="AI146" i="6"/>
  <c r="AI145" i="6"/>
  <c r="AI144" i="6"/>
  <c r="AI143" i="6"/>
  <c r="AI142" i="6"/>
  <c r="AI141" i="6"/>
  <c r="AI140" i="6"/>
  <c r="AI139" i="6"/>
  <c r="AI138" i="6"/>
  <c r="AI137" i="6"/>
  <c r="AI136" i="6"/>
  <c r="AI135" i="6"/>
  <c r="AI134" i="6"/>
  <c r="AI133" i="6"/>
  <c r="AI132" i="6"/>
  <c r="AI131" i="6"/>
  <c r="AI130" i="6"/>
  <c r="AI129" i="6"/>
  <c r="AI128" i="6"/>
  <c r="AI127" i="6"/>
  <c r="AI126" i="6"/>
  <c r="AI125" i="6"/>
  <c r="AI124" i="6"/>
  <c r="AI123" i="6"/>
  <c r="AI122" i="6"/>
  <c r="AI121" i="6"/>
  <c r="AI120" i="6"/>
  <c r="AI119" i="6"/>
  <c r="AI118" i="6"/>
  <c r="AI117" i="6"/>
  <c r="AI116" i="6"/>
  <c r="AI115" i="6"/>
  <c r="AI114" i="6"/>
  <c r="AI113" i="6"/>
  <c r="AI112" i="6"/>
  <c r="AI111" i="6"/>
  <c r="AI110" i="6"/>
  <c r="AI109" i="6"/>
  <c r="AI108" i="6"/>
  <c r="AI107" i="6"/>
  <c r="AI106" i="6"/>
  <c r="AI105" i="6"/>
  <c r="AI104" i="6"/>
  <c r="AI103" i="6"/>
  <c r="AI102" i="6"/>
  <c r="AI101" i="6"/>
  <c r="AI100" i="6"/>
  <c r="AI99" i="6"/>
  <c r="AI98" i="6"/>
  <c r="AI97" i="6"/>
  <c r="AI96" i="6"/>
  <c r="AI95" i="6"/>
  <c r="AI94" i="6"/>
  <c r="AI93" i="6"/>
  <c r="AI92" i="6"/>
  <c r="AI91" i="6"/>
  <c r="AI90" i="6"/>
  <c r="AI89" i="6"/>
  <c r="AI88" i="6"/>
  <c r="AI87" i="6"/>
  <c r="AI86" i="6"/>
  <c r="AI85" i="6"/>
  <c r="AI84" i="6"/>
  <c r="AI83" i="6"/>
  <c r="AI82" i="6"/>
  <c r="AI81" i="6"/>
  <c r="AI80" i="6"/>
  <c r="AI79" i="6"/>
  <c r="AI78" i="6"/>
  <c r="AI77" i="6"/>
  <c r="AI76" i="6"/>
  <c r="AI75" i="6"/>
  <c r="AI74" i="6"/>
  <c r="AI73" i="6"/>
  <c r="AI72" i="6"/>
  <c r="AI71" i="6"/>
  <c r="AI70" i="6"/>
  <c r="AI69" i="6"/>
  <c r="AI68" i="6"/>
  <c r="AI67" i="6"/>
  <c r="AI66" i="6"/>
  <c r="AI65" i="6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AI46" i="6"/>
  <c r="AI45" i="6"/>
  <c r="AI44" i="6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8" i="6"/>
  <c r="AI27" i="6"/>
  <c r="AI26" i="6"/>
  <c r="AI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I7" i="6"/>
  <c r="AI6" i="6"/>
  <c r="AI5" i="6"/>
  <c r="AI4" i="6"/>
  <c r="AI384" i="5"/>
  <c r="AI383" i="5"/>
  <c r="AI382" i="5"/>
  <c r="AI381" i="5"/>
  <c r="AI380" i="5"/>
  <c r="AI379" i="5"/>
  <c r="AI378" i="5"/>
  <c r="AI377" i="5"/>
  <c r="AI376" i="5"/>
  <c r="AI375" i="5"/>
  <c r="AI374" i="5"/>
  <c r="AI373" i="5"/>
  <c r="AI372" i="5"/>
  <c r="AI371" i="5"/>
  <c r="AI370" i="5"/>
  <c r="AI369" i="5"/>
  <c r="AI368" i="5"/>
  <c r="AI367" i="5"/>
  <c r="AI366" i="5"/>
  <c r="AI365" i="5"/>
  <c r="AI364" i="5"/>
  <c r="AI363" i="5"/>
  <c r="AI362" i="5"/>
  <c r="AI361" i="5"/>
  <c r="AI360" i="5"/>
  <c r="AI359" i="5"/>
  <c r="AI358" i="5"/>
  <c r="AI357" i="5"/>
  <c r="AI356" i="5"/>
  <c r="AI355" i="5"/>
  <c r="AI354" i="5"/>
  <c r="AI353" i="5"/>
  <c r="AI352" i="5"/>
  <c r="AI351" i="5"/>
  <c r="AI350" i="5"/>
  <c r="AI349" i="5"/>
  <c r="AI348" i="5"/>
  <c r="AI347" i="5"/>
  <c r="AI346" i="5"/>
  <c r="AI345" i="5"/>
  <c r="AI344" i="5"/>
  <c r="AI343" i="5"/>
  <c r="AI342" i="5"/>
  <c r="AI341" i="5"/>
  <c r="AI340" i="5"/>
  <c r="AI339" i="5"/>
  <c r="AI338" i="5"/>
  <c r="AI337" i="5"/>
  <c r="AI336" i="5"/>
  <c r="AI335" i="5"/>
  <c r="AI334" i="5"/>
  <c r="AI333" i="5"/>
  <c r="AI332" i="5"/>
  <c r="AI331" i="5"/>
  <c r="AI330" i="5"/>
  <c r="AI329" i="5"/>
  <c r="AI328" i="5"/>
  <c r="AI327" i="5"/>
  <c r="AI326" i="5"/>
  <c r="AI325" i="5"/>
  <c r="AI324" i="5"/>
  <c r="AI323" i="5"/>
  <c r="AI322" i="5"/>
  <c r="AI321" i="5"/>
  <c r="AI320" i="5"/>
  <c r="AI319" i="5"/>
  <c r="AI318" i="5"/>
  <c r="AI317" i="5"/>
  <c r="AI316" i="5"/>
  <c r="AI315" i="5"/>
  <c r="AI314" i="5"/>
  <c r="AI313" i="5"/>
  <c r="AI312" i="5"/>
  <c r="AI311" i="5"/>
  <c r="AI310" i="5"/>
  <c r="AI309" i="5"/>
  <c r="AI308" i="5"/>
  <c r="AI307" i="5"/>
  <c r="AI306" i="5"/>
  <c r="AI305" i="5"/>
  <c r="AI304" i="5"/>
  <c r="AI303" i="5"/>
  <c r="AI302" i="5"/>
  <c r="AI301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384" i="4"/>
  <c r="AI383" i="4"/>
  <c r="AI382" i="4"/>
  <c r="AI381" i="4"/>
  <c r="AI380" i="4"/>
  <c r="AI379" i="4"/>
  <c r="AI378" i="4"/>
  <c r="AI377" i="4"/>
  <c r="AI376" i="4"/>
  <c r="AI375" i="4"/>
  <c r="AI374" i="4"/>
  <c r="AI373" i="4"/>
  <c r="AI372" i="4"/>
  <c r="AI371" i="4"/>
  <c r="AI370" i="4"/>
  <c r="AI369" i="4"/>
  <c r="AI368" i="4"/>
  <c r="AI367" i="4"/>
  <c r="AI366" i="4"/>
  <c r="AI365" i="4"/>
  <c r="AI364" i="4"/>
  <c r="AI363" i="4"/>
  <c r="AI362" i="4"/>
  <c r="AI361" i="4"/>
  <c r="AI360" i="4"/>
  <c r="AI359" i="4"/>
  <c r="AI358" i="4"/>
  <c r="AI357" i="4"/>
  <c r="AI356" i="4"/>
  <c r="AI355" i="4"/>
  <c r="AI354" i="4"/>
  <c r="AI353" i="4"/>
  <c r="AI352" i="4"/>
  <c r="AI351" i="4"/>
  <c r="AI350" i="4"/>
  <c r="AI349" i="4"/>
  <c r="AI348" i="4"/>
  <c r="AI347" i="4"/>
  <c r="AI346" i="4"/>
  <c r="AI345" i="4"/>
  <c r="AI344" i="4"/>
  <c r="AI343" i="4"/>
  <c r="AI342" i="4"/>
  <c r="AI341" i="4"/>
  <c r="AI340" i="4"/>
  <c r="AI339" i="4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I309" i="4"/>
  <c r="AI308" i="4"/>
  <c r="AI307" i="4"/>
  <c r="AI306" i="4"/>
  <c r="AI305" i="4"/>
  <c r="AI304" i="4"/>
  <c r="AI303" i="4"/>
  <c r="AI302" i="4"/>
  <c r="AI301" i="4"/>
  <c r="AI300" i="4"/>
  <c r="AI299" i="4"/>
  <c r="AI298" i="4"/>
  <c r="AI297" i="4"/>
  <c r="AI296" i="4"/>
  <c r="AI295" i="4"/>
  <c r="AI294" i="4"/>
  <c r="AI293" i="4"/>
  <c r="AI292" i="4"/>
  <c r="AI291" i="4"/>
  <c r="AI290" i="4"/>
  <c r="AI289" i="4"/>
  <c r="AI288" i="4"/>
  <c r="AI287" i="4"/>
  <c r="AI286" i="4"/>
  <c r="AI285" i="4"/>
  <c r="AI284" i="4"/>
  <c r="AI283" i="4"/>
  <c r="AI282" i="4"/>
  <c r="AI280" i="4"/>
  <c r="AI279" i="4"/>
  <c r="AI278" i="4"/>
  <c r="AI277" i="4"/>
  <c r="AI276" i="4"/>
  <c r="AI275" i="4"/>
  <c r="AI274" i="4"/>
  <c r="AI273" i="4"/>
  <c r="AI272" i="4"/>
  <c r="AI271" i="4"/>
  <c r="AI270" i="4"/>
  <c r="AI269" i="4"/>
  <c r="AI268" i="4"/>
  <c r="AI267" i="4"/>
  <c r="AI266" i="4"/>
  <c r="AI265" i="4"/>
  <c r="AI264" i="4"/>
  <c r="AI263" i="4"/>
  <c r="AI261" i="4"/>
  <c r="AI260" i="4"/>
  <c r="AI259" i="4"/>
  <c r="AI258" i="4"/>
  <c r="AI257" i="4"/>
  <c r="AI256" i="4"/>
  <c r="AI255" i="4"/>
  <c r="AI254" i="4"/>
  <c r="AI253" i="4"/>
  <c r="AI252" i="4"/>
  <c r="AI251" i="4"/>
  <c r="AI250" i="4"/>
  <c r="AI249" i="4"/>
  <c r="AI248" i="4"/>
  <c r="AI247" i="4"/>
  <c r="AI246" i="4"/>
  <c r="AI245" i="4"/>
  <c r="AI244" i="4"/>
  <c r="AI243" i="4"/>
  <c r="AI242" i="4"/>
  <c r="AI241" i="4"/>
  <c r="AI240" i="4"/>
  <c r="AI239" i="4"/>
  <c r="AI238" i="4"/>
  <c r="AI237" i="4"/>
  <c r="AI236" i="4"/>
  <c r="AI235" i="4"/>
  <c r="AI234" i="4"/>
  <c r="AI233" i="4"/>
  <c r="AI232" i="4"/>
  <c r="AI231" i="4"/>
  <c r="AI230" i="4"/>
  <c r="AI229" i="4"/>
  <c r="AI228" i="4"/>
  <c r="AI227" i="4"/>
  <c r="AI226" i="4"/>
  <c r="AI224" i="4"/>
  <c r="AI223" i="4"/>
  <c r="AI222" i="4"/>
  <c r="AI221" i="4"/>
  <c r="AI220" i="4"/>
  <c r="AI219" i="4"/>
  <c r="AI218" i="4"/>
  <c r="AI217" i="4"/>
  <c r="AI216" i="4"/>
  <c r="AI215" i="4"/>
  <c r="AI214" i="4"/>
  <c r="AI213" i="4"/>
  <c r="AI212" i="4"/>
  <c r="AI211" i="4"/>
  <c r="AI210" i="4"/>
  <c r="AI209" i="4"/>
  <c r="AI208" i="4"/>
  <c r="AI207" i="4"/>
  <c r="AI206" i="4"/>
  <c r="AI205" i="4"/>
  <c r="AI204" i="4"/>
  <c r="AI203" i="4"/>
  <c r="AI202" i="4"/>
  <c r="AI201" i="4"/>
  <c r="AI200" i="4"/>
  <c r="AI199" i="4"/>
  <c r="AI198" i="4"/>
  <c r="AI197" i="4"/>
  <c r="AI196" i="4"/>
  <c r="AI195" i="4"/>
  <c r="AI194" i="4"/>
  <c r="AI193" i="4"/>
  <c r="AI192" i="4"/>
  <c r="AI191" i="4"/>
  <c r="AI189" i="4"/>
  <c r="AI188" i="4"/>
  <c r="AI187" i="4"/>
  <c r="AI186" i="4"/>
  <c r="AI185" i="4"/>
  <c r="AI184" i="4"/>
  <c r="AI183" i="4"/>
  <c r="AI182" i="4"/>
  <c r="AI181" i="4"/>
  <c r="AI180" i="4"/>
  <c r="AI179" i="4"/>
  <c r="AI178" i="4"/>
  <c r="AI177" i="4"/>
  <c r="AI176" i="4"/>
  <c r="AI175" i="4"/>
  <c r="AI174" i="4"/>
  <c r="AI173" i="4"/>
  <c r="AI172" i="4"/>
  <c r="AI171" i="4"/>
  <c r="AI170" i="4"/>
  <c r="AI169" i="4"/>
  <c r="AI168" i="4"/>
  <c r="AI167" i="4"/>
  <c r="AI166" i="4"/>
  <c r="AI165" i="4"/>
  <c r="AI163" i="4"/>
  <c r="AI162" i="4"/>
  <c r="AI161" i="4"/>
  <c r="AI160" i="4"/>
  <c r="AI159" i="4"/>
  <c r="AI158" i="4"/>
  <c r="AI157" i="4"/>
  <c r="AI156" i="4"/>
  <c r="AI155" i="4"/>
  <c r="AI154" i="4"/>
  <c r="AI152" i="4"/>
  <c r="AI151" i="4"/>
  <c r="AI150" i="4"/>
  <c r="AI149" i="4"/>
  <c r="AI148" i="4"/>
  <c r="AI147" i="4"/>
  <c r="AI146" i="4"/>
  <c r="AI145" i="4"/>
  <c r="AI144" i="4"/>
  <c r="AI143" i="4"/>
  <c r="AI141" i="4"/>
  <c r="AI140" i="4"/>
  <c r="AI139" i="4"/>
  <c r="AI138" i="4"/>
  <c r="AI137" i="4"/>
  <c r="AI136" i="4"/>
  <c r="AI135" i="4"/>
  <c r="AI134" i="4"/>
  <c r="AI133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89" i="4"/>
  <c r="AI88" i="4"/>
  <c r="AI87" i="4"/>
  <c r="AI86" i="4"/>
  <c r="AI85" i="4"/>
  <c r="AI84" i="4"/>
  <c r="AI83" i="4"/>
  <c r="AI82" i="4"/>
  <c r="AI81" i="4"/>
  <c r="AI80" i="4"/>
  <c r="AI79" i="4"/>
  <c r="AI78" i="4"/>
  <c r="AI77" i="4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37" i="4"/>
  <c r="AI36" i="4"/>
  <c r="AI34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I5" i="4"/>
  <c r="AI4" i="4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AI372" i="3"/>
  <c r="AI371" i="3"/>
  <c r="AI370" i="3"/>
  <c r="AI369" i="3"/>
  <c r="AI368" i="3"/>
  <c r="AI367" i="3"/>
  <c r="AI366" i="3"/>
  <c r="AI365" i="3"/>
  <c r="AI364" i="3"/>
  <c r="AI363" i="3"/>
  <c r="AI362" i="3"/>
  <c r="AI361" i="3"/>
  <c r="AI360" i="3"/>
  <c r="AI359" i="3"/>
  <c r="AI358" i="3"/>
  <c r="AI357" i="3"/>
  <c r="AI356" i="3"/>
  <c r="AI355" i="3"/>
  <c r="AI354" i="3"/>
  <c r="AI353" i="3"/>
  <c r="AI352" i="3"/>
  <c r="AI351" i="3"/>
  <c r="AI350" i="3"/>
  <c r="AI349" i="3"/>
  <c r="AI348" i="3"/>
  <c r="AI347" i="3"/>
  <c r="AI346" i="3"/>
  <c r="AI345" i="3"/>
  <c r="AI344" i="3"/>
  <c r="AI343" i="3"/>
  <c r="AI342" i="3"/>
  <c r="AI341" i="3"/>
  <c r="AI340" i="3"/>
  <c r="AI339" i="3"/>
  <c r="AI338" i="3"/>
  <c r="AI337" i="3"/>
  <c r="AI336" i="3"/>
  <c r="AI335" i="3"/>
  <c r="AI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AI312" i="3"/>
  <c r="AI311" i="3"/>
  <c r="AI310" i="3"/>
  <c r="AI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3" i="3"/>
  <c r="AI162" i="3"/>
  <c r="AI161" i="3"/>
  <c r="AI160" i="3"/>
  <c r="AI159" i="3"/>
  <c r="AI158" i="3"/>
  <c r="AI157" i="3"/>
  <c r="AI156" i="3"/>
  <c r="AI155" i="3"/>
  <c r="AI154" i="3"/>
  <c r="AI152" i="3"/>
  <c r="AI151" i="3"/>
  <c r="AI150" i="3"/>
  <c r="AI149" i="3"/>
  <c r="AI148" i="3"/>
  <c r="AI147" i="3"/>
  <c r="AI146" i="3"/>
  <c r="AI145" i="3"/>
  <c r="AI144" i="3"/>
  <c r="AI143" i="3"/>
  <c r="AI141" i="3"/>
  <c r="AI140" i="3"/>
  <c r="AI139" i="3"/>
  <c r="AI138" i="3"/>
  <c r="AI137" i="3"/>
  <c r="AI136" i="3"/>
  <c r="AI135" i="3"/>
  <c r="AI134" i="3"/>
  <c r="AI133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3" i="2"/>
  <c r="AI162" i="2"/>
  <c r="AI161" i="2"/>
  <c r="AI160" i="2"/>
  <c r="AI159" i="2"/>
  <c r="AI158" i="2"/>
  <c r="AI157" i="2"/>
  <c r="AI156" i="2"/>
  <c r="AI155" i="2"/>
  <c r="AI154" i="2"/>
  <c r="AI152" i="2"/>
  <c r="AI151" i="2"/>
  <c r="AI150" i="2"/>
  <c r="AI149" i="2"/>
  <c r="AI148" i="2"/>
  <c r="AI147" i="2"/>
  <c r="AI146" i="2"/>
  <c r="AI145" i="2"/>
  <c r="AI144" i="2"/>
  <c r="AI143" i="2"/>
  <c r="AI141" i="2"/>
  <c r="AI140" i="2"/>
  <c r="AI139" i="2"/>
  <c r="AI138" i="2"/>
  <c r="AI137" i="2"/>
  <c r="AI136" i="2"/>
  <c r="AI135" i="2"/>
  <c r="AI134" i="2"/>
  <c r="AI133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AI401" i="1" s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AI400" i="1" s="1"/>
  <c r="F400" i="1"/>
  <c r="E400" i="1"/>
  <c r="D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I399" i="1" s="1"/>
  <c r="D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AI398" i="1" s="1"/>
  <c r="E398" i="1"/>
  <c r="D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AI397" i="1" s="1"/>
  <c r="E397" i="1"/>
  <c r="D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AI396" i="1" s="1"/>
  <c r="F396" i="1"/>
  <c r="E396" i="1"/>
  <c r="D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AI395" i="1" s="1"/>
  <c r="F395" i="1"/>
  <c r="E395" i="1"/>
  <c r="D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AI394" i="1" s="1"/>
  <c r="J394" i="1"/>
  <c r="I394" i="1"/>
  <c r="H394" i="1"/>
  <c r="G394" i="1"/>
  <c r="F394" i="1"/>
  <c r="E394" i="1"/>
  <c r="D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AI393" i="1" s="1"/>
  <c r="E393" i="1"/>
  <c r="D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AI392" i="1" s="1"/>
  <c r="N392" i="1"/>
  <c r="M392" i="1"/>
  <c r="L392" i="1"/>
  <c r="K392" i="1"/>
  <c r="J392" i="1"/>
  <c r="I392" i="1"/>
  <c r="H392" i="1"/>
  <c r="G392" i="1"/>
  <c r="F392" i="1"/>
  <c r="E392" i="1"/>
  <c r="D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AI391" i="1" s="1"/>
  <c r="F391" i="1"/>
  <c r="E391" i="1"/>
  <c r="D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AI390" i="1" s="1"/>
  <c r="F390" i="1"/>
  <c r="E390" i="1"/>
  <c r="D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AI389" i="1" s="1"/>
  <c r="J389" i="1"/>
  <c r="I389" i="1"/>
  <c r="H389" i="1"/>
  <c r="G389" i="1"/>
  <c r="F389" i="1"/>
  <c r="E389" i="1"/>
  <c r="D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AI388" i="1" s="1"/>
  <c r="E388" i="1"/>
  <c r="D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AI387" i="1" s="1"/>
  <c r="N387" i="1"/>
  <c r="M387" i="1"/>
  <c r="L387" i="1"/>
  <c r="K387" i="1"/>
  <c r="J387" i="1"/>
  <c r="I387" i="1"/>
  <c r="H387" i="1"/>
  <c r="G387" i="1"/>
  <c r="F387" i="1"/>
  <c r="E387" i="1"/>
  <c r="D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AI386" i="1" s="1"/>
  <c r="F386" i="1"/>
  <c r="E386" i="1"/>
  <c r="D386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AI384" i="1" s="1"/>
  <c r="F384" i="1"/>
  <c r="E384" i="1"/>
  <c r="D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AI383" i="1" s="1"/>
  <c r="J383" i="1"/>
  <c r="I383" i="1"/>
  <c r="H383" i="1"/>
  <c r="G383" i="1"/>
  <c r="F383" i="1"/>
  <c r="E383" i="1"/>
  <c r="D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AI382" i="1" s="1"/>
  <c r="E382" i="1"/>
  <c r="D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AI381" i="1" s="1"/>
  <c r="N381" i="1"/>
  <c r="M381" i="1"/>
  <c r="L381" i="1"/>
  <c r="K381" i="1"/>
  <c r="J381" i="1"/>
  <c r="I381" i="1"/>
  <c r="H381" i="1"/>
  <c r="G381" i="1"/>
  <c r="F381" i="1"/>
  <c r="E381" i="1"/>
  <c r="D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AI380" i="1" s="1"/>
  <c r="F380" i="1"/>
  <c r="E380" i="1"/>
  <c r="D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AI379" i="1" s="1"/>
  <c r="F379" i="1"/>
  <c r="E379" i="1"/>
  <c r="D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AI378" i="1" s="1"/>
  <c r="J378" i="1"/>
  <c r="I378" i="1"/>
  <c r="H378" i="1"/>
  <c r="G378" i="1"/>
  <c r="F378" i="1"/>
  <c r="E378" i="1"/>
  <c r="D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AI377" i="1" s="1"/>
  <c r="E377" i="1"/>
  <c r="D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AI376" i="1" s="1"/>
  <c r="N376" i="1"/>
  <c r="M376" i="1"/>
  <c r="L376" i="1"/>
  <c r="K376" i="1"/>
  <c r="J376" i="1"/>
  <c r="I376" i="1"/>
  <c r="H376" i="1"/>
  <c r="G376" i="1"/>
  <c r="F376" i="1"/>
  <c r="E376" i="1"/>
  <c r="D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AI375" i="1" s="1"/>
  <c r="F375" i="1"/>
  <c r="E375" i="1"/>
  <c r="D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AI374" i="1" s="1"/>
  <c r="F374" i="1"/>
  <c r="E374" i="1"/>
  <c r="D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AI373" i="1" s="1"/>
  <c r="J373" i="1"/>
  <c r="I373" i="1"/>
  <c r="H373" i="1"/>
  <c r="G373" i="1"/>
  <c r="F373" i="1"/>
  <c r="E373" i="1"/>
  <c r="D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AI372" i="1" s="1"/>
  <c r="E372" i="1"/>
  <c r="D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AI371" i="1" s="1"/>
  <c r="N371" i="1"/>
  <c r="M371" i="1"/>
  <c r="L371" i="1"/>
  <c r="K371" i="1"/>
  <c r="J371" i="1"/>
  <c r="I371" i="1"/>
  <c r="H371" i="1"/>
  <c r="G371" i="1"/>
  <c r="F371" i="1"/>
  <c r="E371" i="1"/>
  <c r="D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AI370" i="1" s="1"/>
  <c r="F370" i="1"/>
  <c r="E370" i="1"/>
  <c r="D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AI369" i="1" s="1"/>
  <c r="F369" i="1"/>
  <c r="E369" i="1"/>
  <c r="D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AI368" i="1" s="1"/>
  <c r="J368" i="1"/>
  <c r="I368" i="1"/>
  <c r="H368" i="1"/>
  <c r="G368" i="1"/>
  <c r="F368" i="1"/>
  <c r="E368" i="1"/>
  <c r="D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AI367" i="1" s="1"/>
  <c r="E367" i="1"/>
  <c r="D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AI366" i="1" s="1"/>
  <c r="N366" i="1"/>
  <c r="M366" i="1"/>
  <c r="L366" i="1"/>
  <c r="K366" i="1"/>
  <c r="J366" i="1"/>
  <c r="I366" i="1"/>
  <c r="H366" i="1"/>
  <c r="G366" i="1"/>
  <c r="F366" i="1"/>
  <c r="E366" i="1"/>
  <c r="D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AI365" i="1" s="1"/>
  <c r="F365" i="1"/>
  <c r="E365" i="1"/>
  <c r="D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AI364" i="1" s="1"/>
  <c r="F364" i="1"/>
  <c r="E364" i="1"/>
  <c r="D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AI363" i="1" s="1"/>
  <c r="J363" i="1"/>
  <c r="I363" i="1"/>
  <c r="H363" i="1"/>
  <c r="G363" i="1"/>
  <c r="F363" i="1"/>
  <c r="E363" i="1"/>
  <c r="D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AI362" i="1" s="1"/>
  <c r="E362" i="1"/>
  <c r="D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AI361" i="1" s="1"/>
  <c r="N361" i="1"/>
  <c r="M361" i="1"/>
  <c r="L361" i="1"/>
  <c r="K361" i="1"/>
  <c r="J361" i="1"/>
  <c r="I361" i="1"/>
  <c r="H361" i="1"/>
  <c r="G361" i="1"/>
  <c r="F361" i="1"/>
  <c r="E361" i="1"/>
  <c r="D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AI360" i="1" s="1"/>
  <c r="F360" i="1"/>
  <c r="E360" i="1"/>
  <c r="D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AI359" i="1" s="1"/>
  <c r="F359" i="1"/>
  <c r="E359" i="1"/>
  <c r="D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AI358" i="1" s="1"/>
  <c r="J358" i="1"/>
  <c r="I358" i="1"/>
  <c r="H358" i="1"/>
  <c r="G358" i="1"/>
  <c r="F358" i="1"/>
  <c r="E358" i="1"/>
  <c r="D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AI357" i="1" s="1"/>
  <c r="E357" i="1"/>
  <c r="D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AI356" i="1" s="1"/>
  <c r="N356" i="1"/>
  <c r="M356" i="1"/>
  <c r="L356" i="1"/>
  <c r="K356" i="1"/>
  <c r="J356" i="1"/>
  <c r="I356" i="1"/>
  <c r="H356" i="1"/>
  <c r="G356" i="1"/>
  <c r="F356" i="1"/>
  <c r="E356" i="1"/>
  <c r="D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AI355" i="1" s="1"/>
  <c r="F355" i="1"/>
  <c r="E355" i="1"/>
  <c r="D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AI354" i="1" s="1"/>
  <c r="F354" i="1"/>
  <c r="E354" i="1"/>
  <c r="D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AI353" i="1" s="1"/>
  <c r="J353" i="1"/>
  <c r="I353" i="1"/>
  <c r="H353" i="1"/>
  <c r="G353" i="1"/>
  <c r="F353" i="1"/>
  <c r="E353" i="1"/>
  <c r="D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AI352" i="1" s="1"/>
  <c r="E352" i="1"/>
  <c r="D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AI351" i="1" s="1"/>
  <c r="N351" i="1"/>
  <c r="M351" i="1"/>
  <c r="L351" i="1"/>
  <c r="K351" i="1"/>
  <c r="J351" i="1"/>
  <c r="I351" i="1"/>
  <c r="H351" i="1"/>
  <c r="G351" i="1"/>
  <c r="F351" i="1"/>
  <c r="E351" i="1"/>
  <c r="D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AI350" i="1" s="1"/>
  <c r="F350" i="1"/>
  <c r="E350" i="1"/>
  <c r="D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AI349" i="1" s="1"/>
  <c r="F349" i="1"/>
  <c r="E349" i="1"/>
  <c r="D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AI348" i="1" s="1"/>
  <c r="J348" i="1"/>
  <c r="I348" i="1"/>
  <c r="H348" i="1"/>
  <c r="G348" i="1"/>
  <c r="F348" i="1"/>
  <c r="E348" i="1"/>
  <c r="D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AI347" i="1" s="1"/>
  <c r="E347" i="1"/>
  <c r="D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AI346" i="1" s="1"/>
  <c r="N346" i="1"/>
  <c r="M346" i="1"/>
  <c r="L346" i="1"/>
  <c r="K346" i="1"/>
  <c r="J346" i="1"/>
  <c r="I346" i="1"/>
  <c r="H346" i="1"/>
  <c r="G346" i="1"/>
  <c r="F346" i="1"/>
  <c r="E346" i="1"/>
  <c r="D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AI345" i="1" s="1"/>
  <c r="F345" i="1"/>
  <c r="E345" i="1"/>
  <c r="D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AI344" i="1" s="1"/>
  <c r="F344" i="1"/>
  <c r="E344" i="1"/>
  <c r="D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AI343" i="1" s="1"/>
  <c r="J343" i="1"/>
  <c r="I343" i="1"/>
  <c r="H343" i="1"/>
  <c r="G343" i="1"/>
  <c r="F343" i="1"/>
  <c r="E343" i="1"/>
  <c r="D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AI342" i="1" s="1"/>
  <c r="E342" i="1"/>
  <c r="D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AI341" i="1" s="1"/>
  <c r="N341" i="1"/>
  <c r="M341" i="1"/>
  <c r="L341" i="1"/>
  <c r="K341" i="1"/>
  <c r="J341" i="1"/>
  <c r="I341" i="1"/>
  <c r="H341" i="1"/>
  <c r="G341" i="1"/>
  <c r="F341" i="1"/>
  <c r="E341" i="1"/>
  <c r="D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AI340" i="1" s="1"/>
  <c r="F340" i="1"/>
  <c r="E340" i="1"/>
  <c r="D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AI339" i="1" s="1"/>
  <c r="F339" i="1"/>
  <c r="E339" i="1"/>
  <c r="D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AI338" i="1" s="1"/>
  <c r="J338" i="1"/>
  <c r="I338" i="1"/>
  <c r="H338" i="1"/>
  <c r="G338" i="1"/>
  <c r="F338" i="1"/>
  <c r="E338" i="1"/>
  <c r="D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AI337" i="1" s="1"/>
  <c r="E337" i="1"/>
  <c r="D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AI336" i="1" s="1"/>
  <c r="N336" i="1"/>
  <c r="M336" i="1"/>
  <c r="L336" i="1"/>
  <c r="K336" i="1"/>
  <c r="J336" i="1"/>
  <c r="I336" i="1"/>
  <c r="H336" i="1"/>
  <c r="G336" i="1"/>
  <c r="F336" i="1"/>
  <c r="E336" i="1"/>
  <c r="D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AI335" i="1" s="1"/>
  <c r="F335" i="1"/>
  <c r="E335" i="1"/>
  <c r="D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AI334" i="1" s="1"/>
  <c r="F334" i="1"/>
  <c r="E334" i="1"/>
  <c r="D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AI333" i="1" s="1"/>
  <c r="J333" i="1"/>
  <c r="I333" i="1"/>
  <c r="H333" i="1"/>
  <c r="G333" i="1"/>
  <c r="F333" i="1"/>
  <c r="E333" i="1"/>
  <c r="D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AI332" i="1" s="1"/>
  <c r="E332" i="1"/>
  <c r="D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AI331" i="1" s="1"/>
  <c r="N331" i="1"/>
  <c r="M331" i="1"/>
  <c r="L331" i="1"/>
  <c r="K331" i="1"/>
  <c r="J331" i="1"/>
  <c r="I331" i="1"/>
  <c r="H331" i="1"/>
  <c r="G331" i="1"/>
  <c r="F331" i="1"/>
  <c r="E331" i="1"/>
  <c r="D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AI330" i="1" s="1"/>
  <c r="F330" i="1"/>
  <c r="E330" i="1"/>
  <c r="D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AI329" i="1" s="1"/>
  <c r="F329" i="1"/>
  <c r="E329" i="1"/>
  <c r="D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AI328" i="1" s="1"/>
  <c r="J328" i="1"/>
  <c r="I328" i="1"/>
  <c r="H328" i="1"/>
  <c r="G328" i="1"/>
  <c r="F328" i="1"/>
  <c r="E328" i="1"/>
  <c r="D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AI327" i="1" s="1"/>
  <c r="E327" i="1"/>
  <c r="D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AI326" i="1" s="1"/>
  <c r="N326" i="1"/>
  <c r="M326" i="1"/>
  <c r="L326" i="1"/>
  <c r="K326" i="1"/>
  <c r="J326" i="1"/>
  <c r="I326" i="1"/>
  <c r="H326" i="1"/>
  <c r="G326" i="1"/>
  <c r="F326" i="1"/>
  <c r="E326" i="1"/>
  <c r="D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AI325" i="1" s="1"/>
  <c r="F325" i="1"/>
  <c r="E325" i="1"/>
  <c r="D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AI324" i="1" s="1"/>
  <c r="F324" i="1"/>
  <c r="E324" i="1"/>
  <c r="D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AI323" i="1" s="1"/>
  <c r="J323" i="1"/>
  <c r="I323" i="1"/>
  <c r="H323" i="1"/>
  <c r="G323" i="1"/>
  <c r="F323" i="1"/>
  <c r="E323" i="1"/>
  <c r="D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AI322" i="1" s="1"/>
  <c r="E322" i="1"/>
  <c r="D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AI321" i="1" s="1"/>
  <c r="N321" i="1"/>
  <c r="M321" i="1"/>
  <c r="L321" i="1"/>
  <c r="K321" i="1"/>
  <c r="J321" i="1"/>
  <c r="I321" i="1"/>
  <c r="H321" i="1"/>
  <c r="G321" i="1"/>
  <c r="F321" i="1"/>
  <c r="E321" i="1"/>
  <c r="D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AI320" i="1" s="1"/>
  <c r="F320" i="1"/>
  <c r="E320" i="1"/>
  <c r="D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AI319" i="1" s="1"/>
  <c r="F319" i="1"/>
  <c r="E319" i="1"/>
  <c r="D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AI318" i="1" s="1"/>
  <c r="J318" i="1"/>
  <c r="I318" i="1"/>
  <c r="H318" i="1"/>
  <c r="G318" i="1"/>
  <c r="F318" i="1"/>
  <c r="E318" i="1"/>
  <c r="D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AI317" i="1" s="1"/>
  <c r="E317" i="1"/>
  <c r="D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AI316" i="1" s="1"/>
  <c r="N316" i="1"/>
  <c r="M316" i="1"/>
  <c r="L316" i="1"/>
  <c r="K316" i="1"/>
  <c r="J316" i="1"/>
  <c r="I316" i="1"/>
  <c r="H316" i="1"/>
  <c r="G316" i="1"/>
  <c r="F316" i="1"/>
  <c r="E316" i="1"/>
  <c r="D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AI315" i="1" s="1"/>
  <c r="F315" i="1"/>
  <c r="E315" i="1"/>
  <c r="D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AI314" i="1" s="1"/>
  <c r="F314" i="1"/>
  <c r="E314" i="1"/>
  <c r="D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AI313" i="1" s="1"/>
  <c r="J313" i="1"/>
  <c r="I313" i="1"/>
  <c r="H313" i="1"/>
  <c r="G313" i="1"/>
  <c r="F313" i="1"/>
  <c r="E313" i="1"/>
  <c r="D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AI312" i="1" s="1"/>
  <c r="E312" i="1"/>
  <c r="D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AI311" i="1" s="1"/>
  <c r="N311" i="1"/>
  <c r="M311" i="1"/>
  <c r="L311" i="1"/>
  <c r="K311" i="1"/>
  <c r="J311" i="1"/>
  <c r="I311" i="1"/>
  <c r="H311" i="1"/>
  <c r="G311" i="1"/>
  <c r="F311" i="1"/>
  <c r="E311" i="1"/>
  <c r="D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AI310" i="1" s="1"/>
  <c r="F310" i="1"/>
  <c r="E310" i="1"/>
  <c r="D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AI309" i="1" s="1"/>
  <c r="F309" i="1"/>
  <c r="E309" i="1"/>
  <c r="D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I308" i="1" s="1"/>
  <c r="J308" i="1"/>
  <c r="I308" i="1"/>
  <c r="H308" i="1"/>
  <c r="G308" i="1"/>
  <c r="F308" i="1"/>
  <c r="E308" i="1"/>
  <c r="D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AI307" i="1" s="1"/>
  <c r="E307" i="1"/>
  <c r="D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AI306" i="1" s="1"/>
  <c r="N306" i="1"/>
  <c r="M306" i="1"/>
  <c r="L306" i="1"/>
  <c r="K306" i="1"/>
  <c r="J306" i="1"/>
  <c r="I306" i="1"/>
  <c r="H306" i="1"/>
  <c r="G306" i="1"/>
  <c r="F306" i="1"/>
  <c r="E306" i="1"/>
  <c r="D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AI305" i="1" s="1"/>
  <c r="F305" i="1"/>
  <c r="E305" i="1"/>
  <c r="D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AI304" i="1" s="1"/>
  <c r="F304" i="1"/>
  <c r="E304" i="1"/>
  <c r="D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I303" i="1" s="1"/>
  <c r="J303" i="1"/>
  <c r="I303" i="1"/>
  <c r="H303" i="1"/>
  <c r="G303" i="1"/>
  <c r="F303" i="1"/>
  <c r="E303" i="1"/>
  <c r="D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AI302" i="1" s="1"/>
  <c r="E302" i="1"/>
  <c r="D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AI301" i="1" s="1"/>
  <c r="N301" i="1"/>
  <c r="M301" i="1"/>
  <c r="L301" i="1"/>
  <c r="K301" i="1"/>
  <c r="J301" i="1"/>
  <c r="I301" i="1"/>
  <c r="H301" i="1"/>
  <c r="G301" i="1"/>
  <c r="F301" i="1"/>
  <c r="E301" i="1"/>
  <c r="D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AI300" i="1" s="1"/>
  <c r="F300" i="1"/>
  <c r="E300" i="1"/>
  <c r="D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AI299" i="1" s="1"/>
  <c r="F299" i="1"/>
  <c r="E299" i="1"/>
  <c r="D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I298" i="1" s="1"/>
  <c r="J298" i="1"/>
  <c r="I298" i="1"/>
  <c r="H298" i="1"/>
  <c r="G298" i="1"/>
  <c r="F298" i="1"/>
  <c r="E298" i="1"/>
  <c r="D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AI297" i="1" s="1"/>
  <c r="E297" i="1"/>
  <c r="D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AI296" i="1" s="1"/>
  <c r="N296" i="1"/>
  <c r="M296" i="1"/>
  <c r="L296" i="1"/>
  <c r="K296" i="1"/>
  <c r="J296" i="1"/>
  <c r="I296" i="1"/>
  <c r="H296" i="1"/>
  <c r="G296" i="1"/>
  <c r="F296" i="1"/>
  <c r="E296" i="1"/>
  <c r="D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AI295" i="1" s="1"/>
  <c r="F295" i="1"/>
  <c r="E295" i="1"/>
  <c r="D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AI294" i="1" s="1"/>
  <c r="F294" i="1"/>
  <c r="E294" i="1"/>
  <c r="D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I293" i="1" s="1"/>
  <c r="J293" i="1"/>
  <c r="I293" i="1"/>
  <c r="H293" i="1"/>
  <c r="G293" i="1"/>
  <c r="F293" i="1"/>
  <c r="E293" i="1"/>
  <c r="D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AI292" i="1" s="1"/>
  <c r="E292" i="1"/>
  <c r="D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AI291" i="1" s="1"/>
  <c r="N291" i="1"/>
  <c r="M291" i="1"/>
  <c r="L291" i="1"/>
  <c r="K291" i="1"/>
  <c r="J291" i="1"/>
  <c r="I291" i="1"/>
  <c r="H291" i="1"/>
  <c r="G291" i="1"/>
  <c r="F291" i="1"/>
  <c r="E291" i="1"/>
  <c r="D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AI290" i="1" s="1"/>
  <c r="F290" i="1"/>
  <c r="E290" i="1"/>
  <c r="D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AI289" i="1" s="1"/>
  <c r="F289" i="1"/>
  <c r="E289" i="1"/>
  <c r="D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I288" i="1" s="1"/>
  <c r="J288" i="1"/>
  <c r="I288" i="1"/>
  <c r="H288" i="1"/>
  <c r="G288" i="1"/>
  <c r="F288" i="1"/>
  <c r="E288" i="1"/>
  <c r="D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AI287" i="1" s="1"/>
  <c r="E287" i="1"/>
  <c r="D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AI286" i="1" s="1"/>
  <c r="N286" i="1"/>
  <c r="M286" i="1"/>
  <c r="L286" i="1"/>
  <c r="K286" i="1"/>
  <c r="J286" i="1"/>
  <c r="I286" i="1"/>
  <c r="H286" i="1"/>
  <c r="G286" i="1"/>
  <c r="F286" i="1"/>
  <c r="E286" i="1"/>
  <c r="D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AI285" i="1" s="1"/>
  <c r="F285" i="1"/>
  <c r="E285" i="1"/>
  <c r="D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AI284" i="1" s="1"/>
  <c r="F284" i="1"/>
  <c r="E284" i="1"/>
  <c r="D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I283" i="1" s="1"/>
  <c r="J283" i="1"/>
  <c r="I283" i="1"/>
  <c r="H283" i="1"/>
  <c r="G283" i="1"/>
  <c r="F283" i="1"/>
  <c r="E283" i="1"/>
  <c r="D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AI282" i="1" s="1"/>
  <c r="E282" i="1"/>
  <c r="D282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AI280" i="1" s="1"/>
  <c r="N280" i="1"/>
  <c r="M280" i="1"/>
  <c r="L280" i="1"/>
  <c r="K280" i="1"/>
  <c r="J280" i="1"/>
  <c r="I280" i="1"/>
  <c r="H280" i="1"/>
  <c r="G280" i="1"/>
  <c r="F280" i="1"/>
  <c r="E280" i="1"/>
  <c r="D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AI279" i="1" s="1"/>
  <c r="F279" i="1"/>
  <c r="E279" i="1"/>
  <c r="D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AI278" i="1" s="1"/>
  <c r="F278" i="1"/>
  <c r="E278" i="1"/>
  <c r="D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I277" i="1" s="1"/>
  <c r="J277" i="1"/>
  <c r="I277" i="1"/>
  <c r="H277" i="1"/>
  <c r="G277" i="1"/>
  <c r="F277" i="1"/>
  <c r="E277" i="1"/>
  <c r="D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AI276" i="1" s="1"/>
  <c r="E276" i="1"/>
  <c r="D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AI275" i="1" s="1"/>
  <c r="N275" i="1"/>
  <c r="M275" i="1"/>
  <c r="L275" i="1"/>
  <c r="K275" i="1"/>
  <c r="J275" i="1"/>
  <c r="I275" i="1"/>
  <c r="H275" i="1"/>
  <c r="G275" i="1"/>
  <c r="F275" i="1"/>
  <c r="E275" i="1"/>
  <c r="D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AI274" i="1" s="1"/>
  <c r="F274" i="1"/>
  <c r="E274" i="1"/>
  <c r="D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AI273" i="1" s="1"/>
  <c r="F273" i="1"/>
  <c r="E273" i="1"/>
  <c r="D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I272" i="1" s="1"/>
  <c r="J272" i="1"/>
  <c r="I272" i="1"/>
  <c r="H272" i="1"/>
  <c r="G272" i="1"/>
  <c r="F272" i="1"/>
  <c r="E272" i="1"/>
  <c r="D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AI271" i="1" s="1"/>
  <c r="E271" i="1"/>
  <c r="D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AI270" i="1" s="1"/>
  <c r="N270" i="1"/>
  <c r="M270" i="1"/>
  <c r="L270" i="1"/>
  <c r="K270" i="1"/>
  <c r="J270" i="1"/>
  <c r="I270" i="1"/>
  <c r="H270" i="1"/>
  <c r="G270" i="1"/>
  <c r="F270" i="1"/>
  <c r="E270" i="1"/>
  <c r="D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AI269" i="1" s="1"/>
  <c r="F269" i="1"/>
  <c r="E269" i="1"/>
  <c r="D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AI268" i="1" s="1"/>
  <c r="F268" i="1"/>
  <c r="E268" i="1"/>
  <c r="D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I267" i="1" s="1"/>
  <c r="J267" i="1"/>
  <c r="I267" i="1"/>
  <c r="H267" i="1"/>
  <c r="G267" i="1"/>
  <c r="F267" i="1"/>
  <c r="E267" i="1"/>
  <c r="D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AI266" i="1" s="1"/>
  <c r="E266" i="1"/>
  <c r="D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AI265" i="1" s="1"/>
  <c r="N265" i="1"/>
  <c r="M265" i="1"/>
  <c r="L265" i="1"/>
  <c r="K265" i="1"/>
  <c r="J265" i="1"/>
  <c r="I265" i="1"/>
  <c r="H265" i="1"/>
  <c r="G265" i="1"/>
  <c r="F265" i="1"/>
  <c r="E265" i="1"/>
  <c r="D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AI264" i="1" s="1"/>
  <c r="F264" i="1"/>
  <c r="E264" i="1"/>
  <c r="D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AI263" i="1" s="1"/>
  <c r="F263" i="1"/>
  <c r="E263" i="1"/>
  <c r="D263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I261" i="1" s="1"/>
  <c r="J261" i="1"/>
  <c r="I261" i="1"/>
  <c r="H261" i="1"/>
  <c r="G261" i="1"/>
  <c r="F261" i="1"/>
  <c r="E261" i="1"/>
  <c r="D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AI260" i="1" s="1"/>
  <c r="E260" i="1"/>
  <c r="D260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AI258" i="1" s="1"/>
  <c r="F258" i="1"/>
  <c r="E258" i="1"/>
  <c r="D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AI257" i="1" s="1"/>
  <c r="F257" i="1"/>
  <c r="E257" i="1"/>
  <c r="D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I256" i="1" s="1"/>
  <c r="J256" i="1"/>
  <c r="I256" i="1"/>
  <c r="H256" i="1"/>
  <c r="G256" i="1"/>
  <c r="F256" i="1"/>
  <c r="E256" i="1"/>
  <c r="D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AI255" i="1" s="1"/>
  <c r="E255" i="1"/>
  <c r="D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AI254" i="1" s="1"/>
  <c r="N254" i="1"/>
  <c r="M254" i="1"/>
  <c r="L254" i="1"/>
  <c r="K254" i="1"/>
  <c r="J254" i="1"/>
  <c r="I254" i="1"/>
  <c r="H254" i="1"/>
  <c r="G254" i="1"/>
  <c r="F254" i="1"/>
  <c r="E254" i="1"/>
  <c r="D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AI253" i="1" s="1"/>
  <c r="F253" i="1"/>
  <c r="E253" i="1"/>
  <c r="D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AI252" i="1" s="1"/>
  <c r="F252" i="1"/>
  <c r="E252" i="1"/>
  <c r="D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I251" i="1" s="1"/>
  <c r="J251" i="1"/>
  <c r="I251" i="1"/>
  <c r="H251" i="1"/>
  <c r="G251" i="1"/>
  <c r="F251" i="1"/>
  <c r="E251" i="1"/>
  <c r="D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AI250" i="1" s="1"/>
  <c r="E250" i="1"/>
  <c r="D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AI249" i="1" s="1"/>
  <c r="N249" i="1"/>
  <c r="M249" i="1"/>
  <c r="L249" i="1"/>
  <c r="K249" i="1"/>
  <c r="J249" i="1"/>
  <c r="I249" i="1"/>
  <c r="H249" i="1"/>
  <c r="G249" i="1"/>
  <c r="F249" i="1"/>
  <c r="E249" i="1"/>
  <c r="D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AI248" i="1" s="1"/>
  <c r="F248" i="1"/>
  <c r="E248" i="1"/>
  <c r="D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AI247" i="1" s="1"/>
  <c r="F247" i="1"/>
  <c r="E247" i="1"/>
  <c r="D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I246" i="1" s="1"/>
  <c r="J246" i="1"/>
  <c r="I246" i="1"/>
  <c r="H246" i="1"/>
  <c r="G246" i="1"/>
  <c r="F246" i="1"/>
  <c r="E246" i="1"/>
  <c r="D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AI245" i="1" s="1"/>
  <c r="E245" i="1"/>
  <c r="D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AI244" i="1" s="1"/>
  <c r="N244" i="1"/>
  <c r="M244" i="1"/>
  <c r="L244" i="1"/>
  <c r="K244" i="1"/>
  <c r="J244" i="1"/>
  <c r="I244" i="1"/>
  <c r="H244" i="1"/>
  <c r="G244" i="1"/>
  <c r="F244" i="1"/>
  <c r="E244" i="1"/>
  <c r="D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AI243" i="1" s="1"/>
  <c r="F243" i="1"/>
  <c r="E243" i="1"/>
  <c r="D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AI242" i="1" s="1"/>
  <c r="F242" i="1"/>
  <c r="E242" i="1"/>
  <c r="D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I241" i="1" s="1"/>
  <c r="J241" i="1"/>
  <c r="I241" i="1"/>
  <c r="H241" i="1"/>
  <c r="G241" i="1"/>
  <c r="F241" i="1"/>
  <c r="E241" i="1"/>
  <c r="D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AI240" i="1" s="1"/>
  <c r="E240" i="1"/>
  <c r="D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AI239" i="1" s="1"/>
  <c r="N239" i="1"/>
  <c r="M239" i="1"/>
  <c r="L239" i="1"/>
  <c r="K239" i="1"/>
  <c r="J239" i="1"/>
  <c r="I239" i="1"/>
  <c r="H239" i="1"/>
  <c r="G239" i="1"/>
  <c r="F239" i="1"/>
  <c r="E239" i="1"/>
  <c r="D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AI238" i="1" s="1"/>
  <c r="F238" i="1"/>
  <c r="E238" i="1"/>
  <c r="D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AI237" i="1" s="1"/>
  <c r="F237" i="1"/>
  <c r="E237" i="1"/>
  <c r="D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I236" i="1" s="1"/>
  <c r="J236" i="1"/>
  <c r="I236" i="1"/>
  <c r="H236" i="1"/>
  <c r="G236" i="1"/>
  <c r="F236" i="1"/>
  <c r="E236" i="1"/>
  <c r="D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AI235" i="1" s="1"/>
  <c r="E235" i="1"/>
  <c r="D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AI234" i="1" s="1"/>
  <c r="N234" i="1"/>
  <c r="M234" i="1"/>
  <c r="L234" i="1"/>
  <c r="K234" i="1"/>
  <c r="J234" i="1"/>
  <c r="I234" i="1"/>
  <c r="H234" i="1"/>
  <c r="G234" i="1"/>
  <c r="F234" i="1"/>
  <c r="E234" i="1"/>
  <c r="D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AI233" i="1" s="1"/>
  <c r="F233" i="1"/>
  <c r="E233" i="1"/>
  <c r="D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AI232" i="1" s="1"/>
  <c r="F232" i="1"/>
  <c r="E232" i="1"/>
  <c r="D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I231" i="1" s="1"/>
  <c r="J231" i="1"/>
  <c r="I231" i="1"/>
  <c r="H231" i="1"/>
  <c r="G231" i="1"/>
  <c r="F231" i="1"/>
  <c r="E231" i="1"/>
  <c r="D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AI230" i="1" s="1"/>
  <c r="E230" i="1"/>
  <c r="D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AI229" i="1" s="1"/>
  <c r="N229" i="1"/>
  <c r="M229" i="1"/>
  <c r="L229" i="1"/>
  <c r="K229" i="1"/>
  <c r="J229" i="1"/>
  <c r="I229" i="1"/>
  <c r="H229" i="1"/>
  <c r="G229" i="1"/>
  <c r="F229" i="1"/>
  <c r="E229" i="1"/>
  <c r="D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AI228" i="1" s="1"/>
  <c r="F228" i="1"/>
  <c r="E228" i="1"/>
  <c r="D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AI227" i="1" s="1"/>
  <c r="F227" i="1"/>
  <c r="E227" i="1"/>
  <c r="D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I226" i="1" s="1"/>
  <c r="J226" i="1"/>
  <c r="I226" i="1"/>
  <c r="H226" i="1"/>
  <c r="G226" i="1"/>
  <c r="F226" i="1"/>
  <c r="E226" i="1"/>
  <c r="D226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AI224" i="1" s="1"/>
  <c r="E224" i="1"/>
  <c r="D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AI223" i="1" s="1"/>
  <c r="N223" i="1"/>
  <c r="M223" i="1"/>
  <c r="L223" i="1"/>
  <c r="K223" i="1"/>
  <c r="J223" i="1"/>
  <c r="I223" i="1"/>
  <c r="H223" i="1"/>
  <c r="G223" i="1"/>
  <c r="F223" i="1"/>
  <c r="E223" i="1"/>
  <c r="D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AI222" i="1" s="1"/>
  <c r="F222" i="1"/>
  <c r="E222" i="1"/>
  <c r="D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AI221" i="1" s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I220" i="1" s="1"/>
  <c r="J220" i="1"/>
  <c r="I220" i="1"/>
  <c r="H220" i="1"/>
  <c r="G220" i="1"/>
  <c r="F220" i="1"/>
  <c r="E220" i="1"/>
  <c r="D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AI219" i="1" s="1"/>
  <c r="E219" i="1"/>
  <c r="D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AI218" i="1" s="1"/>
  <c r="N218" i="1"/>
  <c r="M218" i="1"/>
  <c r="L218" i="1"/>
  <c r="K218" i="1"/>
  <c r="J218" i="1"/>
  <c r="I218" i="1"/>
  <c r="H218" i="1"/>
  <c r="G218" i="1"/>
  <c r="F218" i="1"/>
  <c r="E218" i="1"/>
  <c r="D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AI217" i="1" s="1"/>
  <c r="F217" i="1"/>
  <c r="E217" i="1"/>
  <c r="D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AI216" i="1" s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P215" i="1"/>
  <c r="O215" i="1"/>
  <c r="N215" i="1"/>
  <c r="M215" i="1"/>
  <c r="L215" i="1"/>
  <c r="K215" i="1"/>
  <c r="J215" i="1"/>
  <c r="AI215" i="1" s="1"/>
  <c r="H215" i="1"/>
  <c r="G215" i="1"/>
  <c r="F215" i="1"/>
  <c r="E215" i="1"/>
  <c r="D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AI214" i="1" s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AI213" i="1" s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AI212" i="1" s="1"/>
  <c r="D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I211" i="1" s="1"/>
  <c r="D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AI210" i="1" s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AI209" i="1" s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AI208" i="1" s="1"/>
  <c r="L208" i="1"/>
  <c r="K208" i="1"/>
  <c r="J208" i="1"/>
  <c r="I208" i="1"/>
  <c r="H208" i="1"/>
  <c r="G208" i="1"/>
  <c r="F208" i="1"/>
  <c r="E208" i="1"/>
  <c r="D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AI207" i="1" s="1"/>
  <c r="D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I206" i="1" s="1"/>
  <c r="D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AI205" i="1" s="1"/>
  <c r="F205" i="1"/>
  <c r="E205" i="1"/>
  <c r="D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AI204" i="1" s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AI203" i="1" s="1"/>
  <c r="L203" i="1"/>
  <c r="K203" i="1"/>
  <c r="J203" i="1"/>
  <c r="I203" i="1"/>
  <c r="H203" i="1"/>
  <c r="G203" i="1"/>
  <c r="F203" i="1"/>
  <c r="E203" i="1"/>
  <c r="D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AI202" i="1" s="1"/>
  <c r="D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I201" i="1" s="1"/>
  <c r="D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AI200" i="1" s="1"/>
  <c r="F200" i="1"/>
  <c r="E200" i="1"/>
  <c r="D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AI199" i="1" s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AI198" i="1" s="1"/>
  <c r="L198" i="1"/>
  <c r="K198" i="1"/>
  <c r="J198" i="1"/>
  <c r="I198" i="1"/>
  <c r="H198" i="1"/>
  <c r="G198" i="1"/>
  <c r="F198" i="1"/>
  <c r="E198" i="1"/>
  <c r="D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AI197" i="1" s="1"/>
  <c r="D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I196" i="1" s="1"/>
  <c r="D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AI195" i="1" s="1"/>
  <c r="F195" i="1"/>
  <c r="E195" i="1"/>
  <c r="D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AI194" i="1" s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I193" i="1" s="1"/>
  <c r="J193" i="1"/>
  <c r="I193" i="1"/>
  <c r="H193" i="1"/>
  <c r="G193" i="1"/>
  <c r="F193" i="1"/>
  <c r="E193" i="1"/>
  <c r="D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AI192" i="1" s="1"/>
  <c r="D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AI191" i="1" s="1"/>
  <c r="N191" i="1"/>
  <c r="M191" i="1"/>
  <c r="L191" i="1"/>
  <c r="K191" i="1"/>
  <c r="J191" i="1"/>
  <c r="I191" i="1"/>
  <c r="H191" i="1"/>
  <c r="G191" i="1"/>
  <c r="F191" i="1"/>
  <c r="E191" i="1"/>
  <c r="D191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AI189" i="1" s="1"/>
  <c r="F189" i="1"/>
  <c r="E189" i="1"/>
  <c r="D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AI188" i="1" s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I187" i="1" s="1"/>
  <c r="J187" i="1"/>
  <c r="I187" i="1"/>
  <c r="H187" i="1"/>
  <c r="G187" i="1"/>
  <c r="F187" i="1"/>
  <c r="E187" i="1"/>
  <c r="D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I186" i="1" s="1"/>
  <c r="D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AI185" i="1" s="1"/>
  <c r="N185" i="1"/>
  <c r="M185" i="1"/>
  <c r="L185" i="1"/>
  <c r="K185" i="1"/>
  <c r="J185" i="1"/>
  <c r="I185" i="1"/>
  <c r="H185" i="1"/>
  <c r="G185" i="1"/>
  <c r="F185" i="1"/>
  <c r="E185" i="1"/>
  <c r="D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AI184" i="1" s="1"/>
  <c r="F184" i="1"/>
  <c r="E184" i="1"/>
  <c r="D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AI183" i="1" s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I182" i="1" s="1"/>
  <c r="J182" i="1"/>
  <c r="I182" i="1"/>
  <c r="H182" i="1"/>
  <c r="G182" i="1"/>
  <c r="F182" i="1"/>
  <c r="E182" i="1"/>
  <c r="D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I181" i="1" s="1"/>
  <c r="D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AI180" i="1" s="1"/>
  <c r="N180" i="1"/>
  <c r="M180" i="1"/>
  <c r="L180" i="1"/>
  <c r="K180" i="1"/>
  <c r="J180" i="1"/>
  <c r="I180" i="1"/>
  <c r="H180" i="1"/>
  <c r="G180" i="1"/>
  <c r="F180" i="1"/>
  <c r="E180" i="1"/>
  <c r="D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AI179" i="1" s="1"/>
  <c r="F179" i="1"/>
  <c r="E179" i="1"/>
  <c r="D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AI178" i="1" s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I177" i="1" s="1"/>
  <c r="J177" i="1"/>
  <c r="I177" i="1"/>
  <c r="H177" i="1"/>
  <c r="G177" i="1"/>
  <c r="F177" i="1"/>
  <c r="E177" i="1"/>
  <c r="D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I176" i="1" s="1"/>
  <c r="D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AI175" i="1" s="1"/>
  <c r="N175" i="1"/>
  <c r="M175" i="1"/>
  <c r="L175" i="1"/>
  <c r="K175" i="1"/>
  <c r="J175" i="1"/>
  <c r="I175" i="1"/>
  <c r="H175" i="1"/>
  <c r="G175" i="1"/>
  <c r="F175" i="1"/>
  <c r="E175" i="1"/>
  <c r="D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AI174" i="1" s="1"/>
  <c r="F174" i="1"/>
  <c r="E174" i="1"/>
  <c r="D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AI173" i="1" s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I172" i="1" s="1"/>
  <c r="J172" i="1"/>
  <c r="I172" i="1"/>
  <c r="H172" i="1"/>
  <c r="G172" i="1"/>
  <c r="F172" i="1"/>
  <c r="E172" i="1"/>
  <c r="D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I171" i="1" s="1"/>
  <c r="D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I170" i="1" s="1"/>
  <c r="D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AI169" i="1" s="1"/>
  <c r="F169" i="1"/>
  <c r="E169" i="1"/>
  <c r="D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AI168" i="1" s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I167" i="1" s="1"/>
  <c r="J167" i="1"/>
  <c r="I167" i="1"/>
  <c r="H167" i="1"/>
  <c r="G167" i="1"/>
  <c r="F167" i="1"/>
  <c r="E167" i="1"/>
  <c r="D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I166" i="1" s="1"/>
  <c r="D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AI165" i="1" s="1"/>
  <c r="N165" i="1"/>
  <c r="M165" i="1"/>
  <c r="L165" i="1"/>
  <c r="K165" i="1"/>
  <c r="J165" i="1"/>
  <c r="I165" i="1"/>
  <c r="H165" i="1"/>
  <c r="G165" i="1"/>
  <c r="F165" i="1"/>
  <c r="E165" i="1"/>
  <c r="D165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AI163" i="1" s="1"/>
  <c r="F163" i="1"/>
  <c r="E163" i="1"/>
  <c r="D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I162" i="1" s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I161" i="1" s="1"/>
  <c r="J161" i="1"/>
  <c r="I161" i="1"/>
  <c r="H161" i="1"/>
  <c r="G161" i="1"/>
  <c r="F161" i="1"/>
  <c r="E161" i="1"/>
  <c r="D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I160" i="1" s="1"/>
  <c r="D160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AI158" i="1" s="1"/>
  <c r="F158" i="1"/>
  <c r="E158" i="1"/>
  <c r="D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I157" i="1" s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I156" i="1" s="1"/>
  <c r="J156" i="1"/>
  <c r="I156" i="1"/>
  <c r="H156" i="1"/>
  <c r="G156" i="1"/>
  <c r="F156" i="1"/>
  <c r="E156" i="1"/>
  <c r="D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I155" i="1" s="1"/>
  <c r="D155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AI152" i="1" s="1"/>
  <c r="F152" i="1"/>
  <c r="E152" i="1"/>
  <c r="D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AI151" i="1" s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I150" i="1" s="1"/>
  <c r="J150" i="1"/>
  <c r="I150" i="1"/>
  <c r="H150" i="1"/>
  <c r="G150" i="1"/>
  <c r="F150" i="1"/>
  <c r="E150" i="1"/>
  <c r="D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I149" i="1" s="1"/>
  <c r="D149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AI147" i="1" s="1"/>
  <c r="F147" i="1"/>
  <c r="E147" i="1"/>
  <c r="D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AI146" i="1" s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AI145" i="1" s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I144" i="1" s="1"/>
  <c r="D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AI143" i="1" s="1"/>
  <c r="N143" i="1"/>
  <c r="M143" i="1"/>
  <c r="L143" i="1"/>
  <c r="K143" i="1"/>
  <c r="J143" i="1"/>
  <c r="I143" i="1"/>
  <c r="H143" i="1"/>
  <c r="G143" i="1"/>
  <c r="F143" i="1"/>
  <c r="E143" i="1"/>
  <c r="D143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AI141" i="1" s="1"/>
  <c r="F141" i="1"/>
  <c r="E141" i="1"/>
  <c r="D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AI140" i="1" s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AI139" i="1" s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I138" i="1" s="1"/>
  <c r="D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AI137" i="1" s="1"/>
  <c r="N137" i="1"/>
  <c r="M137" i="1"/>
  <c r="L137" i="1"/>
  <c r="K137" i="1"/>
  <c r="J137" i="1"/>
  <c r="I137" i="1"/>
  <c r="H137" i="1"/>
  <c r="G137" i="1"/>
  <c r="F137" i="1"/>
  <c r="E137" i="1"/>
  <c r="D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AI136" i="1" s="1"/>
  <c r="F136" i="1"/>
  <c r="E136" i="1"/>
  <c r="D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AI135" i="1" s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AI134" i="1" s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AI133" i="1" s="1"/>
  <c r="D133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AI130" i="1" s="1"/>
  <c r="F130" i="1"/>
  <c r="E130" i="1"/>
  <c r="D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AI129" i="1" s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AI128" i="1" s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AI127" i="1" s="1"/>
  <c r="D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AI126" i="1" s="1"/>
  <c r="N126" i="1"/>
  <c r="M126" i="1"/>
  <c r="L126" i="1"/>
  <c r="K126" i="1"/>
  <c r="J126" i="1"/>
  <c r="I126" i="1"/>
  <c r="H126" i="1"/>
  <c r="G126" i="1"/>
  <c r="F126" i="1"/>
  <c r="E126" i="1"/>
  <c r="D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AI125" i="1" s="1"/>
  <c r="F125" i="1"/>
  <c r="E125" i="1"/>
  <c r="D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AI124" i="1" s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AI123" i="1" s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AI122" i="1" s="1"/>
  <c r="D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AI121" i="1" s="1"/>
  <c r="N121" i="1"/>
  <c r="M121" i="1"/>
  <c r="L121" i="1"/>
  <c r="K121" i="1"/>
  <c r="J121" i="1"/>
  <c r="I121" i="1"/>
  <c r="H121" i="1"/>
  <c r="G121" i="1"/>
  <c r="F121" i="1"/>
  <c r="E121" i="1"/>
  <c r="D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AI120" i="1" s="1"/>
  <c r="F120" i="1"/>
  <c r="E120" i="1"/>
  <c r="D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AI119" i="1" s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AI118" i="1" s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AI117" i="1" s="1"/>
  <c r="D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AI116" i="1" s="1"/>
  <c r="N116" i="1"/>
  <c r="M116" i="1"/>
  <c r="L116" i="1"/>
  <c r="K116" i="1"/>
  <c r="J116" i="1"/>
  <c r="I116" i="1"/>
  <c r="H116" i="1"/>
  <c r="G116" i="1"/>
  <c r="F116" i="1"/>
  <c r="E116" i="1"/>
  <c r="D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AI115" i="1" s="1"/>
  <c r="F115" i="1"/>
  <c r="E115" i="1"/>
  <c r="D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I114" i="1" s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AI113" i="1" s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AI111" i="1" s="1"/>
  <c r="D111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AI109" i="1" s="1"/>
  <c r="F109" i="1"/>
  <c r="E109" i="1"/>
  <c r="D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AI108" i="1" s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I107" i="1" s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AI106" i="1" s="1"/>
  <c r="D106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AI104" i="1" s="1"/>
  <c r="F104" i="1"/>
  <c r="E104" i="1"/>
  <c r="D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AI103" i="1" s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I102" i="1" s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AI101" i="1" s="1"/>
  <c r="D101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AI99" i="1" s="1"/>
  <c r="F99" i="1"/>
  <c r="E99" i="1"/>
  <c r="D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I98" i="1" s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I97" i="1" s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AI96" i="1" s="1"/>
  <c r="D96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AI94" i="1" s="1"/>
  <c r="F94" i="1"/>
  <c r="E94" i="1"/>
  <c r="D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AI93" i="1" s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I92" i="1" s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AI91" i="1" s="1"/>
  <c r="D91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AI89" i="1" s="1"/>
  <c r="N89" i="1"/>
  <c r="M89" i="1"/>
  <c r="L89" i="1"/>
  <c r="K89" i="1"/>
  <c r="J89" i="1"/>
  <c r="I89" i="1"/>
  <c r="H89" i="1"/>
  <c r="G89" i="1"/>
  <c r="F89" i="1"/>
  <c r="E89" i="1"/>
  <c r="D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AI88" i="1" s="1"/>
  <c r="F88" i="1"/>
  <c r="E88" i="1"/>
  <c r="D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I87" i="1" s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AI86" i="1" s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AI85" i="1" s="1"/>
  <c r="D85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AI83" i="1" s="1"/>
  <c r="F83" i="1"/>
  <c r="E83" i="1"/>
  <c r="D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I82" i="1" s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AI81" i="1" s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I80" i="1" s="1"/>
  <c r="D80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AI78" i="1" s="1"/>
  <c r="F78" i="1"/>
  <c r="E78" i="1"/>
  <c r="D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I77" i="1" s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I76" i="1" s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I75" i="1" s="1"/>
  <c r="D75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AI73" i="1" s="1"/>
  <c r="F73" i="1"/>
  <c r="E73" i="1"/>
  <c r="D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I72" i="1" s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I71" i="1" s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I70" i="1" s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AI69" i="1" s="1"/>
  <c r="O69" i="1"/>
  <c r="N69" i="1"/>
  <c r="M69" i="1"/>
  <c r="L69" i="1"/>
  <c r="K69" i="1"/>
  <c r="J69" i="1"/>
  <c r="I69" i="1"/>
  <c r="H69" i="1"/>
  <c r="G69" i="1"/>
  <c r="F69" i="1"/>
  <c r="E69" i="1"/>
  <c r="D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AI68" i="1" s="1"/>
  <c r="F68" i="1"/>
  <c r="E68" i="1"/>
  <c r="D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I67" i="1" s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I66" i="1" s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I65" i="1" s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AI64" i="1" s="1"/>
  <c r="N64" i="1"/>
  <c r="M64" i="1"/>
  <c r="L64" i="1"/>
  <c r="K64" i="1"/>
  <c r="J64" i="1"/>
  <c r="I64" i="1"/>
  <c r="H64" i="1"/>
  <c r="G64" i="1"/>
  <c r="F64" i="1"/>
  <c r="E64" i="1"/>
  <c r="D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AI63" i="1" s="1"/>
  <c r="F63" i="1"/>
  <c r="E63" i="1"/>
  <c r="D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I62" i="1" s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I61" i="1" s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I60" i="1" s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AI59" i="1" s="1"/>
  <c r="N59" i="1"/>
  <c r="M59" i="1"/>
  <c r="L59" i="1"/>
  <c r="K59" i="1"/>
  <c r="J59" i="1"/>
  <c r="I59" i="1"/>
  <c r="H59" i="1"/>
  <c r="G59" i="1"/>
  <c r="F59" i="1"/>
  <c r="E59" i="1"/>
  <c r="D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AI58" i="1" s="1"/>
  <c r="F58" i="1"/>
  <c r="E58" i="1"/>
  <c r="D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I57" i="1" s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I56" i="1" s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I55" i="1" s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AI54" i="1" s="1"/>
  <c r="N54" i="1"/>
  <c r="M54" i="1"/>
  <c r="L54" i="1"/>
  <c r="K54" i="1"/>
  <c r="J54" i="1"/>
  <c r="I54" i="1"/>
  <c r="H54" i="1"/>
  <c r="G54" i="1"/>
  <c r="F54" i="1"/>
  <c r="E54" i="1"/>
  <c r="D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AI53" i="1" s="1"/>
  <c r="F53" i="1"/>
  <c r="E53" i="1"/>
  <c r="D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I52" i="1" s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I51" i="1" s="1"/>
  <c r="J51" i="1"/>
  <c r="I51" i="1"/>
  <c r="H51" i="1"/>
  <c r="G51" i="1"/>
  <c r="F51" i="1"/>
  <c r="E51" i="1"/>
  <c r="D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I50" i="1" s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AI49" i="1" s="1"/>
  <c r="N49" i="1"/>
  <c r="M49" i="1"/>
  <c r="L49" i="1"/>
  <c r="K49" i="1"/>
  <c r="J49" i="1"/>
  <c r="I49" i="1"/>
  <c r="H49" i="1"/>
  <c r="G49" i="1"/>
  <c r="F49" i="1"/>
  <c r="E49" i="1"/>
  <c r="D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AI48" i="1" s="1"/>
  <c r="F48" i="1"/>
  <c r="E48" i="1"/>
  <c r="D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I47" i="1" s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I46" i="1" s="1"/>
  <c r="J46" i="1"/>
  <c r="I46" i="1"/>
  <c r="H46" i="1"/>
  <c r="G46" i="1"/>
  <c r="F46" i="1"/>
  <c r="E46" i="1"/>
  <c r="D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I45" i="1" s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AI43" i="1" s="1"/>
  <c r="F43" i="1"/>
  <c r="E43" i="1"/>
  <c r="D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I42" i="1" s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I41" i="1" s="1"/>
  <c r="J41" i="1"/>
  <c r="I41" i="1"/>
  <c r="H41" i="1"/>
  <c r="G41" i="1"/>
  <c r="F41" i="1"/>
  <c r="E41" i="1"/>
  <c r="D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I40" i="1" s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AI39" i="1" s="1"/>
  <c r="N39" i="1"/>
  <c r="M39" i="1"/>
  <c r="L39" i="1"/>
  <c r="K39" i="1"/>
  <c r="J39" i="1"/>
  <c r="I39" i="1"/>
  <c r="H39" i="1"/>
  <c r="G39" i="1"/>
  <c r="F39" i="1"/>
  <c r="E39" i="1"/>
  <c r="D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AI38" i="1" s="1"/>
  <c r="F38" i="1"/>
  <c r="E38" i="1"/>
  <c r="D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I37" i="1" s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I36" i="1" s="1"/>
  <c r="J36" i="1"/>
  <c r="I36" i="1"/>
  <c r="H36" i="1"/>
  <c r="G36" i="1"/>
  <c r="F36" i="1"/>
  <c r="E36" i="1"/>
  <c r="D36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I34" i="1" s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AI32" i="1" s="1"/>
  <c r="F32" i="1"/>
  <c r="E32" i="1"/>
  <c r="D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I31" i="1" s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I30" i="1" s="1"/>
  <c r="J30" i="1"/>
  <c r="I30" i="1"/>
  <c r="H30" i="1"/>
  <c r="G30" i="1"/>
  <c r="F30" i="1"/>
  <c r="E30" i="1"/>
  <c r="D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I29" i="1" s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AI28" i="1" s="1"/>
  <c r="N28" i="1"/>
  <c r="M28" i="1"/>
  <c r="L28" i="1"/>
  <c r="K28" i="1"/>
  <c r="J28" i="1"/>
  <c r="I28" i="1"/>
  <c r="H28" i="1"/>
  <c r="G28" i="1"/>
  <c r="F28" i="1"/>
  <c r="E28" i="1"/>
  <c r="D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AI27" i="1" s="1"/>
  <c r="F27" i="1"/>
  <c r="E27" i="1"/>
  <c r="D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I26" i="1" s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I25" i="1" s="1"/>
  <c r="J25" i="1"/>
  <c r="I25" i="1"/>
  <c r="H25" i="1"/>
  <c r="G25" i="1"/>
  <c r="F25" i="1"/>
  <c r="E25" i="1"/>
  <c r="D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I24" i="1" s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AI22" i="1" s="1"/>
  <c r="F22" i="1"/>
  <c r="E22" i="1"/>
  <c r="D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I21" i="1" s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I20" i="1" s="1"/>
  <c r="J20" i="1"/>
  <c r="I20" i="1"/>
  <c r="H20" i="1"/>
  <c r="G20" i="1"/>
  <c r="F20" i="1"/>
  <c r="E20" i="1"/>
  <c r="D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I19" i="1" s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AI18" i="1" s="1"/>
  <c r="N18" i="1"/>
  <c r="M18" i="1"/>
  <c r="L18" i="1"/>
  <c r="K18" i="1"/>
  <c r="J18" i="1"/>
  <c r="I18" i="1"/>
  <c r="H18" i="1"/>
  <c r="G18" i="1"/>
  <c r="F18" i="1"/>
  <c r="E18" i="1"/>
  <c r="D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AI17" i="1" s="1"/>
  <c r="F17" i="1"/>
  <c r="E17" i="1"/>
  <c r="D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I16" i="1" s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I15" i="1" s="1"/>
  <c r="J15" i="1"/>
  <c r="I15" i="1"/>
  <c r="H15" i="1"/>
  <c r="G15" i="1"/>
  <c r="F15" i="1"/>
  <c r="E15" i="1"/>
  <c r="D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I14" i="1" s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AI12" i="1" s="1"/>
  <c r="F12" i="1"/>
  <c r="E12" i="1"/>
  <c r="D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I11" i="1" s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I10" i="1" s="1"/>
  <c r="J10" i="1"/>
  <c r="I10" i="1"/>
  <c r="H10" i="1"/>
  <c r="G10" i="1"/>
  <c r="F10" i="1"/>
  <c r="E10" i="1"/>
  <c r="D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I9" i="1" s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AI8" i="1" s="1"/>
  <c r="N8" i="1"/>
  <c r="M8" i="1"/>
  <c r="L8" i="1"/>
  <c r="K8" i="1"/>
  <c r="J8" i="1"/>
  <c r="I8" i="1"/>
  <c r="H8" i="1"/>
  <c r="G8" i="1"/>
  <c r="F8" i="1"/>
  <c r="E8" i="1"/>
  <c r="D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I7" i="1" s="1"/>
  <c r="F7" i="1"/>
  <c r="E7" i="1"/>
  <c r="D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I6" i="1" s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I5" i="1" s="1"/>
  <c r="J5" i="1"/>
  <c r="I5" i="1"/>
  <c r="H5" i="1"/>
  <c r="G5" i="1"/>
  <c r="F5" i="1"/>
  <c r="E5" i="1"/>
  <c r="D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AI4" i="1" s="1"/>
  <c r="AJ350" i="11" l="1"/>
</calcChain>
</file>

<file path=xl/sharedStrings.xml><?xml version="1.0" encoding="utf-8"?>
<sst xmlns="http://schemas.openxmlformats.org/spreadsheetml/2006/main" count="9335" uniqueCount="755">
  <si>
    <t>DESCRIPCIÓN</t>
  </si>
  <si>
    <t>UNIDAD DE MEDIDA</t>
  </si>
  <si>
    <t>CÓDIGO</t>
  </si>
  <si>
    <t>TOTAL</t>
  </si>
  <si>
    <t>GRUPO DE ALIMENTO: FRUTA</t>
  </si>
  <si>
    <t>CIRUELA ROJA</t>
  </si>
  <si>
    <t>KG</t>
  </si>
  <si>
    <t>CAÑA DE AZUCAR</t>
  </si>
  <si>
    <t>PIEZA</t>
  </si>
  <si>
    <t>CIRUELA AMARILLA</t>
  </si>
  <si>
    <t>DURAZNO</t>
  </si>
  <si>
    <t>FRESA</t>
  </si>
  <si>
    <t>GUAYABA</t>
  </si>
  <si>
    <t>JICAMA</t>
  </si>
  <si>
    <t>LIMA</t>
  </si>
  <si>
    <t>MANDARINA</t>
  </si>
  <si>
    <t>MANZANA DELICIA</t>
  </si>
  <si>
    <t>MANZANA GOLDEN</t>
  </si>
  <si>
    <t>MELON CANTALUP</t>
  </si>
  <si>
    <t>NARANJA</t>
  </si>
  <si>
    <t>PAPAYA</t>
  </si>
  <si>
    <t>PERA</t>
  </si>
  <si>
    <t>PERA MANTEQUILLA</t>
  </si>
  <si>
    <t>PIÑA</t>
  </si>
  <si>
    <t>PLATANO MACHO</t>
  </si>
  <si>
    <t>PLATANO ROATAN</t>
  </si>
  <si>
    <t>SANDIA</t>
  </si>
  <si>
    <t>TEJOCOTE</t>
  </si>
  <si>
    <t>TORONJA</t>
  </si>
  <si>
    <t>MANGO PETACON</t>
  </si>
  <si>
    <t>PLATANO DOMINICO</t>
  </si>
  <si>
    <t>UVA GLOBO</t>
  </si>
  <si>
    <t>UVA VERDE</t>
  </si>
  <si>
    <t>MANGO BARRANQUEÑO</t>
  </si>
  <si>
    <t>CIRUELA PASA SIN HUESO</t>
  </si>
  <si>
    <t>GRANADA ROJA</t>
  </si>
  <si>
    <t>TUNA</t>
  </si>
  <si>
    <t>GRANADA CHINA</t>
  </si>
  <si>
    <t>GRUPO DE ALIMENTO: VERDURA</t>
  </si>
  <si>
    <t>CHILE JALAPEÑO</t>
  </si>
  <si>
    <t>CHAMPIÑONES</t>
  </si>
  <si>
    <t>TE DE LIMON</t>
  </si>
  <si>
    <t>MANOJO</t>
  </si>
  <si>
    <t>TOMILLO FRESCO</t>
  </si>
  <si>
    <t>ACELGA</t>
  </si>
  <si>
    <t>AGUACATE</t>
  </si>
  <si>
    <t>APIO</t>
  </si>
  <si>
    <t>BETABEL</t>
  </si>
  <si>
    <t>BROCOLI</t>
  </si>
  <si>
    <t>CALABACITA ITALIANA</t>
  </si>
  <si>
    <t>CALABAZA DURA</t>
  </si>
  <si>
    <t>CAMOTE AMARILLO</t>
  </si>
  <si>
    <t>CEBOLLA BLANCA</t>
  </si>
  <si>
    <t>CEBOLLA CAMBRAY</t>
  </si>
  <si>
    <t>CEBOLLA MORADA</t>
  </si>
  <si>
    <t>CHAYOTE SQUASH PIEZA DE 400GR C/U</t>
  </si>
  <si>
    <t>CHILE GUERO</t>
  </si>
  <si>
    <t>CHILE PIMIENTO MORRON ROJO</t>
  </si>
  <si>
    <t>CHILE PIMIENTO MORRON VERDE</t>
  </si>
  <si>
    <t>CHILE POBLANO</t>
  </si>
  <si>
    <t>CHILE SERRANO</t>
  </si>
  <si>
    <t>CILANTRO FRESCO</t>
  </si>
  <si>
    <t>COL BLANCA</t>
  </si>
  <si>
    <t>COL MORADA</t>
  </si>
  <si>
    <t>COLIFLOR</t>
  </si>
  <si>
    <t>EJOTE</t>
  </si>
  <si>
    <t>ELOTE</t>
  </si>
  <si>
    <t>ESPINACAS FRESCAS</t>
  </si>
  <si>
    <t>GERMINADO DE SOYA</t>
  </si>
  <si>
    <t>HIERBABUENA FRESCA</t>
  </si>
  <si>
    <t>JITOMATE BOLA</t>
  </si>
  <si>
    <t>JITOMATE SALADET</t>
  </si>
  <si>
    <t>LECHUGA BOLA EMPLAYADA</t>
  </si>
  <si>
    <t>LIMON SIN SEMILLA</t>
  </si>
  <si>
    <t>NOPALES BLANCO PICADO</t>
  </si>
  <si>
    <t>OREGANO FRESCO</t>
  </si>
  <si>
    <t>PAPA BLANCA</t>
  </si>
  <si>
    <t>PAPA CAMBRAY</t>
  </si>
  <si>
    <t>PEPINO AMERICANO</t>
  </si>
  <si>
    <t>PEREJIL FRESCO</t>
  </si>
  <si>
    <t>RABANOS LARGOS</t>
  </si>
  <si>
    <t>TE DE MANZANILLA</t>
  </si>
  <si>
    <t>TOMATE VERDE SIN HOJA</t>
  </si>
  <si>
    <t>VERDOLAGA</t>
  </si>
  <si>
    <t>ZANAHORIA</t>
  </si>
  <si>
    <t>GERMINADO DE ALFALFA</t>
  </si>
  <si>
    <t>PAQUETE</t>
  </si>
  <si>
    <t>CEBOLLA BLANCA CON RABO</t>
  </si>
  <si>
    <t>CHILE HABANERO</t>
  </si>
  <si>
    <t>JITOMATE CHERRY</t>
  </si>
  <si>
    <t>LECHUGA SANGRÍA</t>
  </si>
  <si>
    <t>LECHUGA ESCAROLA</t>
  </si>
  <si>
    <t>LIMON AGRIO</t>
  </si>
  <si>
    <t>JENGIBRE FRESCO</t>
  </si>
  <si>
    <t>RABANO CHAMPION SIN RABO</t>
  </si>
  <si>
    <t>GRUPO DE ALIMENTO: CERDO</t>
  </si>
  <si>
    <t>FAJITAS DE CERDO</t>
  </si>
  <si>
    <t>CARNAZA DE CERDO EN TROZO</t>
  </si>
  <si>
    <t>CARNE MOLIDA DE CERDO POCA GRASA</t>
  </si>
  <si>
    <t>CHAMORRO DE CERDO PARTIDO</t>
  </si>
  <si>
    <t>CHULETA DE CERDO AHUMADA CORTE DE 120GR C/U</t>
  </si>
  <si>
    <t>COSTILLA DE CERDO EN TROCITO</t>
  </si>
  <si>
    <t>LOMO DE CERDO</t>
  </si>
  <si>
    <t>MILANESA DE CERDO</t>
  </si>
  <si>
    <t>PIERNA DE CERDO EN TROZO CORTE DE 3 KILOS</t>
  </si>
  <si>
    <t>PIERNA DE CERDO EN TROCITO</t>
  </si>
  <si>
    <t>CARNITAS</t>
  </si>
  <si>
    <t>CABEZA DE CERDO PARTIDA</t>
  </si>
  <si>
    <t>PATA DE CERDO PARTIDA EN CUARTOS</t>
  </si>
  <si>
    <t>CHICHARRON DE CERDO</t>
  </si>
  <si>
    <t>ESPALDA DE CERDO</t>
  </si>
  <si>
    <t>BISTECK DE CERDO CORTE DE 150GR C/U</t>
  </si>
  <si>
    <t>ESPINAZO DE CERDO DE LA PARTE DEL CENTRO</t>
  </si>
  <si>
    <t>HUESO BLANCO DE CERDO PARA POZOLE</t>
  </si>
  <si>
    <t>PULPA DE CERDO EN TROCITO</t>
  </si>
  <si>
    <t>PIERNA MECHADA</t>
  </si>
  <si>
    <t>LOMO MECHADO</t>
  </si>
  <si>
    <t>GRUPO DE ALIMENTO: RES</t>
  </si>
  <si>
    <t>BISTECK DE RES AGUAYON PARA BROCHETA</t>
  </si>
  <si>
    <t>CARNE DE RES PARA COCIDO CON PLATANO Y POCO HUESO</t>
  </si>
  <si>
    <t>CARNE DE RES PARA DESHEBRAR CORTE DE KILO</t>
  </si>
  <si>
    <t>CARNE MOLIDA DE RES POCA GRASA</t>
  </si>
  <si>
    <t>CUETE DE RES EN TROCITO</t>
  </si>
  <si>
    <t>FAJITAS DE RES</t>
  </si>
  <si>
    <t>MENUDO DE RES</t>
  </si>
  <si>
    <t>BISTECK DE RES BOLA</t>
  </si>
  <si>
    <t>COSTILLA DE RES CARGADA</t>
  </si>
  <si>
    <t>FALDA DE RES EN TROZO</t>
  </si>
  <si>
    <t>CHAMBERETE DE RES</t>
  </si>
  <si>
    <t>CHULETA DE RES CORTE DE 200GR C/U</t>
  </si>
  <si>
    <t>CARNE DE RES PARA SU JUGO REBANADA</t>
  </si>
  <si>
    <t>BISTECK DE RES</t>
  </si>
  <si>
    <t>LENGUA RES</t>
  </si>
  <si>
    <t>PULPA DE RES EN TROCITO</t>
  </si>
  <si>
    <t>MILANESA DE RES</t>
  </si>
  <si>
    <t>BISTEC DE RES PARTIDO PARA BROCHETA</t>
  </si>
  <si>
    <t>TERNERA CON HUESO</t>
  </si>
  <si>
    <t>GRUPO DE ALIMENTO: POLLO</t>
  </si>
  <si>
    <t>PECHUGA DE POLLO EN FAJITAS</t>
  </si>
  <si>
    <t>POLLO PARTIDO EN 8 PIGMENTADO SIN PIEL PESCUEZO Y MOLLEJAS</t>
  </si>
  <si>
    <t>HUEVO KILO</t>
  </si>
  <si>
    <t>PECHUGA DE POLLO SIN HUESO PARTIDA PARA BROCHETA</t>
  </si>
  <si>
    <t>PECHUGA DE POLLO CON HUESO</t>
  </si>
  <si>
    <t>PECHUGA DE POLLO EN FILETE DE 150 GRS. C/U</t>
  </si>
  <si>
    <t>HAMBURGUESA DE POLLO CONGELADA DE 120GR</t>
  </si>
  <si>
    <t>POLLO ROSTIZADO (1,200 KG C/U)</t>
  </si>
  <si>
    <t>PECHUGA DE POLLO SIN HUESO</t>
  </si>
  <si>
    <t>GRUPO DE ALIMENTO: PESCADOS Y MARISCOS</t>
  </si>
  <si>
    <t>CAMARON FRESCO</t>
  </si>
  <si>
    <t>CAMARON SECO</t>
  </si>
  <si>
    <t>CAZON TIERNO S/ ESPINAS PIEZA</t>
  </si>
  <si>
    <t>FILETE DE PESCADO HUACHINANGO CORTE DE 150GR C/U</t>
  </si>
  <si>
    <t>MARLÍN</t>
  </si>
  <si>
    <t>SURIMI</t>
  </si>
  <si>
    <t>FILETE DE PESCADO CAZON EN CUBITO</t>
  </si>
  <si>
    <t>HUACHINANGO TROZO S/ESPINAS SIN CABEZA, ESCAMAS BRILLANTES Y PAGADAS A LA PIEL</t>
  </si>
  <si>
    <t>PULPO LIMPIO FRESCO SIN CONGELAR</t>
  </si>
  <si>
    <t>TROZO DE PESCADO</t>
  </si>
  <si>
    <t>GRUPO DE ALIMENTO: EMBUTIDOS</t>
  </si>
  <si>
    <t>CHORIZO</t>
  </si>
  <si>
    <t>JAMON DE PECHUGA DE PAVO REBANADA DE 30 G</t>
  </si>
  <si>
    <t>JAMON DE PIERNA REBANADA DE 100GR</t>
  </si>
  <si>
    <t>TOCINO REBANADO</t>
  </si>
  <si>
    <t>TOCINO REBANADA GRUESA</t>
  </si>
  <si>
    <t>CHORIZO DE SOYA</t>
  </si>
  <si>
    <t>JAMÓN PIERNA REBANADA DE 30GR</t>
  </si>
  <si>
    <t>SALCHICHA DE PAVO</t>
  </si>
  <si>
    <t>SALAMI REBANADO</t>
  </si>
  <si>
    <t>JAMON DE PIERNA YORK</t>
  </si>
  <si>
    <t>GRUPO DE ALIMENTO: LÁCTEOS</t>
  </si>
  <si>
    <t>LECHE DESLACTOSADA LIGHT LITRO</t>
  </si>
  <si>
    <t>LITRO</t>
  </si>
  <si>
    <t>LECHE PASTEURIZADA DESCREMADA TETRAPAK</t>
  </si>
  <si>
    <t>QUESO ADOBERA OREADO pasteurizado</t>
  </si>
  <si>
    <t>QUESO PARMESANO pasteurizado</t>
  </si>
  <si>
    <t>FCO.</t>
  </si>
  <si>
    <t>CREMA ENTERA ACIDIFICADA PASTEURIZADA, BOTE DE 900 ML</t>
  </si>
  <si>
    <t>BOTE</t>
  </si>
  <si>
    <t>LECHE PASTEURIZADA FRESCA</t>
  </si>
  <si>
    <t>MANTEQUILLA CON SAL EN BARRA KILO</t>
  </si>
  <si>
    <t>QUESO ADOBERA pasteurizado</t>
  </si>
  <si>
    <t>QUESO AMARILLO pasteurizado</t>
  </si>
  <si>
    <t>QUESO ASADERO EN BARRA pasteurizado</t>
  </si>
  <si>
    <t>QUESO COTIJA pasteurizado</t>
  </si>
  <si>
    <t>QUESO MANCHEGO pasteurizado</t>
  </si>
  <si>
    <t>QUESO PANELA pasteurizado CON SAL</t>
  </si>
  <si>
    <t>YOGURTH DE DURAZNO</t>
  </si>
  <si>
    <t>YOGURTH DE FRESA</t>
  </si>
  <si>
    <t>QUESO PANELA pasteurizado SIN SAL</t>
  </si>
  <si>
    <t>YOGURTH DE NUEZ</t>
  </si>
  <si>
    <t>YOGURTH NATURAL SIN AZUCAR 900 GR</t>
  </si>
  <si>
    <t>NIEVE DE LECHE VARIOS SABORES BOTE 5 LTS</t>
  </si>
  <si>
    <t>MANTEQUILLA SIN SAL EN BARRA</t>
  </si>
  <si>
    <t>YOGURTH INDIVIDUAL SABOR NATURAL</t>
  </si>
  <si>
    <t>REQUESON SIN SAL</t>
  </si>
  <si>
    <t>YOGURTH DE PIÑA</t>
  </si>
  <si>
    <t>QUESO COTTAGE PASTERUTIZADO.</t>
  </si>
  <si>
    <t>LECHE FRESCA PASTEURIZADA LIGHT</t>
  </si>
  <si>
    <t>GRUPO DE ALIMENTO: CEREALES</t>
  </si>
  <si>
    <t>TORTILLA ESPECIAL PARA ENCHILADAS</t>
  </si>
  <si>
    <t>TOSTADA DESHIDRATADA</t>
  </si>
  <si>
    <t>BOLILLO CON SAL DE 160 GRAMOS</t>
  </si>
  <si>
    <t>BOLILLO MINI SIN SAL</t>
  </si>
  <si>
    <t>BOLILLO SIN SAL DE 80 GRAMOS</t>
  </si>
  <si>
    <t>PAN BLANCO DE CAJA GRANDE</t>
  </si>
  <si>
    <t>PAN DULCE</t>
  </si>
  <si>
    <t>PAN MOLIDO</t>
  </si>
  <si>
    <t>PAN PARA HAMBURGUESA</t>
  </si>
  <si>
    <t>PAN PARA HOT-DOG</t>
  </si>
  <si>
    <t>PAN TOSTADO</t>
  </si>
  <si>
    <t>ROSCA DE REYES PARA 40 PERSONAS</t>
  </si>
  <si>
    <t>TACO AL VAPOR</t>
  </si>
  <si>
    <t>TELERA</t>
  </si>
  <si>
    <t>TORTILLA DE HARINA</t>
  </si>
  <si>
    <t>TORTILLA DE MAIZ PAQUETE CON 3 PIEZAS</t>
  </si>
  <si>
    <t>TOSTADA DE MAIZ</t>
  </si>
  <si>
    <t>TOTOPO</t>
  </si>
  <si>
    <t>PAN INTEGRAL DE CAJA GRANDE</t>
  </si>
  <si>
    <t>FLAUTA CONGELADA BOLSA CON 25 PIEZAS</t>
  </si>
  <si>
    <t>BOLSA</t>
  </si>
  <si>
    <t>BAGUETTE INTEGRAL INDIVIDUAL</t>
  </si>
  <si>
    <t>BOLILLO FLEIMAN DE 150GR C/U</t>
  </si>
  <si>
    <t>CUERNITO</t>
  </si>
  <si>
    <t>VOLOVAN</t>
  </si>
  <si>
    <t>TACO SURTIDO DORADO</t>
  </si>
  <si>
    <t>TAMALES SURTIDOS</t>
  </si>
  <si>
    <t>TORTILLA DE HARINA INTEGRAL</t>
  </si>
  <si>
    <t>TORTILLA DE MAIZ PAQUETE CON 2 PIEZAS</t>
  </si>
  <si>
    <t>BOLILLO MINI CON SAL</t>
  </si>
  <si>
    <t>BOLILLO SALADO DE 180 GRAMOS</t>
  </si>
  <si>
    <t>PASTEL DE TRES LECHES</t>
  </si>
  <si>
    <t>BUÑUELOS</t>
  </si>
  <si>
    <t>PAN DE MUERTO 200GR</t>
  </si>
  <si>
    <t>MASA DE MAIZ</t>
  </si>
  <si>
    <t>GRUPO DE ALIMENTO: SECOS</t>
  </si>
  <si>
    <t>CHILE GUAJILLO</t>
  </si>
  <si>
    <t>ACHIOTE BARRA</t>
  </si>
  <si>
    <t>AJO CABEZA GRANDE</t>
  </si>
  <si>
    <t>AJONJOLI</t>
  </si>
  <si>
    <t>ALUBIA BOLSA CON FECHA DE CADUCIDAD DE A KILO</t>
  </si>
  <si>
    <t>ARROZ BOLSA CON FECHA DE CADUCIDAD</t>
  </si>
  <si>
    <t>CACAHUATE LIMPIO</t>
  </si>
  <si>
    <t>CANELA EN RAMA</t>
  </si>
  <si>
    <t>CHILE ANCHO A GRANEL</t>
  </si>
  <si>
    <t>CHILE CHILACATE A GRANEL</t>
  </si>
  <si>
    <t>CHILE CHIPOTLE SECO A GRANEL</t>
  </si>
  <si>
    <t>CHILE DE ARBOL A GRANEL</t>
  </si>
  <si>
    <t>CHILE MIRASOL A GRANEL</t>
  </si>
  <si>
    <t>CHILE MULATO A GRANEL</t>
  </si>
  <si>
    <t>CHILE PASILLA A GRANEL</t>
  </si>
  <si>
    <t>CLAVO A GRANEL</t>
  </si>
  <si>
    <t>COCO RAYADO</t>
  </si>
  <si>
    <t>CONDIMENTO PARA BARBACOA</t>
  </si>
  <si>
    <t>FRIJOL PERUANO EN BOLSA CON FECHA DE CADUCIDAD</t>
  </si>
  <si>
    <t>GARBANZO EN BOLSA CON FECHA DE CADUCIDAD EN BOLSA DE A KILO</t>
  </si>
  <si>
    <t>GRANOLA EN PAQUETE CON FECHA DE CADUCIDAD</t>
  </si>
  <si>
    <t>HABA EN BOLSA CON FECHA DE CADUCIDAD</t>
  </si>
  <si>
    <t>HOJA DE LAUREL</t>
  </si>
  <si>
    <t>JAMAICA BOLSA DE A KILO</t>
  </si>
  <si>
    <t>LENTEJA GRANDE EN BOLSA CON FECHA DE CADUCIDAD EM BOLSA DE A KILO</t>
  </si>
  <si>
    <t>MAIZ PARA POZOLE EN BOLSA DE A KILO</t>
  </si>
  <si>
    <t>MEJORANA A GRANEL</t>
  </si>
  <si>
    <t>NUEZ EN MITAD PELADA BOLSA CON FECHA DE CADUCIDAD</t>
  </si>
  <si>
    <t>PASAS EN BOLSA CON FECHA DE CADUCIDAD</t>
  </si>
  <si>
    <t>PILONCILLO EN BOLSAS DE A KILO</t>
  </si>
  <si>
    <t>TAMARINDO BOLSA DE A KILO</t>
  </si>
  <si>
    <t>TOMILLO SECO</t>
  </si>
  <si>
    <t>FRASCOS</t>
  </si>
  <si>
    <t>ALMENDRA</t>
  </si>
  <si>
    <t>SALVADO</t>
  </si>
  <si>
    <t>AMARANTO</t>
  </si>
  <si>
    <t>JENGIBRE SECO</t>
  </si>
  <si>
    <t>GRUPO DE ALIMENTO: CONGELADOS</t>
  </si>
  <si>
    <t>CHICHARO CONGELADO</t>
  </si>
  <si>
    <t>COLIFLOR CONGELADO</t>
  </si>
  <si>
    <t>EJOTE CONGELADO</t>
  </si>
  <si>
    <t>MAIZ EN GRANO CONGELADO</t>
  </si>
  <si>
    <t>MEZCLA BAJIO CONGELADO</t>
  </si>
  <si>
    <t>MEZCLA CALIFORNIA CONGELADO</t>
  </si>
  <si>
    <t>MEZCLA CAMPESINA CONGELADO</t>
  </si>
  <si>
    <t>MEZCLA MEXICANA CONGELADO</t>
  </si>
  <si>
    <t>ZANAHORIA EN RODAJAS CONGELADA</t>
  </si>
  <si>
    <t>BROCOLI CONGELADO</t>
  </si>
  <si>
    <t>MANGO CONGELADO EN TROZO</t>
  </si>
  <si>
    <t>FRESA CONGELADA</t>
  </si>
  <si>
    <t>PAPA A LA FRANCESA CONGELADA</t>
  </si>
  <si>
    <t>GRANO DE ELOTE CONGELADO</t>
  </si>
  <si>
    <t>FRIJOL CONGELADO</t>
  </si>
  <si>
    <t>FRAMBUESA CONGELADA</t>
  </si>
  <si>
    <t>FRIJOL DESHIDRATADO PERUANO</t>
  </si>
  <si>
    <t>CHICHARO CON ZANAHORIA CONGELADO</t>
  </si>
  <si>
    <t>GRUPO DE ALIMENTO: ENLATADOS Y PROCESADOS</t>
  </si>
  <si>
    <t>ACEITE COMESTIBLE DE 20 LTS</t>
  </si>
  <si>
    <t>BIDON</t>
  </si>
  <si>
    <t>ACEITE DE OLIVA DE 750ML</t>
  </si>
  <si>
    <t>ATUN EN ACEITE DE 1880 GRAMOS</t>
  </si>
  <si>
    <t>LATA</t>
  </si>
  <si>
    <t>AZUCAR BOLSA</t>
  </si>
  <si>
    <t>CAFÉ TOSTADO Y MOLIDO MEZCLADO CON AZÚCAR, PAQUETE CON 500 GRAMOS</t>
  </si>
  <si>
    <t>CAFE SOLUBLE DE 200 GRAMOS</t>
  </si>
  <si>
    <t>CEREAL DE ARROZ DE 300 GRS</t>
  </si>
  <si>
    <t>CEREAL DE AVENA DE 300 GRS.</t>
  </si>
  <si>
    <t>CEREAL MIXTO DE 300 GRS</t>
  </si>
  <si>
    <t>CHILE CHIPOTLE DE 380 GRS.</t>
  </si>
  <si>
    <t>CHILE JALAPEÑO EN RAJAS DE 2800 GRS.</t>
  </si>
  <si>
    <t>CHOCOLATE EN POLVO BOLSA</t>
  </si>
  <si>
    <t>CONCENTRADO DE HORCHATA LÍQUIDO</t>
  </si>
  <si>
    <t>GALON</t>
  </si>
  <si>
    <t>POLVO PARA PREPARAR CONCENTRADO SABOR LIMON, PAQUETE DE 500 GR</t>
  </si>
  <si>
    <t>CONSOME DE POLLO</t>
  </si>
  <si>
    <t>DESINFECTANTE LÍQUIDO</t>
  </si>
  <si>
    <t>DURAZNO EN ALMIBAR DE 820 GRS</t>
  </si>
  <si>
    <t>FECULA DE MAIZ VARIOS SABORES CON 24 SOBRES</t>
  </si>
  <si>
    <t>CAJA</t>
  </si>
  <si>
    <t>FECULA DE MAIZ NATURAL PAQ. DE 750GR.</t>
  </si>
  <si>
    <t>FLAN DE VAINILLA</t>
  </si>
  <si>
    <t>GALLETA DULCE SURTIDO DE 720 GRS</t>
  </si>
  <si>
    <t>GALLETA TIPO HABANERA</t>
  </si>
  <si>
    <t>GALLETA MARIA</t>
  </si>
  <si>
    <t>GALLETA SALADA INDIVIDUAL DE 2.6 KG</t>
  </si>
  <si>
    <t>GELATINA EN POLVO VARIOS SABORES</t>
  </si>
  <si>
    <t>GELATINA PARA DIABETICO</t>
  </si>
  <si>
    <t>HARINA DE ARROZ DE 500 GRS</t>
  </si>
  <si>
    <t>HARINA DE TRIGO</t>
  </si>
  <si>
    <t>HARINA PARA HOT CAKES</t>
  </si>
  <si>
    <t>HOJUELAS DE MAIZ 10 KILOS</t>
  </si>
  <si>
    <t>JUGO SABOR NARANJA DE 480 ML</t>
  </si>
  <si>
    <t>LECHE EVAPORADA</t>
  </si>
  <si>
    <t>MAYONESA DE 3.785 KILOS</t>
  </si>
  <si>
    <t>MERMELADA DE FRESA INDIVIDUAL</t>
  </si>
  <si>
    <t>MOLE POBLANO 2800 GRS</t>
  </si>
  <si>
    <t>MOSTAZA DE 3.785 KG</t>
  </si>
  <si>
    <t>MOSTAZA DE 430 GRS</t>
  </si>
  <si>
    <t>PASTA PARA SOPA CODITO CHICO 4 KILOS</t>
  </si>
  <si>
    <t>PASTA PARA SOPA ESPAGUETTI 4 KILOS</t>
  </si>
  <si>
    <t>PASTA PARA SOPA FIDEO 4 KILOS</t>
  </si>
  <si>
    <t>PEPIAN DE 2800 GRAMOS</t>
  </si>
  <si>
    <t>PIÑA EN ALMIBAR DE 710 GRAMOS</t>
  </si>
  <si>
    <t>PURE DE TOMATE DE 2.950 KILOGRAMOS</t>
  </si>
  <si>
    <t>SAL EN GRANO BOLSA</t>
  </si>
  <si>
    <t>SAL MOLIDA BOLSA</t>
  </si>
  <si>
    <t>SALSA CATSUP INDIVIDUAL</t>
  </si>
  <si>
    <t>SALSA DE SOYA</t>
  </si>
  <si>
    <t>SALSA TIPO INGLESA DE 980 MILILITROS</t>
  </si>
  <si>
    <t>TE DE LIMON CON 25 SOBRES</t>
  </si>
  <si>
    <t>TE DE CANELA A LA MANZANA, CAJA CON 25 SOBRES</t>
  </si>
  <si>
    <t>TE DE MANZANILLA, CAJA CON 25 SOBRES</t>
  </si>
  <si>
    <t>TE DE JAMAICA, CAJA CON 25 SOBRES</t>
  </si>
  <si>
    <t>TE DE HIERBABUENA, CAJA CON 25 SOBRES</t>
  </si>
  <si>
    <t>VAINILLA</t>
  </si>
  <si>
    <t>VINAGRE BLANCO</t>
  </si>
  <si>
    <t>GELATINA VARIOS SABORES Ultrapasteurizada Individual</t>
  </si>
  <si>
    <t>HOJUELA DE MAIZ NATURAL INDIVIDUAL</t>
  </si>
  <si>
    <t>CEREAL DE ARROZ INFLADO SABOR CHOCOLATE INDIVIDUAL</t>
  </si>
  <si>
    <t>MAYONESA INDIVIDUAL</t>
  </si>
  <si>
    <t>CONCENTRADO DE TAMARINDO</t>
  </si>
  <si>
    <t>HOJUELAS DE MAIZ CON AZUCAR 15 KILOS</t>
  </si>
  <si>
    <t>CHONGOS ZAMORANOS DE 450 GRS</t>
  </si>
  <si>
    <t>PASTA PARA SOPA ESTRELLITA CAJA 4 KILOS</t>
  </si>
  <si>
    <t>PASTA PARA SOPA MACARRON 4 KILOS</t>
  </si>
  <si>
    <t>PASTA PARA SOPA PLUMA 4 KILOS</t>
  </si>
  <si>
    <t>PASTA PARA SOPA TORNILLO 4 KILOS</t>
  </si>
  <si>
    <t>ACEITE COMESTIBLE</t>
  </si>
  <si>
    <t>ACEITE DE COCO</t>
  </si>
  <si>
    <t>ATE DE MEMBRILLO BARRA</t>
  </si>
  <si>
    <t>ATÚN EN AGUA DE 155 GR</t>
  </si>
  <si>
    <t>CHOCOLATE EN TABLILLA CON 6</t>
  </si>
  <si>
    <t>JUGO ULTRAPASTEURIZADO VARIOS SABORES TETRAPAK 200ML</t>
  </si>
  <si>
    <t>LECHE CONDENSADA</t>
  </si>
  <si>
    <t>LECHE EVAPORADA TETRAPAK</t>
  </si>
  <si>
    <t>MIEL MAPLE INDIVIDUAL</t>
  </si>
  <si>
    <t>MIEL DE ABEJA INDIVIDUAL PIEZA</t>
  </si>
  <si>
    <t>PASTA PARA SOPA CODITO GRANDE DE 4 KILOS</t>
  </si>
  <si>
    <t>PURE DE TOMATE CONDIMENTADO TETRAPAK</t>
  </si>
  <si>
    <t>VINAGRE DE MANZANA DE 720 ML</t>
  </si>
  <si>
    <t>ACEITE DE CANOLA</t>
  </si>
  <si>
    <t>CEREAL DE ARROZ S/ AZUCAR DE 300GR, TIPO NESTUM</t>
  </si>
  <si>
    <t>COMINO RESTAURANTERO 511 GRAMOS</t>
  </si>
  <si>
    <t>ENDULZANTE ARTIFICIAL A BASE DE SUCRALOSA Y DEXTROSA INDIVIDUAL</t>
  </si>
  <si>
    <t>SOBRES</t>
  </si>
  <si>
    <t>AGUA PURIFICADA 600ML</t>
  </si>
  <si>
    <t>SAL DE AJO</t>
  </si>
  <si>
    <t>MERMELADA DE CHABACANO</t>
  </si>
  <si>
    <t>ACEITUNAS DE 450 GRS</t>
  </si>
  <si>
    <t>FRASCO</t>
  </si>
  <si>
    <t>CEREAL DE ARROZ DE AVENA, MAÍZ Y TRIGO CON SABOR A FRUTAS INDIVIDUAL</t>
  </si>
  <si>
    <t>CARAMELO EMPACADO</t>
  </si>
  <si>
    <t>AGUA PURIFICADA GARRAFON 20 LTS</t>
  </si>
  <si>
    <t>GARRAFON</t>
  </si>
  <si>
    <t>AVENA BOTE DE 400 GR</t>
  </si>
  <si>
    <t>CANELA MOLIDA</t>
  </si>
  <si>
    <t>OREGANO SECO</t>
  </si>
  <si>
    <t>PIMIENTA NEGRA MOLIDA GRANO GRUESO RESTAURANTERA DE 511 GRS FRASCO</t>
  </si>
  <si>
    <t>ATUN EN AGUA 1880GR</t>
  </si>
  <si>
    <t>GALLETA EN FORMA DE ANIMALITO DE 500 GRS</t>
  </si>
  <si>
    <t>PROTEINA TEXTURIZADA DE SOYA, ACEITE DE SOYA SAL. SAZONADORES NATURALES SABOR COCHINITA PIBIL</t>
  </si>
  <si>
    <t>PROTEINA TEXTURIZADA DE SOYA, ACEITE DE SOYA SAL. SAZONADORES NATURALES SABOR CEVICHE</t>
  </si>
  <si>
    <t>PROTEINA DE SOYA TECTURIZADA SABOR (BIRRIA)</t>
  </si>
  <si>
    <t>NECTAR VARIOS SABORES TETRAPAK UTRAPASTEURIZADO 250 ML</t>
  </si>
  <si>
    <t>PAPILLA VEDURA TERCERA ETAPA</t>
  </si>
  <si>
    <t>NIEVE DE AGUA VARIOS SABORES LITRO</t>
  </si>
  <si>
    <t>SUSTITUTO DE CREMA PARA CAFÉ PASTEURIZADO BOTE DE 400GR</t>
  </si>
  <si>
    <t>GRUPO DE ALIMENTO: NUTRICIONAL</t>
  </si>
  <si>
    <t>LECHE DE SOYA CON OMEGA 3, 6 Y 9 EN POLVO</t>
  </si>
  <si>
    <t>LECHE DE SOYA EN POLVO LIBRE DE AZUCARES Y ENDULZADA CON MALTODDEXITRINAS CON MINIMO 26 G DE PROTEINA EN LECHE DESLACTOSADA</t>
  </si>
  <si>
    <t>FORMULA DE CONTINUACION NO LACTEA A BASE DE PROTEINA DE ARROZ HIDROLIZADO Y HIERRO PARA PACIENTES QUE SUFREN DE COLITIS NEUTROPENICA</t>
  </si>
  <si>
    <t>FORMULA FORTIFICANTE DE LECHE HUMANA LIQUIDO EN VIALES DE 5ML</t>
  </si>
  <si>
    <t>FORMULA LIQUIDA PARA PREMATUROS DE 24 KCAL/OZ FRASCO DE 88.5 ML</t>
  </si>
  <si>
    <t>FORMULA INFANTIL INICIO P/LACTANTES 400GR</t>
  </si>
  <si>
    <t>FORMULA INFANTIL CONTINUACION</t>
  </si>
  <si>
    <t>FORMULA INFANTIL A BASE DE AISLADO DE SOYA CON HIERRO 400 GRS</t>
  </si>
  <si>
    <t>FORMULA INFANTIL CON HIERRO PARA LACTANTES CON REFLUJO 400 GRS</t>
  </si>
  <si>
    <t>FORMULA INFANTIL PREMATUROS BAJO PESO 400GR</t>
  </si>
  <si>
    <t>FORMULA SEMIELEMENTAL CON HIERRO Y PROTEINAS HIDROLIZADAS 400 GRS</t>
  </si>
  <si>
    <t>FORMULA SIN LACTOSA POLVO 400GR</t>
  </si>
  <si>
    <t>FORMULA LACTEA ENTERA EN POLVO CON HIERRO Y CALCIO 840 GRS</t>
  </si>
  <si>
    <t>CASEINATO DE CALCIO 100 GR</t>
  </si>
  <si>
    <t>FRESUBINI PLUS</t>
  </si>
  <si>
    <t>FORMULA DE SUERO CON PROTEINA EXTENSAMENTE HIDROLIZADA CON LACTOSA ADICIONADA CON LC PUFAS DE 400 GRS</t>
  </si>
  <si>
    <t>CONCENTRADO DE LIMON EN POLVO 500 GRS</t>
  </si>
  <si>
    <t>0</t>
  </si>
  <si>
    <t>2212008048</t>
  </si>
  <si>
    <t>Banco de Leche</t>
  </si>
  <si>
    <t>FCO</t>
  </si>
  <si>
    <t>1° VIAJE</t>
  </si>
  <si>
    <t>2° VIAJE</t>
  </si>
  <si>
    <t>3° VIAJE</t>
  </si>
  <si>
    <t>4° VIAJE</t>
  </si>
  <si>
    <t>DÍA</t>
  </si>
  <si>
    <t>DIETAS</t>
  </si>
  <si>
    <t>COMEDOR</t>
  </si>
  <si>
    <t>JORNADA</t>
  </si>
  <si>
    <t>2212004045 MASA DE MAIZ SOLICITAR 2 KILOS PARA LOS DIAS 14 Y 27 DE OCTUBRE PARA EL TIEMPO DEL DESAYUNO(COMEDOR )</t>
  </si>
  <si>
    <t>Nutrición Clínica</t>
  </si>
  <si>
    <t>DESAYUNO</t>
  </si>
  <si>
    <t>COMIDA</t>
  </si>
  <si>
    <t>CENA</t>
  </si>
  <si>
    <t>bolillo mini con sal 150 piezas totopo 15 kg</t>
  </si>
  <si>
    <t>TOSTADA DESHIDRATADA 30 PAQUETES</t>
  </si>
  <si>
    <t>galleta salada 2 cajas</t>
  </si>
  <si>
    <t>tostada de maiz 200 piezas</t>
  </si>
  <si>
    <t>tostada de maiz 200piezas,</t>
  </si>
  <si>
    <t>bolillo mini con sal 90 piezas</t>
  </si>
  <si>
    <t>BOLILLO FLEIMA 200 piz.</t>
  </si>
  <si>
    <t>tostada de maiz 300 piezs</t>
  </si>
  <si>
    <t>bolillo mini con sal 90 piz , totopo 6 kg ,</t>
  </si>
  <si>
    <t>tostada de maiz 300 piezas</t>
  </si>
  <si>
    <t>bolillo mini con 90 piezas</t>
  </si>
  <si>
    <t>tostada desihidratada 30 paquete</t>
  </si>
  <si>
    <t>pan blanco 10 paquetes</t>
  </si>
  <si>
    <t>bolillo mini con sal 150 piezas totopo 15 kg ,250 PIEZAS PAN DULCE</t>
  </si>
  <si>
    <t>tostada de maiz 300piz ,1 CAJA DE GALLETA SALADA</t>
  </si>
  <si>
    <t>fleima de 150 grs 100 piezas</t>
  </si>
  <si>
    <t>bolillo mini con sal 90 piezas ,PAN DULCE 150 PIEZAS</t>
  </si>
  <si>
    <t>PAN DULCE 250 PIEZAS</t>
  </si>
  <si>
    <t>tostada de maiz 200 piezas , PAN DULCE 150 PIEZAS</t>
  </si>
  <si>
    <t>bolillo fleima 200 piz ,</t>
  </si>
  <si>
    <t>tostada 300 piezas</t>
  </si>
  <si>
    <t>bolillo mini con sal 90 piezas totopo 6 kg</t>
  </si>
  <si>
    <t>bolillo mini con sal 50piezas ,PAN DULCE 150 PIEZAS</t>
  </si>
  <si>
    <t>bolillo mini con sal 90 piezas ,</t>
  </si>
  <si>
    <t>bolillo mini con sal 150 piz , PAN DULCE 250 PIEZAS</t>
  </si>
  <si>
    <t>bolillo mini con sal 50piezas</t>
  </si>
  <si>
    <t>totopo 15 kg ,bolillo mini con sal 100 piezas,250 PIEZAS PAN DULCE</t>
  </si>
  <si>
    <t>bolillo fleima 100 piz ,PAN DULCE 250 PIZ</t>
  </si>
  <si>
    <t>bolillo mini con sal 50 piezas ,cuernitos 150,PAN DULCE 150 PIEZAS</t>
  </si>
  <si>
    <t>250 PIEZAS PAN DULCE</t>
  </si>
  <si>
    <t>bolillo mini con sal 90 piezas totopo 7 kg</t>
  </si>
  <si>
    <t>bolillo mini con sal 100</t>
  </si>
  <si>
    <t>bolillo mini con sal 90piezas ,150 PIZ PAN DULCE</t>
  </si>
  <si>
    <t>PAN DULCE 250 PIZ</t>
  </si>
  <si>
    <t>bolillo mini con sal 150 piezas , BOLILLO FLEIMA 100 PIZ</t>
  </si>
  <si>
    <t>bolillo mini con sal 80 piezas totopo 6 kg ,PAN DULCE 150 PIZ</t>
  </si>
  <si>
    <t>pan para hot dog 20 paq</t>
  </si>
  <si>
    <t>bolillo mini con sal 80 piz ,PAN DULCE 150 PIZ</t>
  </si>
  <si>
    <t>bolillo mini con sal 150 piezas totopo 15 kg,250 PIZ PAN DULCE</t>
  </si>
  <si>
    <t>bolillomoni sin sal 300piezas, totopo 12kg</t>
  </si>
  <si>
    <t>tostada desihidratada 30 paquetes</t>
  </si>
  <si>
    <t>bolillo mini con sal 80 piezas</t>
  </si>
  <si>
    <t>tostada de maiz 200 piezas , PAN DULCE 150 PIZ</t>
  </si>
  <si>
    <t>bolillo mini con sal 150 piezas</t>
  </si>
  <si>
    <t>tostada de maiz 200 piezas ,PAN DULCE 150 PIZ</t>
  </si>
  <si>
    <t>bolillo mini sin sal 80 piz ,PAN DULCE 150 PIZ</t>
  </si>
  <si>
    <t>Adjudicado</t>
  </si>
  <si>
    <t/>
  </si>
  <si>
    <t>SE ACEPTA</t>
  </si>
  <si>
    <t>2 Bebidas y Concentrados</t>
  </si>
  <si>
    <t>MEMBERS MARK</t>
  </si>
  <si>
    <t>LPL47/2026</t>
  </si>
  <si>
    <t>2212</t>
  </si>
  <si>
    <t>3269</t>
  </si>
  <si>
    <t>JACOBO GUTIERREZ FABIOLA</t>
  </si>
  <si>
    <t>AGUA EMBOTELLADA PURIFICADA 500 ML.</t>
  </si>
  <si>
    <t>7 Congelados</t>
  </si>
  <si>
    <t>NA</t>
  </si>
  <si>
    <t>SM</t>
  </si>
  <si>
    <t>CHICHARO CON ZANAHORIA CONGELADO PAQUETE DE 2 KILOS</t>
  </si>
  <si>
    <t>8 Frutas y Verduras</t>
  </si>
  <si>
    <t>FRESK</t>
  </si>
  <si>
    <t>ZARZAMORA CONGELADA</t>
  </si>
  <si>
    <t>4 Granos, Semillas, Especies y Chiles Secos</t>
  </si>
  <si>
    <t>NAVARRO</t>
  </si>
  <si>
    <t>4379</t>
  </si>
  <si>
    <t>BANUELOS AREVALO MARIA DOLORES</t>
  </si>
  <si>
    <t>FRAMBUEZA CONGELADA</t>
  </si>
  <si>
    <t>CHICHARO CONGELADO PAQUETE DE 2 KILOS</t>
  </si>
  <si>
    <t>JENGIBRE SECO 250 GR</t>
  </si>
  <si>
    <t>18 Abarrotes</t>
  </si>
  <si>
    <t>PRESENTACION NATURAL</t>
  </si>
  <si>
    <t>A4684</t>
  </si>
  <si>
    <t>DYAMANTE, S.A. DE C.V.</t>
  </si>
  <si>
    <t>1024</t>
  </si>
  <si>
    <t>NUNEZ DE LA O ALFONSO</t>
  </si>
  <si>
    <t>16 Café, Té y Condimentos</t>
  </si>
  <si>
    <t>TERANA</t>
  </si>
  <si>
    <t>TOMILLO SECO 35 GR</t>
  </si>
  <si>
    <t>ZEPEDA</t>
  </si>
  <si>
    <t>FABIOLA</t>
  </si>
  <si>
    <t>4503</t>
  </si>
  <si>
    <t>MORALES RIOS FELIPE DE JESUS</t>
  </si>
  <si>
    <t>LENTEJA CHICA EN BOLSA CON FECHA DE CADUCIDAD EM BOLSA DE A KILO</t>
  </si>
  <si>
    <t>HIELO BOLSA PLASTICA 5 KG</t>
  </si>
  <si>
    <t>PEPSI</t>
  </si>
  <si>
    <t>REFRESCO DE LATA 355 ML</t>
  </si>
  <si>
    <t>COFFEEMATE</t>
  </si>
  <si>
    <t>SUSTITUTO DE CREMA PARA CAFE PASTEURIZADO BOTE DE 400 GR</t>
  </si>
  <si>
    <t>20 Pan</t>
  </si>
  <si>
    <t>FELIPE DE JESUS MORALES RIOS</t>
  </si>
  <si>
    <t>SWEETCRUMBS</t>
  </si>
  <si>
    <t>BOLILLO MINI CON SAL DE 80 GRAMOS</t>
  </si>
  <si>
    <t>5 Derivados de Maíz</t>
  </si>
  <si>
    <t>MOLINO EL GRANO DE ORO</t>
  </si>
  <si>
    <t>EL ORO</t>
  </si>
  <si>
    <t>11 Pan Comercial</t>
  </si>
  <si>
    <t>MISSION</t>
  </si>
  <si>
    <t>CUERNITO (DANÉS DE 100 GRAMOS)</t>
  </si>
  <si>
    <t>BIMBO</t>
  </si>
  <si>
    <t>TOTOPO SIN SAL PAQUETE DE 1 KG</t>
  </si>
  <si>
    <t>CHUY'S</t>
  </si>
  <si>
    <t>TOSTADA DE MAIZ PAQUETE DE 220 GR</t>
  </si>
  <si>
    <t>BIMBO SA DE CV</t>
  </si>
  <si>
    <t>TIA ROSA</t>
  </si>
  <si>
    <t>TORTILLA DE HARINA PAQUETE 612 GR</t>
  </si>
  <si>
    <t>TELERA SENCILLA</t>
  </si>
  <si>
    <t>TACO AL VAPOR SURTIDO CON 4 PIEZAS</t>
  </si>
  <si>
    <t>PAN TOSTADO CON 14 PIEZAS</t>
  </si>
  <si>
    <t>PAN PARA HOT-DOG CON 8 PIEZAS</t>
  </si>
  <si>
    <t>PAN PARA HAMBURGUESA CON 8 PIEZAS</t>
  </si>
  <si>
    <t>PAN DULCE DE 100 GRAMOS</t>
  </si>
  <si>
    <t>BOLILLO MINI SIN SAL DE 80 GRAMOS</t>
  </si>
  <si>
    <t>TARTALETA INDIVUDUAL DE 150 GRAMOS</t>
  </si>
  <si>
    <t>PASTEL DE ZANAHORIA</t>
  </si>
  <si>
    <t>CHUYS</t>
  </si>
  <si>
    <t>TOSTADA DESHIDRATADA CON 25 PIEZAS</t>
  </si>
  <si>
    <t>13 Pescado y Mariscos</t>
  </si>
  <si>
    <t>PULPO LIMPIO  FRESCO SIN CONGELAR</t>
  </si>
  <si>
    <t>22 Pollo</t>
  </si>
  <si>
    <t>CHIC &amp; CHICKEN</t>
  </si>
  <si>
    <t>3105</t>
  </si>
  <si>
    <t>CHIC &amp; CHICKEN SA DE CV</t>
  </si>
  <si>
    <t>NUGETTES DE POLLO</t>
  </si>
  <si>
    <t>3 Huevo</t>
  </si>
  <si>
    <t>PECHUGA DE POLLO CORDON BLUE PIEZAS DE 200 g</t>
  </si>
  <si>
    <t>10 Leche</t>
  </si>
  <si>
    <t>LALA</t>
  </si>
  <si>
    <t>9 Lácteos</t>
  </si>
  <si>
    <t>LYNCOTT</t>
  </si>
  <si>
    <t>CAMPO ALEGRE ALIMENTOS</t>
  </si>
  <si>
    <t>UNIFURT</t>
  </si>
  <si>
    <t>YOPLAIT</t>
  </si>
  <si>
    <t>YOGURTH INDIVIDUAL SABOR NATURAL 220 GRS</t>
  </si>
  <si>
    <t>MENU SOLUTIONS</t>
  </si>
  <si>
    <t>UNIGURT</t>
  </si>
  <si>
    <t>YOGHURT INDIVIDUAL VARIOS SABORES 220 GRS</t>
  </si>
  <si>
    <t>YOGURTH NATURAL SIN AZUCAR 900gr</t>
  </si>
  <si>
    <t>MOJICA</t>
  </si>
  <si>
    <t>BARRAGAN</t>
  </si>
  <si>
    <t>SANTA MARU</t>
  </si>
  <si>
    <t>MM</t>
  </si>
  <si>
    <t>SERRANA</t>
  </si>
  <si>
    <t>19 HNOS</t>
  </si>
  <si>
    <t>19 HERMANOS</t>
  </si>
  <si>
    <t>LECHE PASTEURIZADA FRESCA DE 900ML</t>
  </si>
  <si>
    <t>KRAFT</t>
  </si>
  <si>
    <t>QUESO PARMESANO PASTEURIZADO 453 GR</t>
  </si>
  <si>
    <t>SELLO ROJO</t>
  </si>
  <si>
    <t>LECHE PASTEURIZADA DESCREMADA  TETRAPAK</t>
  </si>
  <si>
    <t>ALPURA</t>
  </si>
  <si>
    <t>LECHE ULTRAPASTEURIZADA DESLACTOSADA 250 ML TETRAPAK</t>
  </si>
  <si>
    <t>LECHE ULTRAPASTEURIZADA SABOR VAINILLA 250 ML TETRAPAK</t>
  </si>
  <si>
    <t>LECHE ULTRAPASTEURIZADA 250 ML TETRAPAK</t>
  </si>
  <si>
    <t>ALBAHACA FRESCA</t>
  </si>
  <si>
    <t>6 Embutidos</t>
  </si>
  <si>
    <t>EL CENTENARIO</t>
  </si>
  <si>
    <t>SAN ANTONIO</t>
  </si>
  <si>
    <t>14 Res y Cerdo</t>
  </si>
  <si>
    <t>CARNICERIA ATEMAJAC S.A. DE C.</t>
  </si>
  <si>
    <t>ATEMAJAC</t>
  </si>
  <si>
    <t>BISTECK DE RES ESPALDA CORTE DE 150GR C/U</t>
  </si>
  <si>
    <t>KG                           K</t>
  </si>
  <si>
    <t>PALETA DE HIELO VARIOS SABORES 100 GR</t>
  </si>
  <si>
    <t>CARNICERIA ATEMAJAC S.A. DE C</t>
  </si>
  <si>
    <t>PEPSI LIGHT</t>
  </si>
  <si>
    <t>BEBIDA CARBONACTADA LIGHT 355 ML.</t>
  </si>
  <si>
    <t>PEÑAFIL</t>
  </si>
  <si>
    <t>AGUA MINERAL CARBONATADA DE 600 ML.</t>
  </si>
  <si>
    <t>LECHE DESLACTOSA LIGHT LITRO</t>
  </si>
  <si>
    <t>JUMEX</t>
  </si>
  <si>
    <t>SABROSOYA</t>
  </si>
  <si>
    <t>PROTEINA DE SOYA TECTURIZADA (BIRRIA)</t>
  </si>
  <si>
    <t>MARIBEL</t>
  </si>
  <si>
    <t>17 Enlatados</t>
  </si>
  <si>
    <t>EL DORADO</t>
  </si>
  <si>
    <t>NUTRIFAMILYS</t>
  </si>
  <si>
    <t>NUTIFAMILYS</t>
  </si>
  <si>
    <t>PRESENTACION FRASCO DE 200GR</t>
  </si>
  <si>
    <t>PAOLAS</t>
  </si>
  <si>
    <t>OREGANO SECO 195 GR</t>
  </si>
  <si>
    <t>MI CAMPO</t>
  </si>
  <si>
    <t>CANELA MOLIDA 63 GR</t>
  </si>
  <si>
    <t>15 Cereales, Harinas y Galletas</t>
  </si>
  <si>
    <t>3 MINUTOS</t>
  </si>
  <si>
    <t>PROMIN 2000</t>
  </si>
  <si>
    <t>LECHE DE SOYA CON OMEGA 3, 6 Y 9 EN POLVO 500 GR</t>
  </si>
  <si>
    <t>PRESENTACION FRASCO DE 358GR SIN HUESO</t>
  </si>
  <si>
    <t>GOYA</t>
  </si>
  <si>
    <t>ACEITUNAS  DE 450 GRS</t>
  </si>
  <si>
    <t>MCCORMICK</t>
  </si>
  <si>
    <t>SAL DE AJO 125 GR</t>
  </si>
  <si>
    <t>BONAFONT</t>
  </si>
  <si>
    <t>12 Azúcares y Endulzantes</t>
  </si>
  <si>
    <t>MEMBERS MARRK</t>
  </si>
  <si>
    <t>ENDULSANTE ARTIFICIAL A BASE DE SUCRALOSA Y DEXTROSA INDIVIDUAL 1 GR</t>
  </si>
  <si>
    <t>PRESENTACION FRASCO DE 600GR</t>
  </si>
  <si>
    <t>1 Aceites, Aderezos y Salsas</t>
  </si>
  <si>
    <t>CANOIL</t>
  </si>
  <si>
    <t>ACEITE COMESTIBLE PURO DE CANOLA 946 ML</t>
  </si>
  <si>
    <t>GERBER</t>
  </si>
  <si>
    <t>PAPILLA FRUTA TERCERA ETAPA 170 GR.</t>
  </si>
  <si>
    <t>PAPILLA FRUTA SEGUNDA ETAPA</t>
  </si>
  <si>
    <t>BARRILITO</t>
  </si>
  <si>
    <t>DEL FUERTE</t>
  </si>
  <si>
    <t>PURE DE TOMATE CONDIMENTADO  TETRAPAK</t>
  </si>
  <si>
    <t>21 Pastas</t>
  </si>
  <si>
    <t>LA MODERNA</t>
  </si>
  <si>
    <t>EL MARINO</t>
  </si>
  <si>
    <t>MUDENA</t>
  </si>
  <si>
    <t>MIEL DE ABEJA INDIVIDUAL PIEZA 20 GR</t>
  </si>
  <si>
    <t>CARNATION</t>
  </si>
  <si>
    <t>DEL VALLE</t>
  </si>
  <si>
    <t>IBARRA</t>
  </si>
  <si>
    <t>CHOCOLATE EN TABLILLA CON 6 DE 90 GR C/U.</t>
  </si>
  <si>
    <t>LIBERTADOR</t>
  </si>
  <si>
    <t>PASTA PARA SOPA TORNILLO  4 KILOS</t>
  </si>
  <si>
    <t>PASTA PARA SOPA PLUMA  4 KILOS</t>
  </si>
  <si>
    <t>MICHEL</t>
  </si>
  <si>
    <t>HOJUELAS DE MAIZ CON AZUCAR  15 KILOS</t>
  </si>
  <si>
    <t>BREST</t>
  </si>
  <si>
    <t>Pza 8 GS</t>
  </si>
  <si>
    <t>HEINZ</t>
  </si>
  <si>
    <t>MAYONESA INDIVIDUAL 12 GR</t>
  </si>
  <si>
    <t>19 Gelatinas y Mermeladas</t>
  </si>
  <si>
    <t>DANY</t>
  </si>
  <si>
    <t>GELATINA VARIOS SABORES ULTRAPASTEURIZADA INDIVIDUAL 125 GR</t>
  </si>
  <si>
    <t>MOSTAZA INDIVIDUAL 5 GR</t>
  </si>
  <si>
    <t>CLEMENTE JACQUES</t>
  </si>
  <si>
    <t>CARO</t>
  </si>
  <si>
    <t>CROSSE&amp;BLACKWELL</t>
  </si>
  <si>
    <t>TOKIO</t>
  </si>
  <si>
    <t>DUEÑA WAN</t>
  </si>
  <si>
    <t>SALSA CATSUP INDIVIDUAL 9 GRS</t>
  </si>
  <si>
    <t>EMBASA</t>
  </si>
  <si>
    <t>SALSA CATSUP TETRAPAK</t>
  </si>
  <si>
    <t>OROZ</t>
  </si>
  <si>
    <t>MAR DE CORTES</t>
  </si>
  <si>
    <t>CORINA</t>
  </si>
  <si>
    <t>PIÑA EN ALMIBAR  DE 710 GRAMOS</t>
  </si>
  <si>
    <t>PASTA PARA SOPA FIDEO  4 KILOS</t>
  </si>
  <si>
    <t>PASTA PARA SOPA ESPAGUETTI  4 KILOS</t>
  </si>
  <si>
    <t>PASTA PARA SOPA CODITO CHICO  4 KILOS</t>
  </si>
  <si>
    <t>PRESENTACION FRASCO SE 3.85 KG</t>
  </si>
  <si>
    <t>PROVINCIANO</t>
  </si>
  <si>
    <t>KARO</t>
  </si>
  <si>
    <t>MIEL DE MAIZ  DE 500 ML</t>
  </si>
  <si>
    <t>PRESENTACION CAJA CON 120 PIEZAS</t>
  </si>
  <si>
    <t>MERMELADA DE FRESA INDIVIDUAL 20GR.</t>
  </si>
  <si>
    <t>HELLMANNS</t>
  </si>
  <si>
    <t>LECHE EVAPORADA 360 GR.</t>
  </si>
  <si>
    <t>HOJUELAS DE MAIZ  10 KILOS</t>
  </si>
  <si>
    <t>TRES ESTRELLAS</t>
  </si>
  <si>
    <t>INMACULADA</t>
  </si>
  <si>
    <t>3 ESTRELLAS</t>
  </si>
  <si>
    <t>HARINA DE ARROZ  DE 500 GRS</t>
  </si>
  <si>
    <t>D´GARI</t>
  </si>
  <si>
    <t>CARICIA</t>
  </si>
  <si>
    <t>GELATINA EN POLVO, VARIOS SABORES</t>
  </si>
  <si>
    <t>GAMESA</t>
  </si>
  <si>
    <t>GALLETA SALADA CON 200 PAQUETES INDIVIDUALES DE 13 G C/U CONTENIDO DE CAJA 2,600 KG</t>
  </si>
  <si>
    <t>MAIZENA</t>
  </si>
  <si>
    <t>PLATERIA</t>
  </si>
  <si>
    <t>DURAZNO EN ALMIBAR  DE 820 GRS</t>
  </si>
  <si>
    <t>MEMBERT MARK</t>
  </si>
  <si>
    <t>ROLLITOS</t>
  </si>
  <si>
    <t>COCADA INDIVIDUAL</t>
  </si>
  <si>
    <t>BATICHOCO</t>
  </si>
  <si>
    <t>CARLOS V</t>
  </si>
  <si>
    <t>CHOCOLATE EN BARRA TIPO CARLOS V C/16</t>
  </si>
  <si>
    <t>EL MEXICANO</t>
  </si>
  <si>
    <t>CHILE JALAPEÑO EN RAJAS  DE 2800 GRS.</t>
  </si>
  <si>
    <t>Márquez Brothers International</t>
  </si>
  <si>
    <t>CHILE CHIPOTLE  DE 380 GRS.</t>
  </si>
  <si>
    <t>NESTUM</t>
  </si>
  <si>
    <t>CEREAL SECO PARA LACTANTES DE AVENA 270 GRS</t>
  </si>
  <si>
    <t>CEREAL SECO PARA LACTANTES DE ARROZ 270 GRS</t>
  </si>
  <si>
    <t>KEPRECIO</t>
  </si>
  <si>
    <t>CAFE SOLUBLE  DE 200 GRAMOS</t>
  </si>
  <si>
    <t>ADEREZO FRANCES PARA ENSALADA 237 ML</t>
  </si>
  <si>
    <t>Nutun Super Foods</t>
  </si>
  <si>
    <t>NUTUN</t>
  </si>
  <si>
    <t>MAX TOTAL</t>
  </si>
  <si>
    <t>MIN TOTAL</t>
  </si>
  <si>
    <t>MAX OPD</t>
  </si>
  <si>
    <t>MIN OPD</t>
  </si>
  <si>
    <t>MAX ORI</t>
  </si>
  <si>
    <t>MIN ORI</t>
  </si>
  <si>
    <t>MAX JIM</t>
  </si>
  <si>
    <t>MIN JIM</t>
  </si>
  <si>
    <t>MAX FAA</t>
  </si>
  <si>
    <t>MIN FAA</t>
  </si>
  <si>
    <t>ACREDITA2</t>
  </si>
  <si>
    <t>COMENTARIOS</t>
  </si>
  <si>
    <t>ACREDITA</t>
  </si>
  <si>
    <t>FAMILIA</t>
  </si>
  <si>
    <t>PRECIO REFERENCIA</t>
  </si>
  <si>
    <t>COSTO</t>
  </si>
  <si>
    <t>OBSERVACIONES</t>
  </si>
  <si>
    <t>PRESENTACION</t>
  </si>
  <si>
    <t>AUTORIZA</t>
  </si>
  <si>
    <t>MARCA</t>
  </si>
  <si>
    <t>MAXIMO TOTAL</t>
  </si>
  <si>
    <t>MINIMO TOTAL</t>
  </si>
  <si>
    <t>MAXIMO OPD</t>
  </si>
  <si>
    <t>MINIMO OPD</t>
  </si>
  <si>
    <t>MAXIMO ORI</t>
  </si>
  <si>
    <t>MINIMO ORI</t>
  </si>
  <si>
    <t>MAXIMO JIM</t>
  </si>
  <si>
    <t>MINIMO JIM</t>
  </si>
  <si>
    <t>MAXIMO FAA</t>
  </si>
  <si>
    <t>MINIMO FAA</t>
  </si>
  <si>
    <t>LICITACION</t>
  </si>
  <si>
    <t>PARTIDA</t>
  </si>
  <si>
    <t>NUMERO PROVEEDOR</t>
  </si>
  <si>
    <t>NOMBRE PROVEEDOR</t>
  </si>
  <si>
    <t>DESCRIPCION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</si>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</sst>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34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3"/>
      <color rgb="FF000000"/>
      <name val="Calibri"/>
      <family val="2"/>
    </font>
    <font>
      <b/>
      <sz val="13"/>
      <color theme="1"/>
      <name val="Arial Narrow"/>
      <family val="2"/>
    </font>
    <font>
      <b/>
      <sz val="11"/>
      <color theme="1"/>
      <name val="&quot;Aptos Narrow&quot;"/>
    </font>
    <font>
      <b/>
      <sz val="10"/>
      <color theme="1"/>
      <name val="&quot;Aptos Narrow&quot;"/>
    </font>
    <font>
      <sz val="8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5"/>
      <color rgb="FF000000"/>
      <name val="Calibri"/>
      <family val="2"/>
    </font>
    <font>
      <sz val="13"/>
      <color theme="1"/>
      <name val="Calibri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u/>
      <sz val="9"/>
      <color theme="1"/>
      <name val="Calibri"/>
      <family val="2"/>
    </font>
    <font>
      <b/>
      <u/>
      <sz val="9"/>
      <color theme="1"/>
      <name val="Calibri"/>
      <family val="2"/>
    </font>
    <font>
      <sz val="7"/>
      <color theme="1"/>
      <name val="Arial"/>
      <family val="2"/>
    </font>
    <font>
      <b/>
      <u/>
      <sz val="9"/>
      <color rgb="FF000000"/>
      <name val="Calibri"/>
      <family val="2"/>
    </font>
    <font>
      <sz val="9"/>
      <color rgb="FFFFFFFF"/>
      <name val="Calibri"/>
      <family val="2"/>
    </font>
    <font>
      <sz val="12"/>
      <color rgb="FF000000"/>
      <name val="Calibri"/>
      <family val="1"/>
    </font>
    <font>
      <b/>
      <sz val="14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6EDA2"/>
        <bgColor rgb="FFB6EDA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BEB"/>
        <bgColor rgb="FFFFFBEB"/>
      </patternFill>
    </fill>
    <fill>
      <patternFill patternType="solid">
        <fgColor rgb="FFE6B8AF"/>
        <bgColor rgb="FFE6B8AF"/>
      </patternFill>
    </fill>
    <fill>
      <patternFill patternType="solid">
        <fgColor rgb="FFFFE6DD"/>
        <bgColor rgb="FFFFE6DD"/>
      </patternFill>
    </fill>
    <fill>
      <patternFill patternType="solid">
        <fgColor rgb="FFFFFFA0"/>
        <bgColor rgb="FFFFFFA0"/>
      </patternFill>
    </fill>
    <fill>
      <patternFill patternType="solid">
        <fgColor rgb="FFFFFFB7"/>
        <bgColor rgb="FFFFFFB7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EF7E3"/>
        <bgColor rgb="FFEEF7E3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FFC573"/>
        <bgColor rgb="FFFFC57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theme="0" tint="-0.34998626667073579"/>
        <bgColor indexed="64"/>
      </patternFill>
    </fill>
  </fills>
  <borders count="8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32" fillId="0" borderId="0" applyBorder="0" applyAlignment="0" applyProtection="0"/>
    <xf numFmtId="44" fontId="32" fillId="0" borderId="0" applyFont="0" applyFill="0" applyBorder="0" applyAlignment="0" applyProtection="0"/>
  </cellStyleXfs>
  <cellXfs count="685">
    <xf numFmtId="0" fontId="0" fillId="0" borderId="0" xfId="0" applyFont="1" applyAlignment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/>
    <xf numFmtId="0" fontId="2" fillId="5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/>
    <xf numFmtId="0" fontId="2" fillId="5" borderId="15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5" fillId="5" borderId="14" xfId="0" applyFont="1" applyFill="1" applyBorder="1" applyAlignment="1"/>
    <xf numFmtId="0" fontId="5" fillId="5" borderId="26" xfId="0" applyFont="1" applyFill="1" applyBorder="1" applyAlignment="1">
      <alignment horizontal="center"/>
    </xf>
    <xf numFmtId="0" fontId="5" fillId="5" borderId="27" xfId="0" applyFont="1" applyFill="1" applyBorder="1" applyAlignment="1"/>
    <xf numFmtId="0" fontId="2" fillId="5" borderId="2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/>
    </xf>
    <xf numFmtId="0" fontId="5" fillId="11" borderId="19" xfId="0" applyFont="1" applyFill="1" applyBorder="1"/>
    <xf numFmtId="0" fontId="2" fillId="11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11" borderId="14" xfId="0" applyFont="1" applyFill="1" applyBorder="1"/>
    <xf numFmtId="0" fontId="2" fillId="11" borderId="15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12" borderId="14" xfId="0" applyFont="1" applyFill="1" applyBorder="1"/>
    <xf numFmtId="0" fontId="5" fillId="11" borderId="31" xfId="0" applyFont="1" applyFill="1" applyBorder="1" applyAlignment="1">
      <alignment horizontal="center"/>
    </xf>
    <xf numFmtId="0" fontId="6" fillId="6" borderId="35" xfId="0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36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5" fillId="11" borderId="31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38" xfId="0" applyFont="1" applyFill="1" applyBorder="1" applyAlignment="1">
      <alignment horizontal="center"/>
    </xf>
    <xf numFmtId="0" fontId="6" fillId="6" borderId="39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6" fillId="9" borderId="40" xfId="0" applyFont="1" applyFill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0" fontId="5" fillId="11" borderId="41" xfId="0" applyFont="1" applyFill="1" applyBorder="1" applyAlignment="1">
      <alignment horizontal="center"/>
    </xf>
    <xf numFmtId="0" fontId="5" fillId="11" borderId="42" xfId="0" applyFont="1" applyFill="1" applyBorder="1" applyAlignment="1"/>
    <xf numFmtId="0" fontId="2" fillId="11" borderId="43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2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/>
    <xf numFmtId="0" fontId="2" fillId="14" borderId="3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5" fillId="14" borderId="13" xfId="0" applyFont="1" applyFill="1" applyBorder="1" applyAlignment="1">
      <alignment horizontal="center"/>
    </xf>
    <xf numFmtId="0" fontId="5" fillId="14" borderId="14" xfId="0" applyFont="1" applyFill="1" applyBorder="1"/>
    <xf numFmtId="0" fontId="2" fillId="14" borderId="15" xfId="0" applyFont="1" applyFill="1" applyBorder="1" applyAlignment="1">
      <alignment horizontal="center"/>
    </xf>
    <xf numFmtId="0" fontId="5" fillId="14" borderId="41" xfId="0" applyFont="1" applyFill="1" applyBorder="1" applyAlignment="1">
      <alignment horizontal="center"/>
    </xf>
    <xf numFmtId="0" fontId="5" fillId="14" borderId="42" xfId="0" applyFont="1" applyFill="1" applyBorder="1"/>
    <xf numFmtId="0" fontId="2" fillId="14" borderId="43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29" xfId="0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/>
    </xf>
    <xf numFmtId="0" fontId="5" fillId="16" borderId="9" xfId="0" applyFont="1" applyFill="1" applyBorder="1" applyAlignment="1"/>
    <xf numFmtId="0" fontId="2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0" fontId="5" fillId="16" borderId="14" xfId="0" applyFont="1" applyFill="1" applyBorder="1"/>
    <xf numFmtId="0" fontId="3" fillId="6" borderId="40" xfId="0" applyFont="1" applyFill="1" applyBorder="1" applyAlignment="1">
      <alignment horizontal="center"/>
    </xf>
    <xf numFmtId="0" fontId="5" fillId="16" borderId="41" xfId="0" applyFont="1" applyFill="1" applyBorder="1" applyAlignment="1">
      <alignment horizontal="center"/>
    </xf>
    <xf numFmtId="0" fontId="5" fillId="16" borderId="42" xfId="0" applyFont="1" applyFill="1" applyBorder="1"/>
    <xf numFmtId="0" fontId="2" fillId="16" borderId="43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1" fillId="17" borderId="29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5" fillId="18" borderId="9" xfId="0" applyFont="1" applyFill="1" applyBorder="1" applyAlignment="1"/>
    <xf numFmtId="0" fontId="2" fillId="18" borderId="10" xfId="0" applyFont="1" applyFill="1" applyBorder="1" applyAlignment="1">
      <alignment horizontal="center"/>
    </xf>
    <xf numFmtId="0" fontId="5" fillId="11" borderId="43" xfId="0" applyFont="1" applyFill="1" applyBorder="1" applyAlignment="1">
      <alignment horizontal="center"/>
    </xf>
    <xf numFmtId="0" fontId="5" fillId="18" borderId="13" xfId="0" applyFont="1" applyFill="1" applyBorder="1" applyAlignment="1">
      <alignment horizontal="center"/>
    </xf>
    <xf numFmtId="0" fontId="5" fillId="18" borderId="14" xfId="0" applyFont="1" applyFill="1" applyBorder="1" applyAlignment="1">
      <alignment horizontal="left" wrapText="1"/>
    </xf>
    <xf numFmtId="0" fontId="2" fillId="18" borderId="15" xfId="0" applyFont="1" applyFill="1" applyBorder="1" applyAlignment="1">
      <alignment horizontal="center"/>
    </xf>
    <xf numFmtId="0" fontId="5" fillId="18" borderId="14" xfId="0" applyFont="1" applyFill="1" applyBorder="1"/>
    <xf numFmtId="0" fontId="5" fillId="14" borderId="31" xfId="0" applyFont="1" applyFill="1" applyBorder="1" applyAlignment="1">
      <alignment horizontal="center"/>
    </xf>
    <xf numFmtId="0" fontId="5" fillId="18" borderId="41" xfId="0" applyFont="1" applyFill="1" applyBorder="1" applyAlignment="1">
      <alignment horizontal="center"/>
    </xf>
    <xf numFmtId="0" fontId="5" fillId="18" borderId="42" xfId="0" applyFont="1" applyFill="1" applyBorder="1"/>
    <xf numFmtId="0" fontId="2" fillId="18" borderId="43" xfId="0" applyFont="1" applyFill="1" applyBorder="1" applyAlignment="1">
      <alignment horizontal="center"/>
    </xf>
    <xf numFmtId="0" fontId="6" fillId="9" borderId="44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6" fillId="9" borderId="42" xfId="0" applyFont="1" applyFill="1" applyBorder="1" applyAlignment="1">
      <alignment horizontal="center"/>
    </xf>
    <xf numFmtId="0" fontId="6" fillId="9" borderId="45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0" fontId="6" fillId="9" borderId="46" xfId="0" applyFont="1" applyFill="1" applyBorder="1" applyAlignment="1">
      <alignment horizontal="center"/>
    </xf>
    <xf numFmtId="0" fontId="1" fillId="19" borderId="29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5" fillId="20" borderId="8" xfId="0" applyFont="1" applyFill="1" applyBorder="1" applyAlignment="1">
      <alignment horizontal="center"/>
    </xf>
    <xf numFmtId="0" fontId="5" fillId="20" borderId="9" xfId="0" applyFont="1" applyFill="1" applyBorder="1" applyAlignment="1"/>
    <xf numFmtId="0" fontId="2" fillId="20" borderId="10" xfId="0" applyFont="1" applyFill="1" applyBorder="1" applyAlignment="1">
      <alignment horizontal="center"/>
    </xf>
    <xf numFmtId="0" fontId="5" fillId="20" borderId="13" xfId="0" applyFont="1" applyFill="1" applyBorder="1" applyAlignment="1">
      <alignment horizontal="center"/>
    </xf>
    <xf numFmtId="0" fontId="5" fillId="20" borderId="14" xfId="0" applyFont="1" applyFill="1" applyBorder="1" applyAlignment="1"/>
    <xf numFmtId="0" fontId="2" fillId="20" borderId="15" xfId="0" applyFont="1" applyFill="1" applyBorder="1" applyAlignment="1">
      <alignment horizontal="center"/>
    </xf>
    <xf numFmtId="0" fontId="5" fillId="14" borderId="31" xfId="0" applyFont="1" applyFill="1" applyBorder="1" applyAlignment="1">
      <alignment horizontal="center"/>
    </xf>
    <xf numFmtId="0" fontId="5" fillId="20" borderId="13" xfId="0" applyFont="1" applyFill="1" applyBorder="1" applyAlignment="1">
      <alignment horizontal="center"/>
    </xf>
    <xf numFmtId="0" fontId="5" fillId="20" borderId="14" xfId="0" applyFont="1" applyFill="1" applyBorder="1"/>
    <xf numFmtId="0" fontId="6" fillId="9" borderId="38" xfId="0" applyFont="1" applyFill="1" applyBorder="1" applyAlignment="1">
      <alignment horizontal="center"/>
    </xf>
    <xf numFmtId="0" fontId="2" fillId="20" borderId="15" xfId="0" applyFont="1" applyFill="1" applyBorder="1" applyAlignment="1">
      <alignment horizontal="center"/>
    </xf>
    <xf numFmtId="0" fontId="6" fillId="9" borderId="39" xfId="0" applyFont="1" applyFill="1" applyBorder="1" applyAlignment="1">
      <alignment horizontal="center"/>
    </xf>
    <xf numFmtId="0" fontId="3" fillId="3" borderId="47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20" borderId="41" xfId="0" applyFont="1" applyFill="1" applyBorder="1" applyAlignment="1">
      <alignment horizontal="center"/>
    </xf>
    <xf numFmtId="0" fontId="5" fillId="20" borderId="42" xfId="0" applyFont="1" applyFill="1" applyBorder="1"/>
    <xf numFmtId="0" fontId="2" fillId="20" borderId="43" xfId="0" applyFont="1" applyFill="1" applyBorder="1" applyAlignment="1">
      <alignment horizontal="center"/>
    </xf>
    <xf numFmtId="0" fontId="1" fillId="21" borderId="6" xfId="0" applyFont="1" applyFill="1" applyBorder="1" applyAlignment="1">
      <alignment horizontal="center"/>
    </xf>
    <xf numFmtId="0" fontId="1" fillId="21" borderId="2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/>
    </xf>
    <xf numFmtId="0" fontId="5" fillId="22" borderId="9" xfId="0" applyFont="1" applyFill="1" applyBorder="1" applyAlignment="1"/>
    <xf numFmtId="0" fontId="2" fillId="22" borderId="10" xfId="0" applyFont="1" applyFill="1" applyBorder="1" applyAlignment="1">
      <alignment horizontal="center"/>
    </xf>
    <xf numFmtId="0" fontId="5" fillId="14" borderId="43" xfId="0" applyFont="1" applyFill="1" applyBorder="1" applyAlignment="1">
      <alignment horizontal="center"/>
    </xf>
    <xf numFmtId="0" fontId="5" fillId="22" borderId="13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5" fillId="22" borderId="14" xfId="0" applyFont="1" applyFill="1" applyBorder="1"/>
    <xf numFmtId="0" fontId="5" fillId="22" borderId="14" xfId="0" applyFont="1" applyFill="1" applyBorder="1" applyAlignment="1">
      <alignment horizontal="center"/>
    </xf>
    <xf numFmtId="0" fontId="5" fillId="22" borderId="14" xfId="0" applyFont="1" applyFill="1" applyBorder="1" applyAlignment="1"/>
    <xf numFmtId="0" fontId="5" fillId="16" borderId="10" xfId="0" applyFont="1" applyFill="1" applyBorder="1" applyAlignment="1">
      <alignment horizontal="center"/>
    </xf>
    <xf numFmtId="0" fontId="5" fillId="14" borderId="43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5" fillId="16" borderId="48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6" fillId="9" borderId="49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5" fillId="22" borderId="41" xfId="0" applyFont="1" applyFill="1" applyBorder="1" applyAlignment="1">
      <alignment horizontal="center"/>
    </xf>
    <xf numFmtId="0" fontId="5" fillId="22" borderId="42" xfId="0" applyFont="1" applyFill="1" applyBorder="1"/>
    <xf numFmtId="0" fontId="2" fillId="22" borderId="43" xfId="0" applyFont="1" applyFill="1" applyBorder="1" applyAlignment="1">
      <alignment horizontal="center"/>
    </xf>
    <xf numFmtId="0" fontId="1" fillId="23" borderId="6" xfId="0" applyFont="1" applyFill="1" applyBorder="1" applyAlignment="1">
      <alignment horizontal="center"/>
    </xf>
    <xf numFmtId="0" fontId="1" fillId="23" borderId="29" xfId="0" applyFont="1" applyFill="1" applyBorder="1" applyAlignment="1">
      <alignment horizontal="center"/>
    </xf>
    <xf numFmtId="0" fontId="5" fillId="24" borderId="8" xfId="0" applyFont="1" applyFill="1" applyBorder="1" applyAlignment="1">
      <alignment horizontal="center"/>
    </xf>
    <xf numFmtId="0" fontId="5" fillId="24" borderId="9" xfId="0" applyFont="1" applyFill="1" applyBorder="1" applyAlignment="1"/>
    <xf numFmtId="0" fontId="2" fillId="24" borderId="10" xfId="0" applyFont="1" applyFill="1" applyBorder="1" applyAlignment="1">
      <alignment horizontal="center"/>
    </xf>
    <xf numFmtId="0" fontId="5" fillId="24" borderId="13" xfId="0" applyFont="1" applyFill="1" applyBorder="1" applyAlignment="1">
      <alignment horizontal="center"/>
    </xf>
    <xf numFmtId="0" fontId="5" fillId="24" borderId="14" xfId="0" applyFont="1" applyFill="1" applyBorder="1"/>
    <xf numFmtId="0" fontId="2" fillId="24" borderId="15" xfId="0" applyFont="1" applyFill="1" applyBorder="1" applyAlignment="1">
      <alignment horizontal="center"/>
    </xf>
    <xf numFmtId="0" fontId="5" fillId="16" borderId="43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14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center"/>
    </xf>
    <xf numFmtId="0" fontId="5" fillId="16" borderId="51" xfId="0" applyFont="1" applyFill="1" applyBorder="1" applyAlignment="1">
      <alignment horizontal="center"/>
    </xf>
    <xf numFmtId="0" fontId="5" fillId="16" borderId="43" xfId="0" applyFont="1" applyFill="1" applyBorder="1" applyAlignment="1">
      <alignment horizontal="center"/>
    </xf>
    <xf numFmtId="0" fontId="5" fillId="18" borderId="48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24" borderId="13" xfId="0" applyFont="1" applyFill="1" applyBorder="1" applyAlignment="1">
      <alignment horizontal="center"/>
    </xf>
    <xf numFmtId="0" fontId="5" fillId="24" borderId="14" xfId="0" applyFont="1" applyFill="1" applyBorder="1" applyAlignment="1"/>
    <xf numFmtId="0" fontId="2" fillId="24" borderId="15" xfId="0" applyFont="1" applyFill="1" applyBorder="1" applyAlignment="1">
      <alignment horizontal="center"/>
    </xf>
    <xf numFmtId="0" fontId="3" fillId="3" borderId="52" xfId="0" applyFont="1" applyFill="1" applyBorder="1" applyAlignment="1">
      <alignment horizontal="center"/>
    </xf>
    <xf numFmtId="0" fontId="5" fillId="18" borderId="50" xfId="0" applyFont="1" applyFill="1" applyBorder="1" applyAlignment="1">
      <alignment horizontal="center"/>
    </xf>
    <xf numFmtId="0" fontId="5" fillId="18" borderId="15" xfId="0" applyFont="1" applyFill="1" applyBorder="1" applyAlignment="1">
      <alignment horizontal="center"/>
    </xf>
    <xf numFmtId="0" fontId="5" fillId="18" borderId="43" xfId="0" applyFont="1" applyFill="1" applyBorder="1" applyAlignment="1">
      <alignment horizontal="center"/>
    </xf>
    <xf numFmtId="0" fontId="5" fillId="24" borderId="41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0" fontId="5" fillId="24" borderId="42" xfId="0" applyFont="1" applyFill="1" applyBorder="1" applyAlignment="1"/>
    <xf numFmtId="0" fontId="2" fillId="24" borderId="43" xfId="0" applyFont="1" applyFill="1" applyBorder="1" applyAlignment="1">
      <alignment horizontal="center"/>
    </xf>
    <xf numFmtId="0" fontId="1" fillId="25" borderId="6" xfId="0" applyFont="1" applyFill="1" applyBorder="1" applyAlignment="1">
      <alignment horizontal="center"/>
    </xf>
    <xf numFmtId="0" fontId="1" fillId="25" borderId="29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0" fontId="5" fillId="20" borderId="15" xfId="0" applyFont="1" applyFill="1" applyBorder="1" applyAlignment="1">
      <alignment horizontal="center"/>
    </xf>
    <xf numFmtId="0" fontId="5" fillId="26" borderId="9" xfId="0" applyFont="1" applyFill="1" applyBorder="1" applyAlignment="1"/>
    <xf numFmtId="0" fontId="2" fillId="26" borderId="10" xfId="0" applyFont="1" applyFill="1" applyBorder="1" applyAlignment="1">
      <alignment horizontal="center"/>
    </xf>
    <xf numFmtId="0" fontId="5" fillId="26" borderId="13" xfId="0" applyFont="1" applyFill="1" applyBorder="1" applyAlignment="1">
      <alignment horizontal="center"/>
    </xf>
    <xf numFmtId="0" fontId="5" fillId="20" borderId="15" xfId="0" applyFont="1" applyFill="1" applyBorder="1" applyAlignment="1">
      <alignment horizontal="center"/>
    </xf>
    <xf numFmtId="0" fontId="5" fillId="26" borderId="14" xfId="0" applyFont="1" applyFill="1" applyBorder="1"/>
    <xf numFmtId="0" fontId="2" fillId="26" borderId="15" xfId="0" applyFont="1" applyFill="1" applyBorder="1" applyAlignment="1">
      <alignment horizontal="center"/>
    </xf>
    <xf numFmtId="0" fontId="5" fillId="18" borderId="43" xfId="0" applyFont="1" applyFill="1" applyBorder="1" applyAlignment="1">
      <alignment horizontal="center"/>
    </xf>
    <xf numFmtId="0" fontId="5" fillId="20" borderId="50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0" fontId="5" fillId="20" borderId="50" xfId="0" applyFont="1" applyFill="1" applyBorder="1" applyAlignment="1">
      <alignment horizontal="center"/>
    </xf>
    <xf numFmtId="0" fontId="5" fillId="20" borderId="43" xfId="0" applyFont="1" applyFill="1" applyBorder="1" applyAlignment="1">
      <alignment horizontal="center"/>
    </xf>
    <xf numFmtId="0" fontId="5" fillId="20" borderId="15" xfId="0" applyFont="1" applyFill="1" applyBorder="1" applyAlignment="1">
      <alignment horizontal="center"/>
    </xf>
    <xf numFmtId="0" fontId="5" fillId="20" borderId="51" xfId="0" applyFont="1" applyFill="1" applyBorder="1" applyAlignment="1">
      <alignment horizontal="center"/>
    </xf>
    <xf numFmtId="0" fontId="5" fillId="20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/>
    </xf>
    <xf numFmtId="0" fontId="6" fillId="6" borderId="42" xfId="0" applyFont="1" applyFill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5" fillId="26" borderId="41" xfId="0" applyFont="1" applyFill="1" applyBorder="1" applyAlignment="1">
      <alignment horizontal="center"/>
    </xf>
    <xf numFmtId="0" fontId="5" fillId="26" borderId="42" xfId="0" applyFont="1" applyFill="1" applyBorder="1"/>
    <xf numFmtId="0" fontId="2" fillId="26" borderId="43" xfId="0" applyFont="1" applyFill="1" applyBorder="1" applyAlignment="1">
      <alignment horizontal="center"/>
    </xf>
    <xf numFmtId="0" fontId="1" fillId="27" borderId="6" xfId="0" applyFont="1" applyFill="1" applyBorder="1" applyAlignment="1">
      <alignment horizontal="center"/>
    </xf>
    <xf numFmtId="0" fontId="1" fillId="27" borderId="29" xfId="0" applyFont="1" applyFill="1" applyBorder="1" applyAlignment="1">
      <alignment horizontal="center"/>
    </xf>
    <xf numFmtId="0" fontId="5" fillId="28" borderId="8" xfId="0" applyFont="1" applyFill="1" applyBorder="1" applyAlignment="1">
      <alignment horizontal="center"/>
    </xf>
    <xf numFmtId="0" fontId="5" fillId="12" borderId="9" xfId="0" applyFont="1" applyFill="1" applyBorder="1" applyAlignment="1"/>
    <xf numFmtId="0" fontId="6" fillId="6" borderId="11" xfId="0" applyFont="1" applyFill="1" applyBorder="1" applyAlignment="1">
      <alignment horizontal="center"/>
    </xf>
    <xf numFmtId="0" fontId="2" fillId="28" borderId="10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5" fillId="28" borderId="13" xfId="0" applyFont="1" applyFill="1" applyBorder="1" applyAlignment="1">
      <alignment horizontal="center"/>
    </xf>
    <xf numFmtId="0" fontId="5" fillId="28" borderId="14" xfId="0" applyFont="1" applyFill="1" applyBorder="1"/>
    <xf numFmtId="0" fontId="6" fillId="6" borderId="17" xfId="0" applyFont="1" applyFill="1" applyBorder="1" applyAlignment="1">
      <alignment horizontal="center"/>
    </xf>
    <xf numFmtId="0" fontId="2" fillId="28" borderId="15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5" fillId="22" borderId="15" xfId="0" applyFont="1" applyFill="1" applyBorder="1" applyAlignment="1">
      <alignment horizontal="center"/>
    </xf>
    <xf numFmtId="0" fontId="5" fillId="28" borderId="41" xfId="0" applyFont="1" applyFill="1" applyBorder="1" applyAlignment="1">
      <alignment horizontal="center"/>
    </xf>
    <xf numFmtId="0" fontId="5" fillId="28" borderId="42" xfId="0" applyFont="1" applyFill="1" applyBorder="1"/>
    <xf numFmtId="0" fontId="2" fillId="28" borderId="43" xfId="0" applyFont="1" applyFill="1" applyBorder="1" applyAlignment="1">
      <alignment horizontal="center"/>
    </xf>
    <xf numFmtId="0" fontId="5" fillId="22" borderId="48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1" fillId="29" borderId="6" xfId="0" applyFont="1" applyFill="1" applyBorder="1" applyAlignment="1">
      <alignment horizontal="center"/>
    </xf>
    <xf numFmtId="0" fontId="1" fillId="29" borderId="29" xfId="0" applyFont="1" applyFill="1" applyBorder="1" applyAlignment="1">
      <alignment horizontal="center"/>
    </xf>
    <xf numFmtId="0" fontId="5" fillId="30" borderId="8" xfId="0" applyFont="1" applyFill="1" applyBorder="1" applyAlignment="1">
      <alignment horizontal="center"/>
    </xf>
    <xf numFmtId="0" fontId="5" fillId="22" borderId="50" xfId="0" applyFont="1" applyFill="1" applyBorder="1" applyAlignment="1">
      <alignment horizontal="center"/>
    </xf>
    <xf numFmtId="0" fontId="5" fillId="12" borderId="9" xfId="0" applyFont="1" applyFill="1" applyBorder="1"/>
    <xf numFmtId="0" fontId="2" fillId="30" borderId="10" xfId="0" applyFont="1" applyFill="1" applyBorder="1" applyAlignment="1">
      <alignment horizontal="center"/>
    </xf>
    <xf numFmtId="0" fontId="5" fillId="22" borderId="15" xfId="0" applyFont="1" applyFill="1" applyBorder="1" applyAlignment="1">
      <alignment horizontal="center"/>
    </xf>
    <xf numFmtId="0" fontId="5" fillId="30" borderId="13" xfId="0" applyFont="1" applyFill="1" applyBorder="1" applyAlignment="1">
      <alignment horizontal="center"/>
    </xf>
    <xf numFmtId="0" fontId="5" fillId="30" borderId="14" xfId="0" applyFont="1" applyFill="1" applyBorder="1"/>
    <xf numFmtId="0" fontId="2" fillId="30" borderId="15" xfId="0" applyFont="1" applyFill="1" applyBorder="1" applyAlignment="1">
      <alignment horizontal="center"/>
    </xf>
    <xf numFmtId="0" fontId="5" fillId="30" borderId="14" xfId="0" applyFont="1" applyFill="1" applyBorder="1" applyAlignment="1">
      <alignment horizontal="center"/>
    </xf>
    <xf numFmtId="0" fontId="5" fillId="30" borderId="14" xfId="0" applyFont="1" applyFill="1" applyBorder="1" applyAlignment="1"/>
    <xf numFmtId="0" fontId="5" fillId="30" borderId="14" xfId="0" applyFont="1" applyFill="1" applyBorder="1" applyAlignment="1">
      <alignment horizontal="left"/>
    </xf>
    <xf numFmtId="0" fontId="5" fillId="22" borderId="43" xfId="0" applyFont="1" applyFill="1" applyBorder="1" applyAlignment="1">
      <alignment horizontal="center"/>
    </xf>
    <xf numFmtId="0" fontId="5" fillId="24" borderId="10" xfId="0" applyFont="1" applyFill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5" fillId="22" borderId="51" xfId="0" applyFont="1" applyFill="1" applyBorder="1" applyAlignment="1">
      <alignment horizontal="center"/>
    </xf>
    <xf numFmtId="0" fontId="5" fillId="22" borderId="43" xfId="0" applyFont="1" applyFill="1" applyBorder="1" applyAlignment="1">
      <alignment horizontal="center"/>
    </xf>
    <xf numFmtId="0" fontId="5" fillId="24" borderId="48" xfId="0" applyFont="1" applyFill="1" applyBorder="1" applyAlignment="1">
      <alignment horizontal="center"/>
    </xf>
    <xf numFmtId="0" fontId="5" fillId="24" borderId="50" xfId="0" applyFont="1" applyFill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5" fillId="30" borderId="14" xfId="0" applyFont="1" applyFill="1" applyBorder="1" applyAlignment="1"/>
    <xf numFmtId="0" fontId="5" fillId="30" borderId="1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5" fillId="30" borderId="13" xfId="0" applyFont="1" applyFill="1" applyBorder="1" applyAlignment="1">
      <alignment horizontal="center"/>
    </xf>
    <xf numFmtId="0" fontId="5" fillId="30" borderId="14" xfId="0" applyFont="1" applyFill="1" applyBorder="1" applyAlignment="1"/>
    <xf numFmtId="0" fontId="2" fillId="30" borderId="15" xfId="0" applyFont="1" applyFill="1" applyBorder="1" applyAlignment="1">
      <alignment horizontal="center"/>
    </xf>
    <xf numFmtId="0" fontId="5" fillId="30" borderId="13" xfId="0" applyFont="1" applyFill="1" applyBorder="1" applyAlignment="1">
      <alignment horizontal="center"/>
    </xf>
    <xf numFmtId="0" fontId="5" fillId="30" borderId="14" xfId="0" applyFont="1" applyFill="1" applyBorder="1" applyAlignment="1"/>
    <xf numFmtId="0" fontId="2" fillId="30" borderId="15" xfId="0" applyFont="1" applyFill="1" applyBorder="1" applyAlignment="1">
      <alignment horizontal="center"/>
    </xf>
    <xf numFmtId="0" fontId="5" fillId="24" borderId="50" xfId="0" applyFont="1" applyFill="1" applyBorder="1" applyAlignment="1">
      <alignment horizontal="center"/>
    </xf>
    <xf numFmtId="0" fontId="5" fillId="30" borderId="14" xfId="0" applyFont="1" applyFill="1" applyBorder="1" applyAlignment="1">
      <alignment horizontal="left"/>
    </xf>
    <xf numFmtId="0" fontId="5" fillId="24" borderId="4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5" fillId="26" borderId="10" xfId="0" applyFont="1" applyFill="1" applyBorder="1" applyAlignment="1">
      <alignment horizontal="center"/>
    </xf>
    <xf numFmtId="0" fontId="5" fillId="26" borderId="15" xfId="0" applyFont="1" applyFill="1" applyBorder="1" applyAlignment="1">
      <alignment horizontal="center"/>
    </xf>
    <xf numFmtId="0" fontId="5" fillId="24" borderId="51" xfId="0" applyFont="1" applyFill="1" applyBorder="1" applyAlignment="1">
      <alignment horizontal="center"/>
    </xf>
    <xf numFmtId="0" fontId="5" fillId="26" borderId="48" xfId="0" applyFont="1" applyFill="1" applyBorder="1" applyAlignment="1">
      <alignment horizontal="center"/>
    </xf>
    <xf numFmtId="0" fontId="5" fillId="26" borderId="10" xfId="0" applyFont="1" applyFill="1" applyBorder="1" applyAlignment="1">
      <alignment horizontal="center"/>
    </xf>
    <xf numFmtId="0" fontId="5" fillId="30" borderId="14" xfId="0" applyFont="1" applyFill="1" applyBorder="1" applyAlignment="1"/>
    <xf numFmtId="0" fontId="5" fillId="26" borderId="50" xfId="0" applyFont="1" applyFill="1" applyBorder="1" applyAlignment="1">
      <alignment horizontal="center"/>
    </xf>
    <xf numFmtId="0" fontId="5" fillId="26" borderId="15" xfId="0" applyFont="1" applyFill="1" applyBorder="1" applyAlignment="1">
      <alignment horizontal="center"/>
    </xf>
    <xf numFmtId="0" fontId="5" fillId="30" borderId="41" xfId="0" applyFont="1" applyFill="1" applyBorder="1" applyAlignment="1">
      <alignment horizontal="center"/>
    </xf>
    <xf numFmtId="0" fontId="5" fillId="30" borderId="42" xfId="0" applyFont="1" applyFill="1" applyBorder="1" applyAlignment="1"/>
    <xf numFmtId="0" fontId="2" fillId="30" borderId="43" xfId="0" applyFont="1" applyFill="1" applyBorder="1" applyAlignment="1">
      <alignment horizontal="center"/>
    </xf>
    <xf numFmtId="0" fontId="1" fillId="31" borderId="6" xfId="0" applyFont="1" applyFill="1" applyBorder="1" applyAlignment="1">
      <alignment horizontal="center"/>
    </xf>
    <xf numFmtId="0" fontId="1" fillId="31" borderId="2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5" fillId="32" borderId="18" xfId="0" applyFont="1" applyFill="1" applyBorder="1" applyAlignment="1">
      <alignment horizontal="center"/>
    </xf>
    <xf numFmtId="0" fontId="5" fillId="32" borderId="19" xfId="0" applyFont="1" applyFill="1" applyBorder="1"/>
    <xf numFmtId="0" fontId="2" fillId="32" borderId="31" xfId="0" applyFont="1" applyFill="1" applyBorder="1" applyAlignment="1">
      <alignment horizontal="center"/>
    </xf>
    <xf numFmtId="0" fontId="5" fillId="32" borderId="13" xfId="0" applyFont="1" applyFill="1" applyBorder="1" applyAlignment="1">
      <alignment horizontal="center"/>
    </xf>
    <xf numFmtId="0" fontId="5" fillId="32" borderId="14" xfId="0" applyFont="1" applyFill="1" applyBorder="1"/>
    <xf numFmtId="0" fontId="2" fillId="32" borderId="15" xfId="0" applyFont="1" applyFill="1" applyBorder="1" applyAlignment="1">
      <alignment horizontal="center"/>
    </xf>
    <xf numFmtId="0" fontId="5" fillId="32" borderId="26" xfId="0" applyFont="1" applyFill="1" applyBorder="1" applyAlignment="1">
      <alignment horizontal="center"/>
    </xf>
    <xf numFmtId="0" fontId="5" fillId="32" borderId="27" xfId="0" applyFont="1" applyFill="1" applyBorder="1"/>
    <xf numFmtId="0" fontId="2" fillId="32" borderId="28" xfId="0" applyFont="1" applyFill="1" applyBorder="1" applyAlignment="1">
      <alignment horizontal="center"/>
    </xf>
    <xf numFmtId="0" fontId="6" fillId="9" borderId="5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top"/>
    </xf>
    <xf numFmtId="0" fontId="3" fillId="7" borderId="54" xfId="0" applyFont="1" applyFill="1" applyBorder="1" applyAlignment="1">
      <alignment vertical="top"/>
    </xf>
    <xf numFmtId="0" fontId="2" fillId="7" borderId="54" xfId="0" applyFont="1" applyFill="1" applyBorder="1" applyAlignment="1">
      <alignment horizontal="center" vertical="top"/>
    </xf>
    <xf numFmtId="0" fontId="6" fillId="7" borderId="54" xfId="0" applyFont="1" applyFill="1" applyBorder="1" applyAlignment="1">
      <alignment horizontal="center"/>
    </xf>
    <xf numFmtId="0" fontId="3" fillId="7" borderId="54" xfId="0" applyFont="1" applyFill="1" applyBorder="1" applyAlignment="1">
      <alignment horizontal="center"/>
    </xf>
    <xf numFmtId="0" fontId="3" fillId="7" borderId="0" xfId="0" applyFont="1" applyFill="1" applyAlignment="1">
      <alignment vertical="top"/>
    </xf>
    <xf numFmtId="0" fontId="2" fillId="7" borderId="0" xfId="0" applyFont="1" applyFill="1" applyAlignment="1">
      <alignment horizontal="center" vertical="top"/>
    </xf>
    <xf numFmtId="0" fontId="6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5" fillId="26" borderId="43" xfId="0" applyFont="1" applyFill="1" applyBorder="1" applyAlignment="1">
      <alignment horizontal="center"/>
    </xf>
    <xf numFmtId="0" fontId="5" fillId="28" borderId="9" xfId="0" applyFont="1" applyFill="1" applyBorder="1" applyAlignment="1"/>
    <xf numFmtId="0" fontId="5" fillId="28" borderId="10" xfId="0" applyFont="1" applyFill="1" applyBorder="1" applyAlignment="1">
      <alignment horizontal="center"/>
    </xf>
    <xf numFmtId="0" fontId="5" fillId="26" borderId="51" xfId="0" applyFont="1" applyFill="1" applyBorder="1" applyAlignment="1">
      <alignment horizontal="center"/>
    </xf>
    <xf numFmtId="0" fontId="5" fillId="26" borderId="43" xfId="0" applyFont="1" applyFill="1" applyBorder="1" applyAlignment="1">
      <alignment horizontal="center"/>
    </xf>
    <xf numFmtId="0" fontId="5" fillId="28" borderId="15" xfId="0" applyFont="1" applyFill="1" applyBorder="1" applyAlignment="1">
      <alignment horizontal="center"/>
    </xf>
    <xf numFmtId="0" fontId="5" fillId="28" borderId="48" xfId="0" applyFont="1" applyFill="1" applyBorder="1" applyAlignment="1">
      <alignment horizontal="center"/>
    </xf>
    <xf numFmtId="0" fontId="5" fillId="28" borderId="10" xfId="0" applyFont="1" applyFill="1" applyBorder="1" applyAlignment="1">
      <alignment horizontal="center"/>
    </xf>
    <xf numFmtId="0" fontId="5" fillId="28" borderId="50" xfId="0" applyFont="1" applyFill="1" applyBorder="1" applyAlignment="1">
      <alignment horizontal="center"/>
    </xf>
    <xf numFmtId="0" fontId="5" fillId="28" borderId="15" xfId="0" applyFont="1" applyFill="1" applyBorder="1" applyAlignment="1">
      <alignment horizontal="center"/>
    </xf>
    <xf numFmtId="0" fontId="5" fillId="28" borderId="43" xfId="0" applyFont="1" applyFill="1" applyBorder="1" applyAlignment="1">
      <alignment horizontal="center"/>
    </xf>
    <xf numFmtId="0" fontId="5" fillId="28" borderId="51" xfId="0" applyFont="1" applyFill="1" applyBorder="1" applyAlignment="1">
      <alignment horizontal="center"/>
    </xf>
    <xf numFmtId="0" fontId="5" fillId="28" borderId="43" xfId="0" applyFont="1" applyFill="1" applyBorder="1" applyAlignment="1">
      <alignment horizontal="center"/>
    </xf>
    <xf numFmtId="0" fontId="5" fillId="30" borderId="9" xfId="0" applyFont="1" applyFill="1" applyBorder="1"/>
    <xf numFmtId="0" fontId="5" fillId="30" borderId="10" xfId="0" applyFont="1" applyFill="1" applyBorder="1" applyAlignment="1">
      <alignment horizontal="center"/>
    </xf>
    <xf numFmtId="0" fontId="5" fillId="30" borderId="48" xfId="0" applyFont="1" applyFill="1" applyBorder="1" applyAlignment="1">
      <alignment horizontal="center"/>
    </xf>
    <xf numFmtId="0" fontId="5" fillId="30" borderId="15" xfId="0" applyFont="1" applyFill="1" applyBorder="1" applyAlignment="1">
      <alignment horizontal="center"/>
    </xf>
    <xf numFmtId="0" fontId="5" fillId="30" borderId="50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5" borderId="40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0" fontId="5" fillId="30" borderId="50" xfId="0" applyFont="1" applyFill="1" applyBorder="1" applyAlignment="1">
      <alignment horizontal="center"/>
    </xf>
    <xf numFmtId="0" fontId="5" fillId="30" borderId="50" xfId="0" applyFont="1" applyFill="1" applyBorder="1" applyAlignment="1">
      <alignment horizontal="center"/>
    </xf>
    <xf numFmtId="0" fontId="5" fillId="30" borderId="15" xfId="0" applyFont="1" applyFill="1" applyBorder="1" applyAlignment="1">
      <alignment horizontal="center"/>
    </xf>
    <xf numFmtId="0" fontId="6" fillId="9" borderId="14" xfId="0" quotePrefix="1" applyFont="1" applyFill="1" applyBorder="1" applyAlignment="1">
      <alignment horizontal="center"/>
    </xf>
    <xf numFmtId="0" fontId="5" fillId="30" borderId="15" xfId="0" applyFont="1" applyFill="1" applyBorder="1" applyAlignment="1">
      <alignment horizontal="center"/>
    </xf>
    <xf numFmtId="0" fontId="5" fillId="5" borderId="57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5" fillId="11" borderId="39" xfId="0" applyFont="1" applyFill="1" applyBorder="1" applyAlignment="1">
      <alignment horizontal="center"/>
    </xf>
    <xf numFmtId="0" fontId="9" fillId="30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5" fillId="30" borderId="50" xfId="0" applyFont="1" applyFill="1" applyBorder="1" applyAlignment="1">
      <alignment horizontal="right"/>
    </xf>
    <xf numFmtId="0" fontId="5" fillId="30" borderId="13" xfId="0" applyFont="1" applyFill="1" applyBorder="1" applyAlignment="1">
      <alignment horizontal="right"/>
    </xf>
    <xf numFmtId="0" fontId="5" fillId="11" borderId="40" xfId="0" applyFont="1" applyFill="1" applyBorder="1" applyAlignment="1">
      <alignment horizontal="center"/>
    </xf>
    <xf numFmtId="0" fontId="5" fillId="30" borderId="58" xfId="0" applyFont="1" applyFill="1" applyBorder="1" applyAlignment="1">
      <alignment horizontal="center"/>
    </xf>
    <xf numFmtId="0" fontId="5" fillId="30" borderId="27" xfId="0" applyFont="1" applyFill="1" applyBorder="1" applyAlignment="1"/>
    <xf numFmtId="0" fontId="5" fillId="30" borderId="28" xfId="0" applyFont="1" applyFill="1" applyBorder="1" applyAlignment="1">
      <alignment horizontal="center"/>
    </xf>
    <xf numFmtId="0" fontId="6" fillId="6" borderId="57" xfId="0" applyFont="1" applyFill="1" applyBorder="1" applyAlignment="1">
      <alignment horizontal="center"/>
    </xf>
    <xf numFmtId="0" fontId="5" fillId="30" borderId="2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5" fillId="11" borderId="46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5" fillId="14" borderId="39" xfId="0" applyFont="1" applyFill="1" applyBorder="1" applyAlignment="1">
      <alignment horizontal="center"/>
    </xf>
    <xf numFmtId="0" fontId="5" fillId="14" borderId="40" xfId="0" applyFont="1" applyFill="1" applyBorder="1" applyAlignment="1">
      <alignment horizontal="center"/>
    </xf>
    <xf numFmtId="0" fontId="5" fillId="14" borderId="46" xfId="0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  <xf numFmtId="0" fontId="5" fillId="16" borderId="17" xfId="0" applyFont="1" applyFill="1" applyBorder="1" applyAlignment="1">
      <alignment horizontal="center"/>
    </xf>
    <xf numFmtId="0" fontId="5" fillId="16" borderId="40" xfId="0" applyFont="1" applyFill="1" applyBorder="1" applyAlignment="1">
      <alignment horizontal="center"/>
    </xf>
    <xf numFmtId="0" fontId="10" fillId="14" borderId="32" xfId="0" applyFont="1" applyFill="1" applyBorder="1" applyAlignment="1">
      <alignment horizontal="center" vertical="center"/>
    </xf>
    <xf numFmtId="0" fontId="5" fillId="14" borderId="52" xfId="0" applyFont="1" applyFill="1" applyBorder="1" applyAlignment="1">
      <alignment horizontal="left" vertical="center" wrapText="1"/>
    </xf>
    <xf numFmtId="0" fontId="11" fillId="14" borderId="52" xfId="0" applyFont="1" applyFill="1" applyBorder="1" applyAlignment="1">
      <alignment horizontal="center" vertical="top" wrapText="1"/>
    </xf>
    <xf numFmtId="0" fontId="12" fillId="6" borderId="11" xfId="0" applyFont="1" applyFill="1" applyBorder="1"/>
    <xf numFmtId="0" fontId="12" fillId="6" borderId="14" xfId="0" applyFont="1" applyFill="1" applyBorder="1" applyAlignment="1"/>
    <xf numFmtId="0" fontId="12" fillId="6" borderId="14" xfId="0" applyFont="1" applyFill="1" applyBorder="1"/>
    <xf numFmtId="0" fontId="12" fillId="6" borderId="9" xfId="0" applyFont="1" applyFill="1" applyBorder="1"/>
    <xf numFmtId="0" fontId="11" fillId="6" borderId="9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14" borderId="63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left" vertical="center" wrapText="1"/>
    </xf>
    <xf numFmtId="0" fontId="11" fillId="14" borderId="22" xfId="0" applyFont="1" applyFill="1" applyBorder="1" applyAlignment="1">
      <alignment horizontal="center" vertical="top" wrapText="1"/>
    </xf>
    <xf numFmtId="0" fontId="12" fillId="9" borderId="24" xfId="0" applyFont="1" applyFill="1" applyBorder="1"/>
    <xf numFmtId="0" fontId="12" fillId="9" borderId="14" xfId="0" applyFont="1" applyFill="1" applyBorder="1" applyAlignment="1"/>
    <xf numFmtId="0" fontId="12" fillId="9" borderId="14" xfId="0" applyFont="1" applyFill="1" applyBorder="1"/>
    <xf numFmtId="0" fontId="6" fillId="0" borderId="0" xfId="0" applyFont="1" applyAlignment="1">
      <alignment horizontal="center"/>
    </xf>
    <xf numFmtId="0" fontId="11" fillId="9" borderId="14" xfId="0" applyFont="1" applyFill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/>
    </xf>
    <xf numFmtId="0" fontId="12" fillId="6" borderId="24" xfId="0" applyFont="1" applyFill="1" applyBorder="1"/>
    <xf numFmtId="0" fontId="11" fillId="6" borderId="14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/>
    </xf>
    <xf numFmtId="0" fontId="12" fillId="9" borderId="14" xfId="0" applyFont="1" applyFill="1" applyBorder="1" applyAlignment="1"/>
    <xf numFmtId="0" fontId="12" fillId="6" borderId="14" xfId="0" applyFont="1" applyFill="1" applyBorder="1" applyAlignment="1">
      <alignment horizontal="right"/>
    </xf>
    <xf numFmtId="0" fontId="13" fillId="6" borderId="14" xfId="0" applyFont="1" applyFill="1" applyBorder="1" applyAlignment="1">
      <alignment horizontal="center"/>
    </xf>
    <xf numFmtId="0" fontId="5" fillId="16" borderId="46" xfId="0" applyFont="1" applyFill="1" applyBorder="1" applyAlignment="1">
      <alignment horizontal="center"/>
    </xf>
    <xf numFmtId="0" fontId="12" fillId="6" borderId="14" xfId="0" applyFont="1" applyFill="1" applyBorder="1" applyAlignment="1"/>
    <xf numFmtId="0" fontId="12" fillId="9" borderId="24" xfId="0" applyFont="1" applyFill="1" applyBorder="1" applyAlignment="1">
      <alignment horizontal="right"/>
    </xf>
    <xf numFmtId="0" fontId="6" fillId="17" borderId="0" xfId="0" applyFont="1" applyFill="1" applyAlignment="1">
      <alignment horizontal="center"/>
    </xf>
    <xf numFmtId="0" fontId="12" fillId="6" borderId="24" xfId="0" applyFont="1" applyFill="1" applyBorder="1" applyAlignment="1">
      <alignment horizontal="right"/>
    </xf>
    <xf numFmtId="0" fontId="5" fillId="18" borderId="17" xfId="0" applyFont="1" applyFill="1" applyBorder="1" applyAlignment="1">
      <alignment horizontal="center"/>
    </xf>
    <xf numFmtId="0" fontId="12" fillId="9" borderId="24" xfId="0" applyFont="1" applyFill="1" applyBorder="1" applyAlignment="1"/>
    <xf numFmtId="0" fontId="5" fillId="18" borderId="40" xfId="0" applyFont="1" applyFill="1" applyBorder="1" applyAlignment="1">
      <alignment horizontal="center"/>
    </xf>
    <xf numFmtId="0" fontId="12" fillId="6" borderId="24" xfId="0" applyFont="1" applyFill="1" applyBorder="1" applyAlignment="1"/>
    <xf numFmtId="0" fontId="10" fillId="14" borderId="63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left" vertical="center" wrapText="1"/>
    </xf>
    <xf numFmtId="0" fontId="11" fillId="14" borderId="22" xfId="0" applyFont="1" applyFill="1" applyBorder="1" applyAlignment="1">
      <alignment horizontal="center" vertical="top" wrapText="1"/>
    </xf>
    <xf numFmtId="0" fontId="12" fillId="6" borderId="24" xfId="0" applyFont="1" applyFill="1" applyBorder="1"/>
    <xf numFmtId="0" fontId="8" fillId="6" borderId="14" xfId="0" applyFont="1" applyFill="1" applyBorder="1" applyAlignment="1">
      <alignment horizontal="center"/>
    </xf>
    <xf numFmtId="0" fontId="12" fillId="6" borderId="14" xfId="0" applyFont="1" applyFill="1" applyBorder="1"/>
    <xf numFmtId="0" fontId="12" fillId="6" borderId="24" xfId="0" applyFont="1" applyFill="1" applyBorder="1" applyAlignment="1">
      <alignment horizontal="right"/>
    </xf>
    <xf numFmtId="0" fontId="11" fillId="0" borderId="14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2" fillId="9" borderId="24" xfId="0" applyFont="1" applyFill="1" applyBorder="1"/>
    <xf numFmtId="0" fontId="12" fillId="9" borderId="14" xfId="0" applyFont="1" applyFill="1" applyBorder="1" applyAlignment="1"/>
    <xf numFmtId="0" fontId="5" fillId="18" borderId="46" xfId="0" applyFont="1" applyFill="1" applyBorder="1" applyAlignment="1">
      <alignment horizontal="center"/>
    </xf>
    <xf numFmtId="0" fontId="12" fillId="9" borderId="14" xfId="0" applyFont="1" applyFill="1" applyBorder="1"/>
    <xf numFmtId="0" fontId="6" fillId="19" borderId="0" xfId="0" applyFont="1" applyFill="1" applyAlignment="1">
      <alignment horizontal="center"/>
    </xf>
    <xf numFmtId="0" fontId="10" fillId="14" borderId="64" xfId="0" applyFont="1" applyFill="1" applyBorder="1" applyAlignment="1">
      <alignment horizontal="center" vertical="center"/>
    </xf>
    <xf numFmtId="0" fontId="5" fillId="14" borderId="37" xfId="0" applyFont="1" applyFill="1" applyBorder="1" applyAlignment="1">
      <alignment horizontal="left" vertical="center" wrapText="1"/>
    </xf>
    <xf numFmtId="0" fontId="11" fillId="14" borderId="37" xfId="0" applyFont="1" applyFill="1" applyBorder="1" applyAlignment="1">
      <alignment horizontal="center" vertical="top" wrapText="1"/>
    </xf>
    <xf numFmtId="0" fontId="12" fillId="6" borderId="44" xfId="0" applyFont="1" applyFill="1" applyBorder="1"/>
    <xf numFmtId="0" fontId="12" fillId="6" borderId="14" xfId="0" applyFont="1" applyFill="1" applyBorder="1" applyAlignment="1"/>
    <xf numFmtId="0" fontId="5" fillId="20" borderId="17" xfId="0" applyFont="1" applyFill="1" applyBorder="1" applyAlignment="1">
      <alignment horizontal="center"/>
    </xf>
    <xf numFmtId="0" fontId="12" fillId="6" borderId="42" xfId="0" applyFont="1" applyFill="1" applyBorder="1"/>
    <xf numFmtId="0" fontId="11" fillId="0" borderId="4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2" fillId="9" borderId="44" xfId="0" applyFont="1" applyFill="1" applyBorder="1"/>
    <xf numFmtId="0" fontId="5" fillId="20" borderId="40" xfId="0" applyFont="1" applyFill="1" applyBorder="1" applyAlignment="1">
      <alignment horizontal="center"/>
    </xf>
    <xf numFmtId="0" fontId="12" fillId="9" borderId="42" xfId="0" applyFont="1" applyFill="1" applyBorder="1"/>
    <xf numFmtId="0" fontId="5" fillId="14" borderId="65" xfId="0" applyFont="1" applyFill="1" applyBorder="1" applyAlignment="1">
      <alignment horizontal="center" vertical="center"/>
    </xf>
    <xf numFmtId="0" fontId="5" fillId="14" borderId="66" xfId="0" applyFont="1" applyFill="1" applyBorder="1" applyAlignment="1">
      <alignment horizontal="left" vertical="center" wrapText="1"/>
    </xf>
    <xf numFmtId="0" fontId="9" fillId="14" borderId="66" xfId="0" applyFont="1" applyFill="1" applyBorder="1" applyAlignment="1">
      <alignment horizontal="center" vertical="top" wrapText="1"/>
    </xf>
    <xf numFmtId="0" fontId="5" fillId="20" borderId="40" xfId="0" applyFont="1" applyFill="1" applyBorder="1" applyAlignment="1">
      <alignment horizontal="center"/>
    </xf>
    <xf numFmtId="0" fontId="12" fillId="6" borderId="35" xfId="0" applyFont="1" applyFill="1" applyBorder="1"/>
    <xf numFmtId="0" fontId="12" fillId="6" borderId="27" xfId="0" applyFont="1" applyFill="1" applyBorder="1" applyAlignment="1"/>
    <xf numFmtId="0" fontId="12" fillId="6" borderId="27" xfId="0" applyFont="1" applyFill="1" applyBorder="1"/>
    <xf numFmtId="0" fontId="8" fillId="6" borderId="27" xfId="0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2" fillId="0" borderId="67" xfId="0" applyFont="1" applyBorder="1"/>
    <xf numFmtId="0" fontId="5" fillId="20" borderId="46" xfId="0" applyFont="1" applyFill="1" applyBorder="1" applyAlignment="1">
      <alignment horizontal="center"/>
    </xf>
    <xf numFmtId="0" fontId="6" fillId="21" borderId="0" xfId="0" applyFont="1" applyFill="1" applyAlignment="1">
      <alignment horizontal="center"/>
    </xf>
    <xf numFmtId="0" fontId="6" fillId="7" borderId="5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2" borderId="17" xfId="0" applyFont="1" applyFill="1" applyBorder="1" applyAlignment="1">
      <alignment horizontal="center"/>
    </xf>
    <xf numFmtId="0" fontId="5" fillId="22" borderId="40" xfId="0" applyFont="1" applyFill="1" applyBorder="1" applyAlignment="1">
      <alignment horizontal="center"/>
    </xf>
    <xf numFmtId="0" fontId="5" fillId="22" borderId="46" xfId="0" applyFont="1" applyFill="1" applyBorder="1" applyAlignment="1">
      <alignment horizontal="center"/>
    </xf>
    <xf numFmtId="0" fontId="6" fillId="23" borderId="0" xfId="0" applyFont="1" applyFill="1" applyAlignment="1">
      <alignment horizontal="center"/>
    </xf>
    <xf numFmtId="0" fontId="5" fillId="24" borderId="17" xfId="0" applyFont="1" applyFill="1" applyBorder="1" applyAlignment="1">
      <alignment horizontal="center"/>
    </xf>
    <xf numFmtId="0" fontId="5" fillId="24" borderId="40" xfId="0" applyFont="1" applyFill="1" applyBorder="1" applyAlignment="1">
      <alignment horizontal="center"/>
    </xf>
    <xf numFmtId="0" fontId="5" fillId="24" borderId="40" xfId="0" applyFont="1" applyFill="1" applyBorder="1" applyAlignment="1">
      <alignment horizontal="center"/>
    </xf>
    <xf numFmtId="0" fontId="5" fillId="24" borderId="46" xfId="0" applyFont="1" applyFill="1" applyBorder="1" applyAlignment="1">
      <alignment horizontal="center"/>
    </xf>
    <xf numFmtId="0" fontId="6" fillId="25" borderId="0" xfId="0" applyFont="1" applyFill="1" applyAlignment="1">
      <alignment horizontal="center"/>
    </xf>
    <xf numFmtId="0" fontId="12" fillId="14" borderId="1" xfId="0" applyFont="1" applyFill="1" applyBorder="1" applyAlignment="1"/>
    <xf numFmtId="0" fontId="5" fillId="26" borderId="17" xfId="0" applyFont="1" applyFill="1" applyBorder="1" applyAlignment="1">
      <alignment horizontal="center"/>
    </xf>
    <xf numFmtId="0" fontId="5" fillId="26" borderId="40" xfId="0" applyFont="1" applyFill="1" applyBorder="1" applyAlignment="1">
      <alignment horizontal="center"/>
    </xf>
    <xf numFmtId="0" fontId="12" fillId="0" borderId="0" xfId="0" applyFont="1" applyAlignment="1"/>
    <xf numFmtId="0" fontId="16" fillId="6" borderId="20" xfId="0" applyFont="1" applyFill="1" applyBorder="1" applyAlignment="1">
      <alignment horizontal="center" vertical="center" wrapText="1"/>
    </xf>
    <xf numFmtId="0" fontId="17" fillId="28" borderId="20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7" fillId="32" borderId="20" xfId="0" applyFont="1" applyFill="1" applyBorder="1" applyAlignment="1">
      <alignment horizontal="center" vertical="center" wrapText="1"/>
    </xf>
    <xf numFmtId="0" fontId="16" fillId="34" borderId="20" xfId="0" applyFont="1" applyFill="1" applyBorder="1" applyAlignment="1">
      <alignment horizontal="center" vertical="center" wrapText="1"/>
    </xf>
    <xf numFmtId="0" fontId="16" fillId="6" borderId="68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8" fillId="12" borderId="14" xfId="0" applyFont="1" applyFill="1" applyBorder="1" applyAlignment="1">
      <alignment horizontal="center" vertical="top"/>
    </xf>
    <xf numFmtId="0" fontId="19" fillId="7" borderId="69" xfId="0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/>
    </xf>
    <xf numFmtId="0" fontId="20" fillId="7" borderId="69" xfId="0" applyFont="1" applyFill="1" applyBorder="1" applyAlignment="1">
      <alignment horizontal="center" vertical="center"/>
    </xf>
    <xf numFmtId="0" fontId="20" fillId="22" borderId="70" xfId="0" applyFont="1" applyFill="1" applyBorder="1" applyAlignment="1">
      <alignment vertical="center"/>
    </xf>
    <xf numFmtId="0" fontId="19" fillId="7" borderId="70" xfId="0" applyFont="1" applyFill="1" applyBorder="1" applyAlignment="1">
      <alignment horizontal="center" vertical="center"/>
    </xf>
    <xf numFmtId="0" fontId="16" fillId="3" borderId="71" xfId="0" applyFont="1" applyFill="1" applyBorder="1" applyAlignment="1">
      <alignment horizontal="center"/>
    </xf>
    <xf numFmtId="0" fontId="16" fillId="6" borderId="63" xfId="0" applyFont="1" applyFill="1" applyBorder="1" applyAlignment="1">
      <alignment horizontal="center"/>
    </xf>
    <xf numFmtId="0" fontId="18" fillId="12" borderId="14" xfId="0" applyFont="1" applyFill="1" applyBorder="1" applyAlignment="1">
      <alignment horizontal="center" vertical="top"/>
    </xf>
    <xf numFmtId="0" fontId="19" fillId="7" borderId="25" xfId="0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/>
    </xf>
    <xf numFmtId="0" fontId="20" fillId="7" borderId="25" xfId="0" applyFont="1" applyFill="1" applyBorder="1" applyAlignment="1">
      <alignment horizontal="center" vertical="center"/>
    </xf>
    <xf numFmtId="0" fontId="20" fillId="22" borderId="14" xfId="0" applyFont="1" applyFill="1" applyBorder="1" applyAlignment="1">
      <alignment vertical="center"/>
    </xf>
    <xf numFmtId="0" fontId="19" fillId="7" borderId="14" xfId="0" applyFont="1" applyFill="1" applyBorder="1" applyAlignment="1">
      <alignment horizontal="center" vertical="center"/>
    </xf>
    <xf numFmtId="0" fontId="16" fillId="3" borderId="72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9" fillId="7" borderId="25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20" fillId="7" borderId="25" xfId="0" applyFont="1" applyFill="1" applyBorder="1" applyAlignment="1">
      <alignment vertical="center"/>
    </xf>
    <xf numFmtId="0" fontId="20" fillId="7" borderId="73" xfId="0" applyFont="1" applyFill="1" applyBorder="1" applyAlignment="1">
      <alignment vertical="center"/>
    </xf>
    <xf numFmtId="0" fontId="19" fillId="7" borderId="73" xfId="0" applyFont="1" applyFill="1" applyBorder="1" applyAlignment="1">
      <alignment horizontal="center" vertical="center"/>
    </xf>
    <xf numFmtId="0" fontId="20" fillId="7" borderId="73" xfId="0" applyFont="1" applyFill="1" applyBorder="1" applyAlignment="1">
      <alignment horizontal="center" vertical="center"/>
    </xf>
    <xf numFmtId="0" fontId="19" fillId="7" borderId="73" xfId="0" applyFont="1" applyFill="1" applyBorder="1" applyAlignment="1">
      <alignment horizontal="center" vertical="center"/>
    </xf>
    <xf numFmtId="0" fontId="16" fillId="6" borderId="65" xfId="0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0" fillId="22" borderId="27" xfId="0" applyFont="1" applyFill="1" applyBorder="1" applyAlignment="1">
      <alignment vertical="center"/>
    </xf>
    <xf numFmtId="0" fontId="19" fillId="7" borderId="27" xfId="0" applyFont="1" applyFill="1" applyBorder="1" applyAlignment="1">
      <alignment horizontal="center" vertical="center"/>
    </xf>
    <xf numFmtId="0" fontId="16" fillId="3" borderId="7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2" fillId="8" borderId="0" xfId="0" applyFont="1" applyFill="1" applyAlignment="1"/>
    <xf numFmtId="0" fontId="22" fillId="7" borderId="0" xfId="0" applyFont="1" applyFill="1" applyAlignment="1"/>
    <xf numFmtId="0" fontId="12" fillId="7" borderId="0" xfId="0" applyFont="1" applyFill="1" applyAlignment="1"/>
    <xf numFmtId="0" fontId="12" fillId="7" borderId="0" xfId="0" applyFont="1" applyFill="1" applyAlignment="1">
      <alignment horizontal="center"/>
    </xf>
    <xf numFmtId="0" fontId="12" fillId="7" borderId="0" xfId="0" applyFont="1" applyFill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78" xfId="0" applyFont="1" applyBorder="1"/>
    <xf numFmtId="0" fontId="12" fillId="0" borderId="79" xfId="0" applyFont="1" applyBorder="1"/>
    <xf numFmtId="0" fontId="5" fillId="26" borderId="46" xfId="0" applyFont="1" applyFill="1" applyBorder="1" applyAlignment="1">
      <alignment horizontal="center"/>
    </xf>
    <xf numFmtId="0" fontId="6" fillId="27" borderId="0" xfId="0" applyFont="1" applyFill="1" applyAlignment="1">
      <alignment horizontal="center"/>
    </xf>
    <xf numFmtId="0" fontId="5" fillId="28" borderId="17" xfId="0" applyFont="1" applyFill="1" applyBorder="1" applyAlignment="1">
      <alignment horizontal="center"/>
    </xf>
    <xf numFmtId="0" fontId="5" fillId="28" borderId="40" xfId="0" applyFont="1" applyFill="1" applyBorder="1" applyAlignment="1">
      <alignment horizontal="center"/>
    </xf>
    <xf numFmtId="0" fontId="5" fillId="28" borderId="46" xfId="0" applyFont="1" applyFill="1" applyBorder="1" applyAlignment="1">
      <alignment horizontal="center"/>
    </xf>
    <xf numFmtId="0" fontId="6" fillId="29" borderId="0" xfId="0" applyFont="1" applyFill="1" applyAlignment="1">
      <alignment horizontal="center"/>
    </xf>
    <xf numFmtId="0" fontId="5" fillId="30" borderId="17" xfId="0" applyFont="1" applyFill="1" applyBorder="1" applyAlignment="1">
      <alignment horizontal="center"/>
    </xf>
    <xf numFmtId="0" fontId="5" fillId="30" borderId="40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47" xfId="0" applyFont="1" applyFill="1" applyBorder="1"/>
    <xf numFmtId="0" fontId="5" fillId="14" borderId="56" xfId="0" applyFont="1" applyFill="1" applyBorder="1" applyAlignment="1">
      <alignment horizontal="center"/>
    </xf>
    <xf numFmtId="0" fontId="24" fillId="6" borderId="18" xfId="0" applyFont="1" applyFill="1" applyBorder="1" applyAlignment="1">
      <alignment horizontal="center"/>
    </xf>
    <xf numFmtId="0" fontId="14" fillId="3" borderId="47" xfId="0" applyFont="1" applyFill="1" applyBorder="1" applyAlignment="1">
      <alignment horizontal="center" vertical="center"/>
    </xf>
    <xf numFmtId="0" fontId="1" fillId="14" borderId="63" xfId="0" applyFont="1" applyFill="1" applyBorder="1" applyAlignment="1">
      <alignment horizontal="center"/>
    </xf>
    <xf numFmtId="0" fontId="1" fillId="14" borderId="22" xfId="0" applyFont="1" applyFill="1" applyBorder="1"/>
    <xf numFmtId="0" fontId="5" fillId="14" borderId="73" xfId="0" applyFont="1" applyFill="1" applyBorder="1" applyAlignment="1">
      <alignment horizontal="center"/>
    </xf>
    <xf numFmtId="0" fontId="24" fillId="9" borderId="13" xfId="0" applyFont="1" applyFill="1" applyBorder="1" applyAlignment="1">
      <alignment horizontal="center"/>
    </xf>
    <xf numFmtId="0" fontId="14" fillId="3" borderId="52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/>
    </xf>
    <xf numFmtId="0" fontId="24" fillId="9" borderId="13" xfId="0" applyFont="1" applyFill="1" applyBorder="1" applyAlignment="1">
      <alignment horizontal="center"/>
    </xf>
    <xf numFmtId="0" fontId="24" fillId="6" borderId="13" xfId="0" applyFont="1" applyFill="1" applyBorder="1" applyAlignment="1">
      <alignment horizontal="center"/>
    </xf>
    <xf numFmtId="0" fontId="1" fillId="14" borderId="63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left" vertical="center" wrapText="1"/>
    </xf>
    <xf numFmtId="0" fontId="5" fillId="14" borderId="73" xfId="0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center"/>
    </xf>
    <xf numFmtId="0" fontId="1" fillId="14" borderId="64" xfId="0" applyFont="1" applyFill="1" applyBorder="1" applyAlignment="1">
      <alignment horizontal="center"/>
    </xf>
    <xf numFmtId="0" fontId="5" fillId="30" borderId="40" xfId="0" applyFont="1" applyFill="1" applyBorder="1" applyAlignment="1">
      <alignment horizontal="center"/>
    </xf>
    <xf numFmtId="0" fontId="1" fillId="14" borderId="37" xfId="0" applyFont="1" applyFill="1" applyBorder="1"/>
    <xf numFmtId="0" fontId="5" fillId="14" borderId="82" xfId="0" applyFont="1" applyFill="1" applyBorder="1" applyAlignment="1">
      <alignment horizontal="center"/>
    </xf>
    <xf numFmtId="0" fontId="5" fillId="30" borderId="40" xfId="0" applyFont="1" applyFill="1" applyBorder="1" applyAlignment="1">
      <alignment horizontal="center"/>
    </xf>
    <xf numFmtId="0" fontId="14" fillId="3" borderId="67" xfId="0" applyFont="1" applyFill="1" applyBorder="1" applyAlignment="1">
      <alignment horizontal="center" vertical="center"/>
    </xf>
    <xf numFmtId="0" fontId="1" fillId="14" borderId="66" xfId="0" applyFont="1" applyFill="1" applyBorder="1" applyAlignment="1">
      <alignment horizontal="center"/>
    </xf>
    <xf numFmtId="0" fontId="1" fillId="14" borderId="66" xfId="0" applyFont="1" applyFill="1" applyBorder="1"/>
    <xf numFmtId="0" fontId="5" fillId="14" borderId="66" xfId="0" applyFont="1" applyFill="1" applyBorder="1" applyAlignment="1">
      <alignment horizontal="center"/>
    </xf>
    <xf numFmtId="0" fontId="24" fillId="9" borderId="26" xfId="0" applyFont="1" applyFill="1" applyBorder="1" applyAlignment="1">
      <alignment horizontal="center"/>
    </xf>
    <xf numFmtId="0" fontId="14" fillId="3" borderId="66" xfId="0" applyFont="1" applyFill="1" applyBorder="1" applyAlignment="1">
      <alignment horizontal="center" vertical="center"/>
    </xf>
    <xf numFmtId="0" fontId="24" fillId="6" borderId="26" xfId="0" applyFont="1" applyFill="1" applyBorder="1" applyAlignment="1">
      <alignment horizontal="center"/>
    </xf>
    <xf numFmtId="0" fontId="25" fillId="0" borderId="0" xfId="0" applyFont="1"/>
    <xf numFmtId="0" fontId="5" fillId="30" borderId="51" xfId="0" applyFont="1" applyFill="1" applyBorder="1" applyAlignment="1">
      <alignment horizontal="center"/>
    </xf>
    <xf numFmtId="0" fontId="5" fillId="30" borderId="4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54" xfId="0" applyFont="1" applyFill="1" applyBorder="1" applyAlignment="1">
      <alignment horizontal="center" vertical="top"/>
    </xf>
    <xf numFmtId="0" fontId="3" fillId="7" borderId="54" xfId="0" applyFont="1" applyFill="1" applyBorder="1" applyAlignment="1">
      <alignment horizontal="center" vertical="top"/>
    </xf>
    <xf numFmtId="0" fontId="6" fillId="7" borderId="5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top"/>
    </xf>
    <xf numFmtId="0" fontId="6" fillId="7" borderId="79" xfId="0" applyFont="1" applyFill="1" applyBorder="1" applyAlignment="1">
      <alignment horizontal="center"/>
    </xf>
    <xf numFmtId="0" fontId="3" fillId="7" borderId="67" xfId="0" applyFont="1" applyFill="1" applyBorder="1" applyAlignment="1">
      <alignment horizontal="center"/>
    </xf>
    <xf numFmtId="0" fontId="3" fillId="3" borderId="55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top"/>
    </xf>
    <xf numFmtId="0" fontId="3" fillId="6" borderId="0" xfId="0" applyFont="1" applyFill="1" applyAlignment="1">
      <alignment vertical="top"/>
    </xf>
    <xf numFmtId="0" fontId="3" fillId="6" borderId="0" xfId="0" applyFont="1" applyFill="1" applyAlignment="1">
      <alignment horizontal="center" vertical="top"/>
    </xf>
    <xf numFmtId="0" fontId="6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top"/>
    </xf>
    <xf numFmtId="0" fontId="3" fillId="9" borderId="0" xfId="0" applyFont="1" applyFill="1" applyAlignment="1">
      <alignment vertical="top"/>
    </xf>
    <xf numFmtId="0" fontId="3" fillId="9" borderId="0" xfId="0" applyFont="1" applyFill="1" applyAlignment="1">
      <alignment horizontal="center" vertical="top"/>
    </xf>
    <xf numFmtId="0" fontId="3" fillId="9" borderId="0" xfId="0" applyFont="1" applyFill="1" applyAlignment="1">
      <alignment horizontal="center"/>
    </xf>
    <xf numFmtId="0" fontId="3" fillId="30" borderId="0" xfId="0" applyFont="1" applyFill="1" applyAlignment="1">
      <alignment horizontal="center" vertical="top"/>
    </xf>
    <xf numFmtId="0" fontId="3" fillId="30" borderId="0" xfId="0" applyFont="1" applyFill="1" applyAlignment="1">
      <alignment vertical="top"/>
    </xf>
    <xf numFmtId="0" fontId="3" fillId="30" borderId="0" xfId="0" applyFont="1" applyFill="1" applyAlignment="1">
      <alignment horizontal="center" vertical="top"/>
    </xf>
    <xf numFmtId="0" fontId="6" fillId="30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17" fillId="28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32" borderId="55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18" fillId="12" borderId="14" xfId="0" applyFont="1" applyFill="1" applyBorder="1" applyAlignment="1">
      <alignment vertical="top" wrapText="1"/>
    </xf>
    <xf numFmtId="0" fontId="19" fillId="7" borderId="69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12" borderId="14" xfId="0" applyFont="1" applyFill="1" applyBorder="1" applyAlignment="1"/>
    <xf numFmtId="0" fontId="19" fillId="0" borderId="83" xfId="0" applyFont="1" applyBorder="1" applyAlignment="1">
      <alignment horizontal="center" vertical="center" wrapText="1"/>
    </xf>
    <xf numFmtId="0" fontId="1" fillId="17" borderId="63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vertical="top"/>
    </xf>
    <xf numFmtId="0" fontId="19" fillId="7" borderId="25" xfId="0" applyFont="1" applyFill="1" applyBorder="1" applyAlignment="1">
      <alignment horizontal="center" vertical="center" wrapText="1"/>
    </xf>
    <xf numFmtId="0" fontId="6" fillId="12" borderId="14" xfId="0" applyFont="1" applyFill="1" applyBorder="1"/>
    <xf numFmtId="0" fontId="19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8" fillId="12" borderId="14" xfId="0" applyFont="1" applyFill="1" applyBorder="1" applyAlignment="1">
      <alignment vertical="top"/>
    </xf>
    <xf numFmtId="0" fontId="18" fillId="0" borderId="14" xfId="0" applyFont="1" applyBorder="1" applyAlignment="1">
      <alignment vertical="top" wrapText="1"/>
    </xf>
    <xf numFmtId="0" fontId="6" fillId="12" borderId="14" xfId="0" applyFont="1" applyFill="1" applyBorder="1" applyAlignment="1">
      <alignment wrapText="1"/>
    </xf>
    <xf numFmtId="0" fontId="26" fillId="7" borderId="25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28" fillId="0" borderId="14" xfId="0" applyFont="1" applyBorder="1" applyAlignment="1">
      <alignment wrapText="1"/>
    </xf>
    <xf numFmtId="0" fontId="18" fillId="7" borderId="25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left" vertical="center" wrapText="1"/>
    </xf>
    <xf numFmtId="0" fontId="19" fillId="7" borderId="25" xfId="0" applyFont="1" applyFill="1" applyBorder="1" applyAlignment="1">
      <alignment horizontal="left" vertical="center" wrapText="1"/>
    </xf>
    <xf numFmtId="0" fontId="19" fillId="7" borderId="25" xfId="0" applyFont="1" applyFill="1" applyBorder="1" applyAlignment="1">
      <alignment horizontal="center" vertical="center" wrapText="1"/>
    </xf>
    <xf numFmtId="0" fontId="29" fillId="7" borderId="25" xfId="0" applyFont="1" applyFill="1" applyBorder="1" applyAlignment="1">
      <alignment horizontal="center" vertical="center" wrapText="1"/>
    </xf>
    <xf numFmtId="0" fontId="1" fillId="17" borderId="64" xfId="0" applyFont="1" applyFill="1" applyBorder="1" applyAlignment="1">
      <alignment horizontal="center" vertical="center" wrapText="1"/>
    </xf>
    <xf numFmtId="0" fontId="19" fillId="7" borderId="45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" fillId="17" borderId="65" xfId="0" applyFont="1" applyFill="1" applyBorder="1" applyAlignment="1">
      <alignment horizontal="center" vertical="center" wrapText="1"/>
    </xf>
    <xf numFmtId="0" fontId="19" fillId="7" borderId="84" xfId="0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wrapText="1"/>
    </xf>
    <xf numFmtId="0" fontId="19" fillId="0" borderId="85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14" borderId="0" xfId="0" applyFont="1" applyFill="1" applyAlignment="1">
      <alignment wrapText="1"/>
    </xf>
    <xf numFmtId="0" fontId="12" fillId="0" borderId="78" xfId="0" applyFont="1" applyBorder="1" applyAlignment="1">
      <alignment wrapText="1"/>
    </xf>
    <xf numFmtId="0" fontId="6" fillId="6" borderId="53" xfId="0" applyFont="1" applyFill="1" applyBorder="1" applyAlignment="1">
      <alignment horizontal="center"/>
    </xf>
    <xf numFmtId="0" fontId="31" fillId="9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1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29" xfId="0" applyFont="1" applyBorder="1"/>
    <xf numFmtId="0" fontId="1" fillId="23" borderId="5" xfId="0" applyFont="1" applyFill="1" applyBorder="1" applyAlignment="1">
      <alignment horizontal="center"/>
    </xf>
    <xf numFmtId="0" fontId="1" fillId="25" borderId="5" xfId="0" applyFont="1" applyFill="1" applyBorder="1" applyAlignment="1">
      <alignment horizontal="center"/>
    </xf>
    <xf numFmtId="0" fontId="1" fillId="27" borderId="5" xfId="0" applyFont="1" applyFill="1" applyBorder="1" applyAlignment="1">
      <alignment horizontal="center"/>
    </xf>
    <xf numFmtId="0" fontId="1" fillId="29" borderId="5" xfId="0" applyFont="1" applyFill="1" applyBorder="1" applyAlignment="1">
      <alignment horizontal="center"/>
    </xf>
    <xf numFmtId="0" fontId="1" fillId="31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0" borderId="7" xfId="0" applyFont="1" applyBorder="1"/>
    <xf numFmtId="0" fontId="1" fillId="10" borderId="5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3" borderId="16" xfId="0" applyFont="1" applyFill="1" applyBorder="1" applyAlignment="1">
      <alignment horizontal="center"/>
    </xf>
    <xf numFmtId="0" fontId="1" fillId="25" borderId="16" xfId="0" applyFont="1" applyFill="1" applyBorder="1" applyAlignment="1">
      <alignment horizontal="center"/>
    </xf>
    <xf numFmtId="0" fontId="1" fillId="27" borderId="16" xfId="0" applyFont="1" applyFill="1" applyBorder="1" applyAlignment="1">
      <alignment horizontal="center"/>
    </xf>
    <xf numFmtId="0" fontId="1" fillId="29" borderId="16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17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4" fillId="0" borderId="33" xfId="0" applyFont="1" applyBorder="1"/>
    <xf numFmtId="0" fontId="4" fillId="0" borderId="34" xfId="0" applyFont="1" applyBorder="1"/>
    <xf numFmtId="0" fontId="1" fillId="23" borderId="30" xfId="0" applyFont="1" applyFill="1" applyBorder="1" applyAlignment="1">
      <alignment horizontal="center"/>
    </xf>
    <xf numFmtId="0" fontId="1" fillId="25" borderId="30" xfId="0" applyFont="1" applyFill="1" applyBorder="1" applyAlignment="1">
      <alignment horizontal="center"/>
    </xf>
    <xf numFmtId="0" fontId="1" fillId="27" borderId="30" xfId="0" applyFont="1" applyFill="1" applyBorder="1" applyAlignment="1">
      <alignment horizontal="center"/>
    </xf>
    <xf numFmtId="0" fontId="1" fillId="29" borderId="30" xfId="0" applyFont="1" applyFill="1" applyBorder="1" applyAlignment="1">
      <alignment horizontal="center"/>
    </xf>
    <xf numFmtId="0" fontId="1" fillId="10" borderId="30" xfId="0" applyFont="1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0" fontId="1" fillId="15" borderId="30" xfId="0" applyFont="1" applyFill="1" applyBorder="1" applyAlignment="1">
      <alignment horizontal="center"/>
    </xf>
    <xf numFmtId="0" fontId="1" fillId="17" borderId="30" xfId="0" applyFont="1" applyFill="1" applyBorder="1" applyAlignment="1">
      <alignment horizontal="center"/>
    </xf>
    <xf numFmtId="0" fontId="1" fillId="19" borderId="30" xfId="0" applyFont="1" applyFill="1" applyBorder="1" applyAlignment="1">
      <alignment horizontal="center"/>
    </xf>
    <xf numFmtId="0" fontId="1" fillId="21" borderId="30" xfId="0" applyFont="1" applyFill="1" applyBorder="1" applyAlignment="1">
      <alignment horizontal="center"/>
    </xf>
    <xf numFmtId="0" fontId="3" fillId="4" borderId="54" xfId="0" applyFont="1" applyFill="1" applyBorder="1" applyAlignment="1">
      <alignment horizontal="center"/>
    </xf>
    <xf numFmtId="0" fontId="4" fillId="0" borderId="54" xfId="0" applyFont="1" applyBorder="1"/>
    <xf numFmtId="0" fontId="4" fillId="0" borderId="55" xfId="0" applyFont="1" applyBorder="1"/>
    <xf numFmtId="0" fontId="3" fillId="4" borderId="6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10" fillId="2" borderId="6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10" fillId="2" borderId="6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10" fillId="2" borderId="62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10" fillId="22" borderId="5" xfId="0" applyFont="1" applyFill="1" applyBorder="1" applyAlignment="1">
      <alignment horizontal="center"/>
    </xf>
    <xf numFmtId="0" fontId="15" fillId="33" borderId="2" xfId="0" applyFont="1" applyFill="1" applyBorder="1" applyAlignment="1">
      <alignment horizontal="center" vertical="center"/>
    </xf>
    <xf numFmtId="0" fontId="16" fillId="34" borderId="4" xfId="0" applyFont="1" applyFill="1" applyBorder="1" applyAlignment="1">
      <alignment horizontal="center"/>
    </xf>
    <xf numFmtId="0" fontId="4" fillId="0" borderId="75" xfId="0" applyFont="1" applyBorder="1"/>
    <xf numFmtId="0" fontId="21" fillId="8" borderId="0" xfId="0" applyFont="1" applyFill="1" applyAlignment="1">
      <alignment horizontal="center"/>
    </xf>
    <xf numFmtId="0" fontId="0" fillId="0" borderId="0" xfId="0" applyFont="1" applyAlignment="1"/>
    <xf numFmtId="0" fontId="11" fillId="12" borderId="46" xfId="0" applyFont="1" applyFill="1" applyBorder="1" applyAlignment="1">
      <alignment horizontal="center" vertical="top"/>
    </xf>
    <xf numFmtId="0" fontId="4" fillId="0" borderId="76" xfId="0" applyFont="1" applyBorder="1"/>
    <xf numFmtId="0" fontId="4" fillId="0" borderId="44" xfId="0" applyFont="1" applyBorder="1"/>
    <xf numFmtId="0" fontId="4" fillId="0" borderId="77" xfId="0" applyFont="1" applyBorder="1"/>
    <xf numFmtId="0" fontId="11" fillId="35" borderId="46" xfId="0" applyFont="1" applyFill="1" applyBorder="1" applyAlignment="1">
      <alignment horizontal="left" vertical="top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4" fillId="0" borderId="80" xfId="0" applyFont="1" applyBorder="1"/>
    <xf numFmtId="0" fontId="14" fillId="2" borderId="62" xfId="0" applyFont="1" applyFill="1" applyBorder="1" applyAlignment="1">
      <alignment horizontal="center" vertical="center" wrapText="1"/>
    </xf>
    <xf numFmtId="0" fontId="4" fillId="0" borderId="81" xfId="0" applyFont="1" applyBorder="1"/>
    <xf numFmtId="0" fontId="23" fillId="22" borderId="5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32" fillId="0" borderId="0" xfId="1"/>
    <xf numFmtId="44" fontId="0" fillId="0" borderId="0" xfId="2" applyFont="1"/>
    <xf numFmtId="0" fontId="33" fillId="0" borderId="0" xfId="1" applyFont="1" applyAlignment="1">
      <alignment horizontal="center" vertical="center"/>
    </xf>
    <xf numFmtId="44" fontId="33" fillId="36" borderId="0" xfId="2" applyFont="1" applyFill="1" applyAlignment="1">
      <alignment horizontal="center" vertical="center"/>
    </xf>
    <xf numFmtId="0" fontId="33" fillId="36" borderId="0" xfId="1" applyFont="1" applyFill="1" applyAlignment="1">
      <alignment horizontal="center" vertical="center"/>
    </xf>
  </cellXfs>
  <cellStyles count="3">
    <cellStyle name="Moneda 2" xfId="2" xr:uid="{67EF5A52-4CFB-4083-B8C7-59D44B3E31B0}"/>
    <cellStyle name="Normal" xfId="0" builtinId="0"/>
    <cellStyle name="Normal 2" xfId="1" xr:uid="{DE617BCB-6F40-43A5-AC21-87448939BE60}"/>
  </cellStyles>
  <dxfs count="4"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FEFEF"/>
          <bgColor rgb="FFEFEFEF"/>
        </patternFill>
      </fill>
    </dxf>
  </dxfs>
  <tableStyles count="1">
    <tableStyle name="BANCO DE LECHE-style" pivot="0" count="2" xr9:uid="{00000000-0011-0000-FFFF-FFFF00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5:AI19" headerRowCount="0">
  <tableColumns count="3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</tableColumns>
  <tableStyleInfo name="BANCO DE LECH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AI9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/>
  <cols>
    <col min="1" max="1" width="10.5703125" customWidth="1"/>
    <col min="2" max="2" width="43.42578125" customWidth="1"/>
    <col min="3" max="3" width="6.42578125" customWidth="1"/>
    <col min="4" max="4" width="4.42578125" customWidth="1"/>
    <col min="5" max="34" width="3.85546875" customWidth="1"/>
    <col min="35" max="35" width="6.42578125" customWidth="1"/>
  </cols>
  <sheetData>
    <row r="1" spans="1:35" ht="15.75" customHeight="1">
      <c r="A1" s="600"/>
      <c r="B1" s="600" t="s">
        <v>0</v>
      </c>
      <c r="C1" s="602" t="s">
        <v>1</v>
      </c>
      <c r="D1" s="600">
        <v>1</v>
      </c>
      <c r="E1" s="600">
        <v>2</v>
      </c>
      <c r="F1" s="600">
        <v>3</v>
      </c>
      <c r="G1" s="600">
        <v>4</v>
      </c>
      <c r="H1" s="600">
        <v>5</v>
      </c>
      <c r="I1" s="600">
        <v>6</v>
      </c>
      <c r="J1" s="600">
        <v>7</v>
      </c>
      <c r="K1" s="600">
        <v>8</v>
      </c>
      <c r="L1" s="600">
        <v>9</v>
      </c>
      <c r="M1" s="600">
        <v>10</v>
      </c>
      <c r="N1" s="600">
        <v>11</v>
      </c>
      <c r="O1" s="600">
        <v>12</v>
      </c>
      <c r="P1" s="600">
        <v>13</v>
      </c>
      <c r="Q1" s="600">
        <v>14</v>
      </c>
      <c r="R1" s="600">
        <v>15</v>
      </c>
      <c r="S1" s="600">
        <v>16</v>
      </c>
      <c r="T1" s="600">
        <v>17</v>
      </c>
      <c r="U1" s="600">
        <v>18</v>
      </c>
      <c r="V1" s="600">
        <v>19</v>
      </c>
      <c r="W1" s="600">
        <v>20</v>
      </c>
      <c r="X1" s="600">
        <v>21</v>
      </c>
      <c r="Y1" s="600">
        <v>22</v>
      </c>
      <c r="Z1" s="600">
        <v>23</v>
      </c>
      <c r="AA1" s="600">
        <v>24</v>
      </c>
      <c r="AB1" s="600">
        <v>25</v>
      </c>
      <c r="AC1" s="600">
        <v>26</v>
      </c>
      <c r="AD1" s="600">
        <v>27</v>
      </c>
      <c r="AE1" s="600">
        <v>28</v>
      </c>
      <c r="AF1" s="600">
        <v>29</v>
      </c>
      <c r="AG1" s="600">
        <v>30</v>
      </c>
      <c r="AH1" s="600">
        <v>31</v>
      </c>
      <c r="AI1" s="603" t="s">
        <v>3</v>
      </c>
    </row>
    <row r="2" spans="1:35" ht="18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4"/>
    </row>
    <row r="3" spans="1:35" ht="18.75" customHeight="1">
      <c r="A3" s="613" t="s">
        <v>4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14"/>
    </row>
    <row r="4" spans="1:35" ht="15.75" customHeight="1">
      <c r="A4" s="3">
        <v>2212004001</v>
      </c>
      <c r="B4" s="4" t="s">
        <v>5</v>
      </c>
      <c r="C4" s="5" t="s">
        <v>6</v>
      </c>
      <c r="D4" s="7">
        <f>SUM(PACIENTES!D4+COMEDOR!D4+JORNADA!N4+'DIETOLOGÍA(S)'!D4)</f>
        <v>0</v>
      </c>
      <c r="E4" s="7">
        <f>SUM(PACIENTES!E4+COMEDOR!E4+JORNADA!E4+'DIETOLOGÍA(S)'!E4)</f>
        <v>0</v>
      </c>
      <c r="F4" s="7">
        <f>SUM(PACIENTES!F4+COMEDOR!F4+JORNADA!F4+'DIETOLOGÍA(S)'!F4)</f>
        <v>0</v>
      </c>
      <c r="G4" s="7">
        <f>SUM(PACIENTES!G4+COMEDOR!G4+JORNADA!G4+'DIETOLOGÍA(S)'!G4)</f>
        <v>0</v>
      </c>
      <c r="H4" s="7">
        <f>SUM(PACIENTES!H4+COMEDOR!H4+JORNADA!H4+'DIETOLOGÍA(S)'!H4)</f>
        <v>0</v>
      </c>
      <c r="I4" s="7">
        <f>SUM(PACIENTES!I4+COMEDOR!I4+JORNADA!I4+'DIETOLOGÍA(S)'!I4)</f>
        <v>0</v>
      </c>
      <c r="J4" s="7">
        <f>SUM(PACIENTES!J4+COMEDOR!J4+JORNADA!J4+'DIETOLOGÍA(S)'!J4)</f>
        <v>1</v>
      </c>
      <c r="K4" s="7">
        <f>SUM(PACIENTES!K4+COMEDOR!K4+JORNADA!K4+'DIETOLOGÍA(S)'!K4)</f>
        <v>0</v>
      </c>
      <c r="L4" s="7">
        <f>SUM(PACIENTES!L4+COMEDOR!L4+JORNADA!L4+'DIETOLOGÍA(S)'!L4)</f>
        <v>0</v>
      </c>
      <c r="M4" s="7">
        <f>SUM(PACIENTES!M4+COMEDOR!M4+JORNADA!M4+'DIETOLOGÍA(S)'!M4)</f>
        <v>0</v>
      </c>
      <c r="N4" s="7">
        <f>SUM(PACIENTES!N4+COMEDOR!N4+JORNADA!N4+'DIETOLOGÍA(S)'!N4)</f>
        <v>0</v>
      </c>
      <c r="O4" s="7">
        <f>SUM(PACIENTES!O4+COMEDOR!O4+JORNADA!O4+'DIETOLOGÍA(S)'!O4)</f>
        <v>0</v>
      </c>
      <c r="P4" s="7">
        <f>SUM(PACIENTES!P4+COMEDOR!P4+JORNADA!P4+'DIETOLOGÍA(S)'!P4)</f>
        <v>0</v>
      </c>
      <c r="Q4" s="7">
        <f>SUM(PACIENTES!Q4+COMEDOR!Q4+JORNADA!Q4+'DIETOLOGÍA(S)'!Q4)</f>
        <v>0</v>
      </c>
      <c r="R4" s="7">
        <f>SUM(PACIENTES!R4+COMEDOR!R4+JORNADA!R4+'DIETOLOGÍA(S)'!R4)</f>
        <v>0</v>
      </c>
      <c r="S4" s="7">
        <f>SUM(PACIENTES!S4+COMEDOR!S4+JORNADA!S4+'DIETOLOGÍA(S)'!S4)</f>
        <v>0</v>
      </c>
      <c r="T4" s="7">
        <f>SUM(PACIENTES!T4+COMEDOR!T4+JORNADA!T4+'DIETOLOGÍA(S)'!T4)</f>
        <v>0</v>
      </c>
      <c r="U4" s="7">
        <f>SUM(PACIENTES!U4+COMEDOR!U4+JORNADA!U4+'DIETOLOGÍA(S)'!U4)</f>
        <v>0</v>
      </c>
      <c r="V4" s="7">
        <f>SUM(PACIENTES!V4+COMEDOR!V4+JORNADA!V4+'DIETOLOGÍA(S)'!V4)</f>
        <v>0</v>
      </c>
      <c r="W4" s="7">
        <f>SUM(PACIENTES!W4+COMEDOR!W4+JORNADA!W4+'DIETOLOGÍA(S)'!W4)</f>
        <v>0</v>
      </c>
      <c r="X4" s="7">
        <f>SUM(PACIENTES!X4+COMEDOR!X4+JORNADA!X4+'DIETOLOGÍA(S)'!X4)</f>
        <v>1</v>
      </c>
      <c r="Y4" s="7">
        <f>SUM(PACIENTES!Y4+COMEDOR!Y4+JORNADA!Y4+'DIETOLOGÍA(S)'!Y4)</f>
        <v>0</v>
      </c>
      <c r="Z4" s="7">
        <f>SUM(PACIENTES!Z4+COMEDOR!Z4+JORNADA!Z4+'DIETOLOGÍA(S)'!Z4)</f>
        <v>0</v>
      </c>
      <c r="AA4" s="7">
        <f>SUM(PACIENTES!AA4+COMEDOR!AA4+JORNADA!AA4+'DIETOLOGÍA(S)'!AA4)</f>
        <v>0</v>
      </c>
      <c r="AB4" s="7">
        <f>SUM(PACIENTES!AB4+COMEDOR!AB4+JORNADA!AB4+'DIETOLOGÍA(S)'!AB4)</f>
        <v>0</v>
      </c>
      <c r="AC4" s="7">
        <f>SUM(PACIENTES!AC4+COMEDOR!AC4+JORNADA!AC4+'DIETOLOGÍA(S)'!AC4)</f>
        <v>0</v>
      </c>
      <c r="AD4" s="7">
        <f>SUM(PACIENTES!AD4+COMEDOR!AD4+JORNADA!AD4+'DIETOLOGÍA(S)'!AD4)</f>
        <v>0</v>
      </c>
      <c r="AE4" s="7">
        <f>SUM(PACIENTES!AE4+COMEDOR!AE4+JORNADA!AE4+'DIETOLOGÍA(S)'!AE4)</f>
        <v>0</v>
      </c>
      <c r="AF4" s="7">
        <f>SUM(PACIENTES!AF4+COMEDOR!AF4+JORNADA!AF4+'DIETOLOGÍA(S)'!AF4)</f>
        <v>0</v>
      </c>
      <c r="AG4" s="7">
        <f>SUM(PACIENTES!AG4+COMEDOR!AG4+JORNADA!AG4+'DIETOLOGÍA(S)'!AG4)</f>
        <v>0</v>
      </c>
      <c r="AH4" s="7">
        <f>SUM(PACIENTES!AH4+COMEDOR!AH4+JORNADA!AH4+'DIETOLOGÍA(S)'!AH4)</f>
        <v>0</v>
      </c>
      <c r="AI4" s="9">
        <f t="shared" ref="AI4:AI34" si="0">SUM(D4:AH4)</f>
        <v>2</v>
      </c>
    </row>
    <row r="5" spans="1:35" ht="15.75" customHeight="1">
      <c r="A5" s="10">
        <v>2212004002</v>
      </c>
      <c r="B5" s="11" t="s">
        <v>7</v>
      </c>
      <c r="C5" s="12" t="s">
        <v>8</v>
      </c>
      <c r="D5" s="7">
        <f>SUM(PACIENTES!D5+COMEDOR!D5+JORNADA!N5+'DIETOLOGÍA(S)'!D5)</f>
        <v>0</v>
      </c>
      <c r="E5" s="7">
        <f>SUM(PACIENTES!E5+COMEDOR!E5+JORNADA!E5+'DIETOLOGÍA(S)'!E5)</f>
        <v>0</v>
      </c>
      <c r="F5" s="7">
        <f>SUM(PACIENTES!F5+COMEDOR!F5+JORNADA!F5+'DIETOLOGÍA(S)'!F5)</f>
        <v>0</v>
      </c>
      <c r="G5" s="7">
        <f>SUM(PACIENTES!G5+COMEDOR!G5+JORNADA!G5+'DIETOLOGÍA(S)'!G5)</f>
        <v>0</v>
      </c>
      <c r="H5" s="7">
        <f>SUM(PACIENTES!H5+COMEDOR!H5+JORNADA!H5+'DIETOLOGÍA(S)'!H5)</f>
        <v>0</v>
      </c>
      <c r="I5" s="7">
        <f>SUM(PACIENTES!I5+COMEDOR!I5+JORNADA!I5+'DIETOLOGÍA(S)'!I5)</f>
        <v>0</v>
      </c>
      <c r="J5" s="7">
        <f>SUM(PACIENTES!J5+COMEDOR!J5+JORNADA!J5+'DIETOLOGÍA(S)'!J5)</f>
        <v>0</v>
      </c>
      <c r="K5" s="7">
        <f>SUM(PACIENTES!K5+COMEDOR!K5+JORNADA!K5+'DIETOLOGÍA(S)'!K5)</f>
        <v>0</v>
      </c>
      <c r="L5" s="7">
        <f>SUM(PACIENTES!L5+COMEDOR!L5+JORNADA!L5+'DIETOLOGÍA(S)'!L5)</f>
        <v>0</v>
      </c>
      <c r="M5" s="7">
        <f>SUM(PACIENTES!M5+COMEDOR!M5+JORNADA!M5+'DIETOLOGÍA(S)'!M5)</f>
        <v>0</v>
      </c>
      <c r="N5" s="7">
        <f>SUM(PACIENTES!N5+COMEDOR!N5+JORNADA!N5+'DIETOLOGÍA(S)'!N5)</f>
        <v>0</v>
      </c>
      <c r="O5" s="7">
        <f>SUM(PACIENTES!O5+COMEDOR!O5+JORNADA!O5+'DIETOLOGÍA(S)'!O5)</f>
        <v>0</v>
      </c>
      <c r="P5" s="7">
        <f>SUM(PACIENTES!P5+COMEDOR!P5+JORNADA!P5+'DIETOLOGÍA(S)'!P5)</f>
        <v>0</v>
      </c>
      <c r="Q5" s="7">
        <f>SUM(PACIENTES!Q5+COMEDOR!Q5+JORNADA!Q5+'DIETOLOGÍA(S)'!Q5)</f>
        <v>0</v>
      </c>
      <c r="R5" s="7">
        <f>SUM(PACIENTES!R5+COMEDOR!R5+JORNADA!R5+'DIETOLOGÍA(S)'!R5)</f>
        <v>0</v>
      </c>
      <c r="S5" s="7">
        <f>SUM(PACIENTES!S5+COMEDOR!S5+JORNADA!S5+'DIETOLOGÍA(S)'!S5)</f>
        <v>0</v>
      </c>
      <c r="T5" s="7">
        <f>SUM(PACIENTES!T5+COMEDOR!T5+JORNADA!T5+'DIETOLOGÍA(S)'!T5)</f>
        <v>0</v>
      </c>
      <c r="U5" s="7">
        <f>SUM(PACIENTES!U5+COMEDOR!U5+JORNADA!U5+'DIETOLOGÍA(S)'!U5)</f>
        <v>0</v>
      </c>
      <c r="V5" s="7">
        <f>SUM(PACIENTES!V5+COMEDOR!V5+JORNADA!V5+'DIETOLOGÍA(S)'!V5)</f>
        <v>0</v>
      </c>
      <c r="W5" s="7">
        <f>SUM(PACIENTES!W5+COMEDOR!W5+JORNADA!W5+'DIETOLOGÍA(S)'!W5)</f>
        <v>0</v>
      </c>
      <c r="X5" s="7">
        <f>SUM(PACIENTES!X5+COMEDOR!X5+JORNADA!X5+'DIETOLOGÍA(S)'!X5)</f>
        <v>0</v>
      </c>
      <c r="Y5" s="7">
        <f>SUM(PACIENTES!Y5+COMEDOR!Y5+JORNADA!Y5+'DIETOLOGÍA(S)'!Y5)</f>
        <v>0</v>
      </c>
      <c r="Z5" s="7">
        <f>SUM(PACIENTES!Z5+COMEDOR!Z5+JORNADA!Z5+'DIETOLOGÍA(S)'!Z5)</f>
        <v>0</v>
      </c>
      <c r="AA5" s="7">
        <f>SUM(PACIENTES!AA5+COMEDOR!AA5+JORNADA!AA5+'DIETOLOGÍA(S)'!AA5)</f>
        <v>0</v>
      </c>
      <c r="AB5" s="7">
        <f>SUM(PACIENTES!AB5+COMEDOR!AB5+JORNADA!AB5+'DIETOLOGÍA(S)'!AB5)</f>
        <v>0</v>
      </c>
      <c r="AC5" s="7">
        <f>SUM(PACIENTES!AC5+COMEDOR!AC5+JORNADA!AC5+'DIETOLOGÍA(S)'!AC5)</f>
        <v>0</v>
      </c>
      <c r="AD5" s="7">
        <f>SUM(PACIENTES!AD5+COMEDOR!AD5+JORNADA!AD5+'DIETOLOGÍA(S)'!AD5)</f>
        <v>0</v>
      </c>
      <c r="AE5" s="7">
        <f>SUM(PACIENTES!AE5+COMEDOR!AE5+JORNADA!AE5+'DIETOLOGÍA(S)'!AE5)</f>
        <v>0</v>
      </c>
      <c r="AF5" s="7">
        <f>SUM(PACIENTES!AF5+COMEDOR!AF5+JORNADA!AF5+'DIETOLOGÍA(S)'!AF5)</f>
        <v>0</v>
      </c>
      <c r="AG5" s="7">
        <f>SUM(PACIENTES!AG5+COMEDOR!AG5+JORNADA!AG5+'DIETOLOGÍA(S)'!AG5)</f>
        <v>0</v>
      </c>
      <c r="AH5" s="7">
        <f>SUM(PACIENTES!AH5+COMEDOR!AH5+JORNADA!AH5+'DIETOLOGÍA(S)'!AH5)</f>
        <v>0</v>
      </c>
      <c r="AI5" s="9">
        <f t="shared" si="0"/>
        <v>0</v>
      </c>
    </row>
    <row r="6" spans="1:35" ht="15.75" customHeight="1">
      <c r="A6" s="10">
        <v>2212004003</v>
      </c>
      <c r="B6" s="11" t="s">
        <v>9</v>
      </c>
      <c r="C6" s="12" t="s">
        <v>6</v>
      </c>
      <c r="D6" s="7">
        <f>SUM(PACIENTES!D6+COMEDOR!D6+JORNADA!D6+'DIETOLOGÍA(S)'!D6)</f>
        <v>0</v>
      </c>
      <c r="E6" s="7">
        <f>SUM(PACIENTES!E6+COMEDOR!E6+JORNADA!E6+'DIETOLOGÍA(S)'!E6)</f>
        <v>0</v>
      </c>
      <c r="F6" s="7">
        <f>SUM(PACIENTES!F7+COMEDOR!F7+JORNADA!F7+'DIETOLOGÍA(S)'!F7)</f>
        <v>0</v>
      </c>
      <c r="G6" s="7">
        <f>SUM(PACIENTES!G6+COMEDOR!G6+JORNADA!G6+'DIETOLOGÍA(S)'!G6)</f>
        <v>0</v>
      </c>
      <c r="H6" s="7">
        <f>SUM(PACIENTES!H6+COMEDOR!H6+JORNADA!H6+'DIETOLOGÍA(S)'!H6)</f>
        <v>0</v>
      </c>
      <c r="I6" s="7">
        <f>SUM(PACIENTES!I6+COMEDOR!I6+JORNADA!I6+'DIETOLOGÍA(S)'!I6)</f>
        <v>0</v>
      </c>
      <c r="J6" s="7">
        <f>SUM(PACIENTES!J6+COMEDOR!J6+JORNADA!J6+'DIETOLOGÍA(S)'!J6)</f>
        <v>0</v>
      </c>
      <c r="K6" s="7">
        <f>SUM(PACIENTES!K6+COMEDOR!K6+JORNADA!K6+'DIETOLOGÍA(S)'!K6)</f>
        <v>0</v>
      </c>
      <c r="L6" s="7">
        <f>SUM(PACIENTES!L6+COMEDOR!L6+JORNADA!L6+'DIETOLOGÍA(S)'!L6)</f>
        <v>0</v>
      </c>
      <c r="M6" s="7">
        <f>SUM(PACIENTES!M6+COMEDOR!M6+JORNADA!M6+'DIETOLOGÍA(S)'!M6)</f>
        <v>0</v>
      </c>
      <c r="N6" s="7">
        <f>SUM(PACIENTES!N6+COMEDOR!N6+JORNADA!N6+'DIETOLOGÍA(S)'!N6)</f>
        <v>0</v>
      </c>
      <c r="O6" s="7">
        <f>SUM(PACIENTES!O6+COMEDOR!O6+JORNADA!O6+'DIETOLOGÍA(S)'!O6)</f>
        <v>0</v>
      </c>
      <c r="P6" s="7">
        <f>SUM(PACIENTES!P6+COMEDOR!P6+JORNADA!P6+'DIETOLOGÍA(S)'!P6)</f>
        <v>0</v>
      </c>
      <c r="Q6" s="7">
        <f>SUM(PACIENTES!Q6+COMEDOR!Q6+JORNADA!Q6+'DIETOLOGÍA(S)'!Q6)</f>
        <v>0</v>
      </c>
      <c r="R6" s="7">
        <f>SUM(PACIENTES!R6+COMEDOR!R6+JORNADA!R6+'DIETOLOGÍA(S)'!R6)</f>
        <v>0</v>
      </c>
      <c r="S6" s="7">
        <f>SUM(PACIENTES!S6+COMEDOR!S6+JORNADA!S6+'DIETOLOGÍA(S)'!S6)</f>
        <v>0</v>
      </c>
      <c r="T6" s="7">
        <f>SUM(PACIENTES!T6+COMEDOR!T6+JORNADA!T6+'DIETOLOGÍA(S)'!T6)</f>
        <v>0</v>
      </c>
      <c r="U6" s="7">
        <f>SUM(PACIENTES!U6+COMEDOR!U6+JORNADA!U6+'DIETOLOGÍA(S)'!U6)</f>
        <v>0</v>
      </c>
      <c r="V6" s="7">
        <f>SUM(PACIENTES!V6+COMEDOR!V6+JORNADA!V6+'DIETOLOGÍA(S)'!V6)</f>
        <v>0</v>
      </c>
      <c r="W6" s="7">
        <f>SUM(PACIENTES!W6+COMEDOR!W6+JORNADA!W6+'DIETOLOGÍA(S)'!W6)</f>
        <v>0</v>
      </c>
      <c r="X6" s="7">
        <f>SUM(PACIENTES!X6+COMEDOR!X6+JORNADA!X6+'DIETOLOGÍA(S)'!X6)</f>
        <v>0</v>
      </c>
      <c r="Y6" s="7">
        <f>SUM(PACIENTES!Y6+COMEDOR!Y6+JORNADA!Y6+'DIETOLOGÍA(S)'!Y6)</f>
        <v>0</v>
      </c>
      <c r="Z6" s="7">
        <f>SUM(PACIENTES!Z6+COMEDOR!Z6+JORNADA!Z6+'DIETOLOGÍA(S)'!Z6)</f>
        <v>0</v>
      </c>
      <c r="AA6" s="7">
        <f>SUM(PACIENTES!AA6+COMEDOR!AA6+JORNADA!AA6+'DIETOLOGÍA(S)'!AA6)</f>
        <v>0</v>
      </c>
      <c r="AB6" s="7">
        <f>SUM(PACIENTES!AB6+COMEDOR!AB6+JORNADA!AB6+'DIETOLOGÍA(S)'!AB6)</f>
        <v>0</v>
      </c>
      <c r="AC6" s="7">
        <f>SUM(PACIENTES!AC6+COMEDOR!AC6+JORNADA!AC6+'DIETOLOGÍA(S)'!AC6)</f>
        <v>0</v>
      </c>
      <c r="AD6" s="7">
        <f>SUM(PACIENTES!AD6+COMEDOR!AD6+JORNADA!AD6+'DIETOLOGÍA(S)'!AD6)</f>
        <v>0</v>
      </c>
      <c r="AE6" s="7">
        <f>SUM(PACIENTES!AE6+COMEDOR!AE6+JORNADA!AE6+'DIETOLOGÍA(S)'!AE6)</f>
        <v>0</v>
      </c>
      <c r="AF6" s="7">
        <f>SUM(PACIENTES!AF6+COMEDOR!AF6+JORNADA!AF6+'DIETOLOGÍA(S)'!AF6)</f>
        <v>0</v>
      </c>
      <c r="AG6" s="7">
        <f>SUM(PACIENTES!AG6+COMEDOR!AG6+JORNADA!AG6+'DIETOLOGÍA(S)'!AG6)</f>
        <v>0</v>
      </c>
      <c r="AH6" s="7">
        <f>SUM(PACIENTES!AH6+COMEDOR!AH6+JORNADA!AH6+'DIETOLOGÍA(S)'!AH6)</f>
        <v>0</v>
      </c>
      <c r="AI6" s="9">
        <f t="shared" si="0"/>
        <v>0</v>
      </c>
    </row>
    <row r="7" spans="1:35" ht="15.75" customHeight="1">
      <c r="A7" s="10">
        <v>2212004004</v>
      </c>
      <c r="B7" s="11" t="s">
        <v>10</v>
      </c>
      <c r="C7" s="12" t="s">
        <v>6</v>
      </c>
      <c r="D7" s="7">
        <f>SUM(PACIENTES!D7+COMEDOR!D7+JORNADA!D7+'DIETOLOGÍA(S)'!D7)</f>
        <v>30</v>
      </c>
      <c r="E7" s="7">
        <f>SUM(PACIENTES!E7+COMEDOR!E7+JORNADA!E7+'DIETOLOGÍA(S)'!E7)</f>
        <v>70</v>
      </c>
      <c r="F7" s="7">
        <f>SUM(PACIENTES!F7+COMEDOR!F7+JORNADA!F7+'DIETOLOGÍA(S)'!F7)</f>
        <v>0</v>
      </c>
      <c r="G7" s="7">
        <f>SUM(PACIENTES!G7+COMEDOR!G7+JORNADA!G7+'DIETOLOGÍA(S)'!G7)</f>
        <v>40</v>
      </c>
      <c r="H7" s="7">
        <f>SUM(PACIENTES!H7+COMEDOR!H7+JORNADA!H7+'DIETOLOGÍA(S)'!H7)</f>
        <v>0</v>
      </c>
      <c r="I7" s="7">
        <f>SUM(PACIENTES!I7+COMEDOR!I7+JORNADA!I7+'DIETOLOGÍA(S)'!I7)</f>
        <v>2</v>
      </c>
      <c r="J7" s="7">
        <f>SUM(PACIENTES!J7+COMEDOR!J7+JORNADA!J7+'DIETOLOGÍA(S)'!J7)</f>
        <v>1</v>
      </c>
      <c r="K7" s="7">
        <f>SUM(PACIENTES!K7+COMEDOR!K7+JORNADA!K7+'DIETOLOGÍA(S)'!K7)</f>
        <v>0</v>
      </c>
      <c r="L7" s="7">
        <f>SUM(PACIENTES!L7+COMEDOR!L7+JORNADA!L7+'DIETOLOGÍA(S)'!L7)</f>
        <v>0</v>
      </c>
      <c r="M7" s="7">
        <f>SUM(PACIENTES!M7+COMEDOR!M7+JORNADA!M7+'DIETOLOGÍA(S)'!M7)</f>
        <v>0</v>
      </c>
      <c r="N7" s="7">
        <f>SUM(PACIENTES!N7+COMEDOR!N7+JORNADA!N7+'DIETOLOGÍA(S)'!N7)</f>
        <v>0</v>
      </c>
      <c r="O7" s="7">
        <f>SUM(PACIENTES!O7+COMEDOR!O7+JORNADA!O7+'DIETOLOGÍA(S)'!O7)</f>
        <v>0</v>
      </c>
      <c r="P7" s="7">
        <f>SUM(PACIENTES!P7+COMEDOR!P7+JORNADA!P7+'DIETOLOGÍA(S)'!P7)</f>
        <v>31</v>
      </c>
      <c r="Q7" s="7">
        <f>SUM(PACIENTES!Q7+COMEDOR!Q7+JORNADA!Q7+'DIETOLOGÍA(S)'!Q7)</f>
        <v>0</v>
      </c>
      <c r="R7" s="7">
        <f>SUM(PACIENTES!R7+COMEDOR!R7+JORNADA!R7+'DIETOLOGÍA(S)'!R7)</f>
        <v>0</v>
      </c>
      <c r="S7" s="7">
        <f>SUM(PACIENTES!S7+COMEDOR!S7+JORNADA!S7+'DIETOLOGÍA(S)'!S7)</f>
        <v>0</v>
      </c>
      <c r="T7" s="7">
        <f>SUM(PACIENTES!T7+COMEDOR!T7+JORNADA!T7+'DIETOLOGÍA(S)'!T7)</f>
        <v>0</v>
      </c>
      <c r="U7" s="7">
        <f>SUM(PACIENTES!U7+COMEDOR!U7+JORNADA!U7+'DIETOLOGÍA(S)'!U7)</f>
        <v>30</v>
      </c>
      <c r="V7" s="7">
        <f>SUM(PACIENTES!V7+COMEDOR!V7+JORNADA!V7+'DIETOLOGÍA(S)'!V7)</f>
        <v>0</v>
      </c>
      <c r="W7" s="7">
        <f>SUM(PACIENTES!W7+COMEDOR!W7+JORNADA!W7+'DIETOLOGÍA(S)'!W7)</f>
        <v>1</v>
      </c>
      <c r="X7" s="7">
        <f>SUM(PACIENTES!X7+COMEDOR!X7+JORNADA!X7+'DIETOLOGÍA(S)'!X7)</f>
        <v>1</v>
      </c>
      <c r="Y7" s="7">
        <f>SUM(PACIENTES!Y7+COMEDOR!Y7+JORNADA!Y7+'DIETOLOGÍA(S)'!Y7)</f>
        <v>0</v>
      </c>
      <c r="Z7" s="7">
        <f>SUM(PACIENTES!Z7+COMEDOR!Z7+JORNADA!Z7+'DIETOLOGÍA(S)'!Z7)</f>
        <v>0</v>
      </c>
      <c r="AA7" s="7">
        <f>SUM(PACIENTES!AA7+COMEDOR!AA7+JORNADA!AA7+'DIETOLOGÍA(S)'!AA7)</f>
        <v>0</v>
      </c>
      <c r="AB7" s="7">
        <f>SUM(PACIENTES!AB7+COMEDOR!AB7+JORNADA!AB7+'DIETOLOGÍA(S)'!AB7)</f>
        <v>0</v>
      </c>
      <c r="AC7" s="7">
        <f>SUM(PACIENTES!AC7+COMEDOR!AC7+JORNADA!AC7+'DIETOLOGÍA(S)'!AC7)</f>
        <v>30</v>
      </c>
      <c r="AD7" s="7">
        <f>SUM(PACIENTES!AD7+COMEDOR!AD7+JORNADA!AD7+'DIETOLOGÍA(S)'!AD7)</f>
        <v>1</v>
      </c>
      <c r="AE7" s="7">
        <f>SUM(PACIENTES!AE7+COMEDOR!AE7+JORNADA!AE7+'DIETOLOGÍA(S)'!AE7)</f>
        <v>30</v>
      </c>
      <c r="AF7" s="7">
        <f>SUM(PACIENTES!AF7+COMEDOR!AF7+JORNADA!AF7+'DIETOLOGÍA(S)'!AF7)</f>
        <v>0</v>
      </c>
      <c r="AG7" s="7">
        <f>SUM(PACIENTES!AG7+COMEDOR!AG7+JORNADA!AG7+'DIETOLOGÍA(S)'!AG7)</f>
        <v>0</v>
      </c>
      <c r="AH7" s="7">
        <f>SUM(PACIENTES!AH7+COMEDOR!AH7+JORNADA!AH7+'DIETOLOGÍA(S)'!AH7)</f>
        <v>0</v>
      </c>
      <c r="AI7" s="9">
        <f t="shared" si="0"/>
        <v>267</v>
      </c>
    </row>
    <row r="8" spans="1:35" ht="15.75" customHeight="1">
      <c r="A8" s="10">
        <v>2212004005</v>
      </c>
      <c r="B8" s="11" t="s">
        <v>11</v>
      </c>
      <c r="C8" s="12" t="s">
        <v>6</v>
      </c>
      <c r="D8" s="7">
        <f>SUM(PACIENTES!D8+COMEDOR!D8+JORNADA!D8+'DIETOLOGÍA(S)'!D8)</f>
        <v>0</v>
      </c>
      <c r="E8" s="7">
        <f>SUM(PACIENTES!E8+COMEDOR!E8+JORNADA!E8+'DIETOLOGÍA(S)'!E8)</f>
        <v>0</v>
      </c>
      <c r="F8" s="7">
        <f>SUM(PACIENTES!F8+COMEDOR!F8+JORNADA!F8+'DIETOLOGÍA(S)'!F8)</f>
        <v>0</v>
      </c>
      <c r="G8" s="7">
        <f>SUM(PACIENTES!G8+COMEDOR!G8+JORNADA!G8+'DIETOLOGÍA(S)'!G8)</f>
        <v>0</v>
      </c>
      <c r="H8" s="7">
        <f>SUM(PACIENTES!H8+COMEDOR!H8+JORNADA!H8+'DIETOLOGÍA(S)'!H8)</f>
        <v>0</v>
      </c>
      <c r="I8" s="7">
        <f>SUM(PACIENTES!I8+COMEDOR!I8+JORNADA!I8+'DIETOLOGÍA(S)'!I8)</f>
        <v>1</v>
      </c>
      <c r="J8" s="7">
        <f>SUM(PACIENTES!J8+COMEDOR!J8+JORNADA!J8+'DIETOLOGÍA(S)'!J8)</f>
        <v>1</v>
      </c>
      <c r="K8" s="7">
        <f>SUM(PACIENTES!K8+COMEDOR!K8+JORNADA!K8+'DIETOLOGÍA(S)'!K8)</f>
        <v>0</v>
      </c>
      <c r="L8" s="7">
        <f>SUM(PACIENTES!L8+COMEDOR!L8+JORNADA!L8+'DIETOLOGÍA(S)'!L8)</f>
        <v>0</v>
      </c>
      <c r="M8" s="7">
        <f>SUM(PACIENTES!M8+COMEDOR!M8+JORNADA!M8+'DIETOLOGÍA(S)'!M8)</f>
        <v>0</v>
      </c>
      <c r="N8" s="7">
        <f>SUM(PACIENTES!N8+COMEDOR!N8+JORNADA!N8+'DIETOLOGÍA(S)'!N8)</f>
        <v>0</v>
      </c>
      <c r="O8" s="7">
        <f>SUM(PACIENTES!O8+COMEDOR!O8+JORNADA!O8+'DIETOLOGÍA(S)'!O8)</f>
        <v>0</v>
      </c>
      <c r="P8" s="7">
        <f>SUM(PACIENTES!P8+COMEDOR!P8+JORNADA!P8+'DIETOLOGÍA(S)'!P8)</f>
        <v>2</v>
      </c>
      <c r="Q8" s="7">
        <f>SUM(PACIENTES!Q8+COMEDOR!Q8+JORNADA!Q8+'DIETOLOGÍA(S)'!Q8)</f>
        <v>1</v>
      </c>
      <c r="R8" s="7">
        <f>SUM(PACIENTES!R8+COMEDOR!R8+JORNADA!R8+'DIETOLOGÍA(S)'!R8)</f>
        <v>0</v>
      </c>
      <c r="S8" s="7">
        <f>SUM(PACIENTES!S8+COMEDOR!S8+JORNADA!S8+'DIETOLOGÍA(S)'!S8)</f>
        <v>0</v>
      </c>
      <c r="T8" s="7">
        <f>SUM(PACIENTES!T8+COMEDOR!T8+JORNADA!T8+'DIETOLOGÍA(S)'!T8)</f>
        <v>0</v>
      </c>
      <c r="U8" s="7">
        <f>SUM(PACIENTES!U8+COMEDOR!U8+JORNADA!U8+'DIETOLOGÍA(S)'!U8)</f>
        <v>0</v>
      </c>
      <c r="V8" s="7">
        <f>SUM(PACIENTES!V8+COMEDOR!V8+JORNADA!V8+'DIETOLOGÍA(S)'!V8)</f>
        <v>0</v>
      </c>
      <c r="W8" s="7">
        <f>SUM(PACIENTES!W8+COMEDOR!W8+JORNADA!W8+'DIETOLOGÍA(S)'!W8)</f>
        <v>2</v>
      </c>
      <c r="X8" s="7">
        <f>SUM(PACIENTES!X8+COMEDOR!X8+JORNADA!X8+'DIETOLOGÍA(S)'!X8)</f>
        <v>1</v>
      </c>
      <c r="Y8" s="7">
        <f>SUM(PACIENTES!Y8+COMEDOR!Y8+JORNADA!Y8+'DIETOLOGÍA(S)'!Y8)</f>
        <v>0</v>
      </c>
      <c r="Z8" s="7">
        <f>SUM(PACIENTES!Z8+COMEDOR!Z8+JORNADA!Z8+'DIETOLOGÍA(S)'!Z8)</f>
        <v>0</v>
      </c>
      <c r="AA8" s="7">
        <f>SUM(PACIENTES!AA8+COMEDOR!AA8+JORNADA!AA8+'DIETOLOGÍA(S)'!AA8)</f>
        <v>0</v>
      </c>
      <c r="AB8" s="7">
        <f>SUM(PACIENTES!AB8+COMEDOR!AB8+JORNADA!AB8+'DIETOLOGÍA(S)'!AB8)</f>
        <v>0</v>
      </c>
      <c r="AC8" s="7">
        <f>SUM(PACIENTES!AC8+COMEDOR!AC8+JORNADA!AC8+'DIETOLOGÍA(S)'!AC8)</f>
        <v>0</v>
      </c>
      <c r="AD8" s="7">
        <f>SUM(PACIENTES!AD8+COMEDOR!AD8+JORNADA!AD8+'DIETOLOGÍA(S)'!AD8)</f>
        <v>2</v>
      </c>
      <c r="AE8" s="7">
        <f>SUM(PACIENTES!AE8+COMEDOR!AE8+JORNADA!AE8+'DIETOLOGÍA(S)'!AE8)</f>
        <v>1</v>
      </c>
      <c r="AF8" s="7">
        <f>SUM(PACIENTES!AF8+COMEDOR!AF8+JORNADA!AF8+'DIETOLOGÍA(S)'!AF8)</f>
        <v>0</v>
      </c>
      <c r="AG8" s="7">
        <f>SUM(PACIENTES!AG8+COMEDOR!AG8+JORNADA!AG8+'DIETOLOGÍA(S)'!AG8)</f>
        <v>0</v>
      </c>
      <c r="AH8" s="7">
        <f>SUM(PACIENTES!AH8+COMEDOR!AH8+JORNADA!AH8+'DIETOLOGÍA(S)'!AH8)</f>
        <v>0</v>
      </c>
      <c r="AI8" s="9">
        <f t="shared" si="0"/>
        <v>11</v>
      </c>
    </row>
    <row r="9" spans="1:35" ht="15.75" customHeight="1">
      <c r="A9" s="10">
        <v>2212004006</v>
      </c>
      <c r="B9" s="11" t="s">
        <v>12</v>
      </c>
      <c r="C9" s="12" t="s">
        <v>6</v>
      </c>
      <c r="D9" s="7">
        <f>SUM(PACIENTES!D9+COMEDOR!D9+JORNADA!D9+'DIETOLOGÍA(S)'!D9)</f>
        <v>0</v>
      </c>
      <c r="E9" s="7">
        <f>SUM(PACIENTES!E9+COMEDOR!E9+JORNADA!E9+'DIETOLOGÍA(S)'!E9)</f>
        <v>30</v>
      </c>
      <c r="F9" s="7">
        <f>SUM(PACIENTES!F9+COMEDOR!F9+JORNADA!F9+'DIETOLOGÍA(S)'!F9)</f>
        <v>25</v>
      </c>
      <c r="G9" s="7">
        <f>SUM(PACIENTES!G9+COMEDOR!G9+JORNADA!G9+'DIETOLOGÍA(S)'!G9)</f>
        <v>0</v>
      </c>
      <c r="H9" s="7">
        <f>SUM(PACIENTES!H9+COMEDOR!H9+JORNADA!H9+'DIETOLOGÍA(S)'!H9)</f>
        <v>30</v>
      </c>
      <c r="I9" s="7">
        <f>SUM(PACIENTES!I9+COMEDOR!I9+JORNADA!I9+'DIETOLOGÍA(S)'!I9)</f>
        <v>0</v>
      </c>
      <c r="J9" s="7">
        <f>SUM(PACIENTES!J9+COMEDOR!J9+JORNADA!J9+'DIETOLOGÍA(S)'!J9)</f>
        <v>1</v>
      </c>
      <c r="K9" s="7">
        <f>SUM(PACIENTES!K9+COMEDOR!K9+JORNADA!K9+'DIETOLOGÍA(S)'!K9)</f>
        <v>0</v>
      </c>
      <c r="L9" s="7">
        <f>SUM(PACIENTES!L9+COMEDOR!L9+JORNADA!L9+'DIETOLOGÍA(S)'!L9)</f>
        <v>30</v>
      </c>
      <c r="M9" s="7">
        <f>SUM(PACIENTES!M9+COMEDOR!M9+JORNADA!M9+'DIETOLOGÍA(S)'!M9)</f>
        <v>30</v>
      </c>
      <c r="N9" s="7">
        <f>SUM(PACIENTES!N9+COMEDOR!N9+JORNADA!N9+'DIETOLOGÍA(S)'!N9)</f>
        <v>0</v>
      </c>
      <c r="O9" s="7">
        <f>SUM(PACIENTES!O9+COMEDOR!O9+JORNADA!O9+'DIETOLOGÍA(S)'!O9)</f>
        <v>30</v>
      </c>
      <c r="P9" s="7">
        <f>SUM(PACIENTES!P9+COMEDOR!P9+JORNADA!P9+'DIETOLOGÍA(S)'!P9)</f>
        <v>30</v>
      </c>
      <c r="Q9" s="7">
        <f>SUM(PACIENTES!Q9+COMEDOR!Q9+JORNADA!Q9+'DIETOLOGÍA(S)'!Q9)</f>
        <v>1</v>
      </c>
      <c r="R9" s="7">
        <f>SUM(PACIENTES!R9+COMEDOR!R9+JORNADA!R9+'DIETOLOGÍA(S)'!R9)</f>
        <v>0</v>
      </c>
      <c r="S9" s="7">
        <f>SUM(PACIENTES!S9+COMEDOR!S9+JORNADA!S9+'DIETOLOGÍA(S)'!S9)</f>
        <v>0</v>
      </c>
      <c r="T9" s="7">
        <f>SUM(PACIENTES!T9+COMEDOR!T9+JORNADA!T9+'DIETOLOGÍA(S)'!T9)</f>
        <v>30</v>
      </c>
      <c r="U9" s="7">
        <f>SUM(PACIENTES!U9+COMEDOR!U9+JORNADA!U9+'DIETOLOGÍA(S)'!U9)</f>
        <v>0</v>
      </c>
      <c r="V9" s="7">
        <f>SUM(PACIENTES!V9+COMEDOR!V9+JORNADA!V9+'DIETOLOGÍA(S)'!V9)</f>
        <v>0</v>
      </c>
      <c r="W9" s="7">
        <f>SUM(PACIENTES!W9+COMEDOR!W9+JORNADA!W9+'DIETOLOGÍA(S)'!W9)</f>
        <v>30</v>
      </c>
      <c r="X9" s="7">
        <f>SUM(PACIENTES!X9+COMEDOR!X9+JORNADA!X9+'DIETOLOGÍA(S)'!X9)</f>
        <v>1</v>
      </c>
      <c r="Y9" s="7">
        <f>SUM(PACIENTES!Y9+COMEDOR!Y9+JORNADA!Y9+'DIETOLOGÍA(S)'!Y9)</f>
        <v>0</v>
      </c>
      <c r="Z9" s="7">
        <f>SUM(PACIENTES!Z9+COMEDOR!Z9+JORNADA!Z9+'DIETOLOGÍA(S)'!Z9)</f>
        <v>0</v>
      </c>
      <c r="AA9" s="7">
        <f>SUM(PACIENTES!AA9+COMEDOR!AA9+JORNADA!AA9+'DIETOLOGÍA(S)'!AA9)</f>
        <v>0</v>
      </c>
      <c r="AB9" s="7">
        <f>SUM(PACIENTES!AB9+COMEDOR!AB9+JORNADA!AB9+'DIETOLOGÍA(S)'!AB9)</f>
        <v>0</v>
      </c>
      <c r="AC9" s="7">
        <f>SUM(PACIENTES!AC9+COMEDOR!AC9+JORNADA!AC9+'DIETOLOGÍA(S)'!AC9)</f>
        <v>30</v>
      </c>
      <c r="AD9" s="7">
        <f>SUM(PACIENTES!AD9+COMEDOR!AD9+JORNADA!AD9+'DIETOLOGÍA(S)'!AD9)</f>
        <v>30</v>
      </c>
      <c r="AE9" s="7">
        <f>SUM(PACIENTES!AE9+COMEDOR!AE9+JORNADA!AE9+'DIETOLOGÍA(S)'!AE9)</f>
        <v>31</v>
      </c>
      <c r="AF9" s="7">
        <f>SUM(PACIENTES!AF9+COMEDOR!AF9+JORNADA!AF9+'DIETOLOGÍA(S)'!AF9)</f>
        <v>0</v>
      </c>
      <c r="AG9" s="7">
        <f>SUM(PACIENTES!AG9+COMEDOR!AG9+JORNADA!AG9+'DIETOLOGÍA(S)'!AG9)</f>
        <v>0</v>
      </c>
      <c r="AH9" s="7">
        <f>SUM(PACIENTES!AH9+COMEDOR!AH9+JORNADA!AH9+'DIETOLOGÍA(S)'!AH9)</f>
        <v>0</v>
      </c>
      <c r="AI9" s="9">
        <f t="shared" si="0"/>
        <v>359</v>
      </c>
    </row>
    <row r="10" spans="1:35" ht="15.75" customHeight="1">
      <c r="A10" s="10">
        <v>2212004007</v>
      </c>
      <c r="B10" s="11" t="s">
        <v>13</v>
      </c>
      <c r="C10" s="12" t="s">
        <v>6</v>
      </c>
      <c r="D10" s="7">
        <f>SUM(PACIENTES!D10+COMEDOR!D10+JORNADA!D10+'DIETOLOGÍA(S)'!D10)</f>
        <v>0</v>
      </c>
      <c r="E10" s="7">
        <f>SUM(PACIENTES!E10+COMEDOR!E10+JORNADA!E10+'DIETOLOGÍA(S)'!E10)</f>
        <v>0</v>
      </c>
      <c r="F10" s="7">
        <f>SUM(PACIENTES!F10+COMEDOR!F10+JORNADA!F10+'DIETOLOGÍA(S)'!F10)</f>
        <v>0</v>
      </c>
      <c r="G10" s="7">
        <f>SUM(PACIENTES!G10+COMEDOR!G10+JORNADA!G10+'DIETOLOGÍA(S)'!G10)</f>
        <v>0</v>
      </c>
      <c r="H10" s="7">
        <f>SUM(PACIENTES!H10+COMEDOR!H10+JORNADA!H10+'DIETOLOGÍA(S)'!H10)</f>
        <v>0</v>
      </c>
      <c r="I10" s="7">
        <f>SUM(PACIENTES!I10+COMEDOR!I10+JORNADA!I10+'DIETOLOGÍA(S)'!I10)</f>
        <v>2</v>
      </c>
      <c r="J10" s="7">
        <f>SUM(PACIENTES!J10+COMEDOR!J10+JORNADA!J10+'DIETOLOGÍA(S)'!J10)</f>
        <v>2</v>
      </c>
      <c r="K10" s="7">
        <f>SUM(PACIENTES!K10+COMEDOR!K10+JORNADA!K10+'DIETOLOGÍA(S)'!K10)</f>
        <v>0</v>
      </c>
      <c r="L10" s="7">
        <f>SUM(PACIENTES!L10+COMEDOR!L10+JORNADA!L10+'DIETOLOGÍA(S)'!L10)</f>
        <v>0</v>
      </c>
      <c r="M10" s="7">
        <f>SUM(PACIENTES!M10+COMEDOR!M10+JORNADA!M10+'DIETOLOGÍA(S)'!M10)</f>
        <v>0</v>
      </c>
      <c r="N10" s="7">
        <f>SUM(PACIENTES!N10+COMEDOR!N10+JORNADA!N10+'DIETOLOGÍA(S)'!N10)</f>
        <v>0</v>
      </c>
      <c r="O10" s="7">
        <f>SUM(PACIENTES!O10+COMEDOR!O10+JORNADA!O10+'DIETOLOGÍA(S)'!O10)</f>
        <v>0</v>
      </c>
      <c r="P10" s="7">
        <f>SUM(PACIENTES!P10+COMEDOR!P10+JORNADA!P10+'DIETOLOGÍA(S)'!P10)</f>
        <v>2</v>
      </c>
      <c r="Q10" s="7">
        <f>SUM(PACIENTES!Q10+COMEDOR!Q10+JORNADA!Q10+'DIETOLOGÍA(S)'!Q10)</f>
        <v>2</v>
      </c>
      <c r="R10" s="7">
        <f>SUM(PACIENTES!R10+COMEDOR!R10+JORNADA!R10+'DIETOLOGÍA(S)'!R10)</f>
        <v>0</v>
      </c>
      <c r="S10" s="7">
        <f>SUM(PACIENTES!S10+COMEDOR!S10+JORNADA!S10+'DIETOLOGÍA(S)'!S10)</f>
        <v>0</v>
      </c>
      <c r="T10" s="7">
        <f>SUM(PACIENTES!T10+COMEDOR!T10+JORNADA!T10+'DIETOLOGÍA(S)'!T10)</f>
        <v>0</v>
      </c>
      <c r="U10" s="7">
        <f>SUM(PACIENTES!U10+COMEDOR!U10+JORNADA!U10+'DIETOLOGÍA(S)'!U10)</f>
        <v>0</v>
      </c>
      <c r="V10" s="7">
        <f>SUM(PACIENTES!V10+COMEDOR!V10+JORNADA!V10+'DIETOLOGÍA(S)'!V10)</f>
        <v>0</v>
      </c>
      <c r="W10" s="7">
        <f>SUM(PACIENTES!W10+COMEDOR!W10+JORNADA!W10+'DIETOLOGÍA(S)'!W10)</f>
        <v>2</v>
      </c>
      <c r="X10" s="7">
        <f>SUM(PACIENTES!X10+COMEDOR!X10+JORNADA!X10+'DIETOLOGÍA(S)'!X10)</f>
        <v>2</v>
      </c>
      <c r="Y10" s="7">
        <f>SUM(PACIENTES!Y10+COMEDOR!Y10+JORNADA!Y10+'DIETOLOGÍA(S)'!Y10)</f>
        <v>0</v>
      </c>
      <c r="Z10" s="7">
        <f>SUM(PACIENTES!Z10+COMEDOR!Z10+JORNADA!Z10+'DIETOLOGÍA(S)'!Z10)</f>
        <v>0</v>
      </c>
      <c r="AA10" s="7">
        <f>SUM(PACIENTES!AA10+COMEDOR!AA10+JORNADA!AA10+'DIETOLOGÍA(S)'!AA10)</f>
        <v>0</v>
      </c>
      <c r="AB10" s="7">
        <f>SUM(PACIENTES!AB10+COMEDOR!AB10+JORNADA!AB10+'DIETOLOGÍA(S)'!AB10)</f>
        <v>0</v>
      </c>
      <c r="AC10" s="7">
        <f>SUM(PACIENTES!AC10+COMEDOR!AC10+JORNADA!AC10+'DIETOLOGÍA(S)'!AC10)</f>
        <v>0</v>
      </c>
      <c r="AD10" s="7">
        <f>SUM(PACIENTES!AD10+COMEDOR!AD10+JORNADA!AD10+'DIETOLOGÍA(S)'!AD10)</f>
        <v>2</v>
      </c>
      <c r="AE10" s="7">
        <f>SUM(PACIENTES!AE10+COMEDOR!AE10+JORNADA!AE10+'DIETOLOGÍA(S)'!AE10)</f>
        <v>2</v>
      </c>
      <c r="AF10" s="7">
        <f>SUM(PACIENTES!AF10+COMEDOR!AF10+JORNADA!AF10+'DIETOLOGÍA(S)'!AF10)</f>
        <v>0</v>
      </c>
      <c r="AG10" s="7">
        <f>SUM(PACIENTES!AG10+COMEDOR!AG10+JORNADA!AG10+'DIETOLOGÍA(S)'!AG10)</f>
        <v>0</v>
      </c>
      <c r="AH10" s="7">
        <f>SUM(PACIENTES!AH10+COMEDOR!AH10+JORNADA!AH10+'DIETOLOGÍA(S)'!AH10)</f>
        <v>0</v>
      </c>
      <c r="AI10" s="9">
        <f t="shared" si="0"/>
        <v>16</v>
      </c>
    </row>
    <row r="11" spans="1:35" ht="15.75" customHeight="1">
      <c r="A11" s="10">
        <v>2212004008</v>
      </c>
      <c r="B11" s="11" t="s">
        <v>14</v>
      </c>
      <c r="C11" s="12" t="s">
        <v>6</v>
      </c>
      <c r="D11" s="7">
        <f>SUM(PACIENTES!D11+COMEDOR!D11+JORNADA!D11+'DIETOLOGÍA(S)'!D11)</f>
        <v>0</v>
      </c>
      <c r="E11" s="7">
        <f>SUM(PACIENTES!E11+COMEDOR!E11+JORNADA!E11+'DIETOLOGÍA(S)'!E11)</f>
        <v>0</v>
      </c>
      <c r="F11" s="7">
        <f>SUM(PACIENTES!F11+COMEDOR!F11+JORNADA!F11+'DIETOLOGÍA(S)'!F11)</f>
        <v>0</v>
      </c>
      <c r="G11" s="7">
        <f>SUM(PACIENTES!G11+COMEDOR!G11+JORNADA!G11+'DIETOLOGÍA(S)'!G11)</f>
        <v>0</v>
      </c>
      <c r="H11" s="7">
        <f>SUM(PACIENTES!H11+COMEDOR!H11+JORNADA!H11+'DIETOLOGÍA(S)'!H11)</f>
        <v>0</v>
      </c>
      <c r="I11" s="7">
        <f>SUM(PACIENTES!I11+COMEDOR!I11+JORNADA!I11+'DIETOLOGÍA(S)'!I11)</f>
        <v>0</v>
      </c>
      <c r="J11" s="7">
        <f>SUM(PACIENTES!J11+COMEDOR!J11+JORNADA!J11+'DIETOLOGÍA(S)'!J11)</f>
        <v>0</v>
      </c>
      <c r="K11" s="7">
        <f>SUM(PACIENTES!K11+COMEDOR!K11+JORNADA!K11+'DIETOLOGÍA(S)'!K11)</f>
        <v>0</v>
      </c>
      <c r="L11" s="7">
        <f>SUM(PACIENTES!L11+COMEDOR!L11+JORNADA!L11+'DIETOLOGÍA(S)'!L11)</f>
        <v>0</v>
      </c>
      <c r="M11" s="7">
        <f>SUM(PACIENTES!M11+COMEDOR!M11+JORNADA!M11+'DIETOLOGÍA(S)'!M11)</f>
        <v>0</v>
      </c>
      <c r="N11" s="7">
        <f>SUM(PACIENTES!N11+COMEDOR!N11+JORNADA!N11+'DIETOLOGÍA(S)'!N11)</f>
        <v>0</v>
      </c>
      <c r="O11" s="7">
        <f>SUM(PACIENTES!O11+COMEDOR!O11+JORNADA!O11+'DIETOLOGÍA(S)'!O11)</f>
        <v>0</v>
      </c>
      <c r="P11" s="7">
        <f>SUM(PACIENTES!P11+COMEDOR!P11+JORNADA!P11+'DIETOLOGÍA(S)'!P11)</f>
        <v>0</v>
      </c>
      <c r="Q11" s="7">
        <f>SUM(PACIENTES!Q11+COMEDOR!Q11+JORNADA!Q11+'DIETOLOGÍA(S)'!Q11)</f>
        <v>0</v>
      </c>
      <c r="R11" s="7">
        <f>SUM(PACIENTES!R11+COMEDOR!R11+JORNADA!R11+'DIETOLOGÍA(S)'!R11)</f>
        <v>0</v>
      </c>
      <c r="S11" s="7">
        <f>SUM(PACIENTES!S11+COMEDOR!S11+JORNADA!S11+'DIETOLOGÍA(S)'!S11)</f>
        <v>0</v>
      </c>
      <c r="T11" s="7">
        <f>SUM(PACIENTES!T11+COMEDOR!T11+JORNADA!T11+'DIETOLOGÍA(S)'!T11)</f>
        <v>0</v>
      </c>
      <c r="U11" s="7">
        <f>SUM(PACIENTES!U11+COMEDOR!U11+JORNADA!U11+'DIETOLOGÍA(S)'!U11)</f>
        <v>0</v>
      </c>
      <c r="V11" s="7">
        <f>SUM(PACIENTES!V11+COMEDOR!V11+JORNADA!V11+'DIETOLOGÍA(S)'!V11)</f>
        <v>0</v>
      </c>
      <c r="W11" s="7">
        <f>SUM(PACIENTES!W11+COMEDOR!W11+JORNADA!W11+'DIETOLOGÍA(S)'!W11)</f>
        <v>0</v>
      </c>
      <c r="X11" s="7">
        <f>SUM(PACIENTES!X11+COMEDOR!X11+JORNADA!X11+'DIETOLOGÍA(S)'!X11)</f>
        <v>0</v>
      </c>
      <c r="Y11" s="7">
        <f>SUM(PACIENTES!Y11+COMEDOR!Y11+JORNADA!Y11+'DIETOLOGÍA(S)'!Y11)</f>
        <v>0</v>
      </c>
      <c r="Z11" s="7">
        <f>SUM(PACIENTES!Z11+COMEDOR!Z11+JORNADA!Z11+'DIETOLOGÍA(S)'!Z11)</f>
        <v>0</v>
      </c>
      <c r="AA11" s="7">
        <f>SUM(PACIENTES!AA11+COMEDOR!AA11+JORNADA!AA11+'DIETOLOGÍA(S)'!AA11)</f>
        <v>0</v>
      </c>
      <c r="AB11" s="7">
        <f>SUM(PACIENTES!AB11+COMEDOR!AB11+JORNADA!AB11+'DIETOLOGÍA(S)'!AB11)</f>
        <v>0</v>
      </c>
      <c r="AC11" s="7">
        <f>SUM(PACIENTES!AC11+COMEDOR!AC11+JORNADA!AC11+'DIETOLOGÍA(S)'!AC11)</f>
        <v>0</v>
      </c>
      <c r="AD11" s="7">
        <f>SUM(PACIENTES!AD11+COMEDOR!AD11+JORNADA!AD11+'DIETOLOGÍA(S)'!AD11)</f>
        <v>0</v>
      </c>
      <c r="AE11" s="7">
        <f>SUM(PACIENTES!AE11+COMEDOR!AE11+JORNADA!AE11+'DIETOLOGÍA(S)'!AE11)</f>
        <v>0</v>
      </c>
      <c r="AF11" s="7">
        <f>SUM(PACIENTES!AF11+COMEDOR!AF11+JORNADA!AF11+'DIETOLOGÍA(S)'!AF11)</f>
        <v>0</v>
      </c>
      <c r="AG11" s="7">
        <f>SUM(PACIENTES!AG11+COMEDOR!AG11+JORNADA!AG11+'DIETOLOGÍA(S)'!AG11)</f>
        <v>0</v>
      </c>
      <c r="AH11" s="7">
        <f>SUM(PACIENTES!AH11+COMEDOR!AH11+JORNADA!AH11+'DIETOLOGÍA(S)'!AH11)</f>
        <v>0</v>
      </c>
      <c r="AI11" s="9">
        <f t="shared" si="0"/>
        <v>0</v>
      </c>
    </row>
    <row r="12" spans="1:35" ht="15.75" customHeight="1">
      <c r="A12" s="10">
        <v>2212004009</v>
      </c>
      <c r="B12" s="11" t="s">
        <v>15</v>
      </c>
      <c r="C12" s="12" t="s">
        <v>6</v>
      </c>
      <c r="D12" s="7">
        <f>SUM(PACIENTES!D12+COMEDOR!D12+JORNADA!D12+'DIETOLOGÍA(S)'!D12)</f>
        <v>0</v>
      </c>
      <c r="E12" s="7">
        <f>SUM(PACIENTES!E12+COMEDOR!E12+JORNADA!E12+'DIETOLOGÍA(S)'!E12)</f>
        <v>0</v>
      </c>
      <c r="F12" s="7">
        <f>SUM(PACIENTES!F12+COMEDOR!F12+JORNADA!F12+'DIETOLOGÍA(S)'!F12)</f>
        <v>0</v>
      </c>
      <c r="G12" s="7">
        <f>SUM(PACIENTES!G12+COMEDOR!G12+JORNADA!G12+'DIETOLOGÍA(S)'!G12)</f>
        <v>0</v>
      </c>
      <c r="H12" s="7">
        <f>SUM(PACIENTES!H12+COMEDOR!H12+JORNADA!H12+'DIETOLOGÍA(S)'!H12)</f>
        <v>0</v>
      </c>
      <c r="I12" s="7">
        <f>SUM(PACIENTES!I12+COMEDOR!I12+JORNADA!I12+'DIETOLOGÍA(S)'!I12)</f>
        <v>0</v>
      </c>
      <c r="J12" s="7">
        <f>SUM(PACIENTES!J12+COMEDOR!J12+JORNADA!J12+'DIETOLOGÍA(S)'!J12)</f>
        <v>2</v>
      </c>
      <c r="K12" s="7">
        <f>SUM(PACIENTES!K12+COMEDOR!K12+JORNADA!K12+'DIETOLOGÍA(S)'!K12)</f>
        <v>0</v>
      </c>
      <c r="L12" s="7">
        <f>SUM(PACIENTES!L12+COMEDOR!L12+JORNADA!L12+'DIETOLOGÍA(S)'!L12)</f>
        <v>0</v>
      </c>
      <c r="M12" s="7">
        <f>SUM(PACIENTES!M12+COMEDOR!M12+JORNADA!M12+'DIETOLOGÍA(S)'!M12)</f>
        <v>0</v>
      </c>
      <c r="N12" s="7">
        <f>SUM(PACIENTES!N12+COMEDOR!N12+JORNADA!N12+'DIETOLOGÍA(S)'!N12)</f>
        <v>0</v>
      </c>
      <c r="O12" s="7">
        <f>SUM(PACIENTES!O12+COMEDOR!O12+JORNADA!O12+'DIETOLOGÍA(S)'!O12)</f>
        <v>0</v>
      </c>
      <c r="P12" s="7">
        <f>SUM(PACIENTES!P12+COMEDOR!P12+JORNADA!P12+'DIETOLOGÍA(S)'!P12)</f>
        <v>0</v>
      </c>
      <c r="Q12" s="7">
        <f>SUM(PACIENTES!Q12+COMEDOR!Q12+JORNADA!Q12+'DIETOLOGÍA(S)'!Q12)</f>
        <v>2</v>
      </c>
      <c r="R12" s="7">
        <f>SUM(PACIENTES!R12+COMEDOR!R12+JORNADA!R12+'DIETOLOGÍA(S)'!R12)</f>
        <v>0</v>
      </c>
      <c r="S12" s="7">
        <f>SUM(PACIENTES!S12+COMEDOR!S12+JORNADA!S12+'DIETOLOGÍA(S)'!S12)</f>
        <v>0</v>
      </c>
      <c r="T12" s="7">
        <f>SUM(PACIENTES!T12+COMEDOR!T12+JORNADA!T12+'DIETOLOGÍA(S)'!T12)</f>
        <v>0</v>
      </c>
      <c r="U12" s="7">
        <f>SUM(PACIENTES!U12+COMEDOR!U12+JORNADA!U12+'DIETOLOGÍA(S)'!U12)</f>
        <v>0</v>
      </c>
      <c r="V12" s="7">
        <f>SUM(PACIENTES!V12+COMEDOR!V12+JORNADA!V12+'DIETOLOGÍA(S)'!V12)</f>
        <v>0</v>
      </c>
      <c r="W12" s="7">
        <f>SUM(PACIENTES!W12+COMEDOR!W12+JORNADA!W12+'DIETOLOGÍA(S)'!W12)</f>
        <v>0</v>
      </c>
      <c r="X12" s="7">
        <f>SUM(PACIENTES!X12+COMEDOR!X12+JORNADA!X12+'DIETOLOGÍA(S)'!X12)</f>
        <v>2</v>
      </c>
      <c r="Y12" s="7">
        <f>SUM(PACIENTES!Y12+COMEDOR!Y12+JORNADA!Y12+'DIETOLOGÍA(S)'!Y12)</f>
        <v>0</v>
      </c>
      <c r="Z12" s="7">
        <f>SUM(PACIENTES!Z12+COMEDOR!Z12+JORNADA!Z12+'DIETOLOGÍA(S)'!Z12)</f>
        <v>0</v>
      </c>
      <c r="AA12" s="7">
        <f>SUM(PACIENTES!AA12+COMEDOR!AA12+JORNADA!AA12+'DIETOLOGÍA(S)'!AA12)</f>
        <v>0</v>
      </c>
      <c r="AB12" s="7">
        <f>SUM(PACIENTES!AB12+COMEDOR!AB12+JORNADA!AB12+'DIETOLOGÍA(S)'!AB12)</f>
        <v>0</v>
      </c>
      <c r="AC12" s="7">
        <f>SUM(PACIENTES!AC12+COMEDOR!AC12+JORNADA!AC12+'DIETOLOGÍA(S)'!AC12)</f>
        <v>0</v>
      </c>
      <c r="AD12" s="7">
        <f>SUM(PACIENTES!AD12+COMEDOR!AD12+JORNADA!AD12+'DIETOLOGÍA(S)'!AD12)</f>
        <v>0</v>
      </c>
      <c r="AE12" s="7">
        <f>SUM(PACIENTES!AE12+COMEDOR!AE12+JORNADA!AE12+'DIETOLOGÍA(S)'!AE12)</f>
        <v>2</v>
      </c>
      <c r="AF12" s="7">
        <f>SUM(PACIENTES!AF12+COMEDOR!AF12+JORNADA!AF12+'DIETOLOGÍA(S)'!AF12)</f>
        <v>0</v>
      </c>
      <c r="AG12" s="7">
        <f>SUM(PACIENTES!AG12+COMEDOR!AG12+JORNADA!AG12+'DIETOLOGÍA(S)'!AG12)</f>
        <v>0</v>
      </c>
      <c r="AH12" s="7">
        <f>SUM(PACIENTES!AH12+COMEDOR!AH12+JORNADA!AH12+'DIETOLOGÍA(S)'!AH12)</f>
        <v>0</v>
      </c>
      <c r="AI12" s="9">
        <f t="shared" si="0"/>
        <v>8</v>
      </c>
    </row>
    <row r="13" spans="1:35" ht="15.75" customHeight="1">
      <c r="A13" s="10">
        <v>2212004011</v>
      </c>
      <c r="B13" s="11" t="s">
        <v>16</v>
      </c>
      <c r="C13" s="12" t="s">
        <v>6</v>
      </c>
      <c r="D13" s="7">
        <f>SUM(PACIENTES!D13+COMEDOR!D13+JORNADA!D13+'DIETOLOGÍA(S)'!D13+'NUTRICIÓN CLÍNICA'!D4)</f>
        <v>27</v>
      </c>
      <c r="E13" s="7">
        <f>SUM(PACIENTES!E13+COMEDOR!E13+JORNADA!E13+'DIETOLOGÍA(S)'!E13+'NUTRICIÓN CLÍNICA'!E4)</f>
        <v>42</v>
      </c>
      <c r="F13" s="7">
        <f>SUM(PACIENTES!F13+COMEDOR!F13+JORNADA!F13+'DIETOLOGÍA(S)'!F13+'NUTRICIÓN CLÍNICA'!F4)</f>
        <v>79</v>
      </c>
      <c r="G13" s="7">
        <f>SUM(PACIENTES!G13+COMEDOR!G13+JORNADA!G13+'DIETOLOGÍA(S)'!G13+'NUTRICIÓN CLÍNICA'!G4)</f>
        <v>69</v>
      </c>
      <c r="H13" s="7">
        <f>SUM(PACIENTES!H13+COMEDOR!H13+JORNADA!H13+'DIETOLOGÍA(S)'!H13+'NUTRICIÓN CLÍNICA'!H4)</f>
        <v>64</v>
      </c>
      <c r="I13" s="7">
        <f>SUM(PACIENTES!I13+COMEDOR!I13+JORNADA!I13+'DIETOLOGÍA(S)'!I13+'NUTRICIÓN CLÍNICA'!I4)</f>
        <v>36</v>
      </c>
      <c r="J13" s="7">
        <f>SUM(PACIENTES!J13+COMEDOR!J13+JORNADA!J13+'DIETOLOGÍA(S)'!J13+'NUTRICIÓN CLÍNICA'!J4)</f>
        <v>8</v>
      </c>
      <c r="K13" s="7">
        <f>SUM(PACIENTES!K13+COMEDOR!K13+JORNADA!K13+'DIETOLOGÍA(S)'!K13+'NUTRICIÓN CLÍNICA'!K4)</f>
        <v>59</v>
      </c>
      <c r="L13" s="7">
        <f>SUM(PACIENTES!L13+COMEDOR!L13+JORNADA!L13+'DIETOLOGÍA(S)'!L13+'NUTRICIÓN CLÍNICA'!L4)</f>
        <v>39</v>
      </c>
      <c r="M13" s="7">
        <f>SUM(PACIENTES!M13+COMEDOR!M13+JORNADA!M13+'DIETOLOGÍA(S)'!M13+'NUTRICIÓN CLÍNICA'!M4)</f>
        <v>44</v>
      </c>
      <c r="N13" s="7">
        <f>SUM(PACIENTES!N13+COMEDOR!N13+JORNADA!N13+'DIETOLOGÍA(S)'!N13+'NUTRICIÓN CLÍNICA'!N4)</f>
        <v>119</v>
      </c>
      <c r="O13" s="7">
        <f>SUM(PACIENTES!O13+COMEDOR!O13+JORNADA!O13+'DIETOLOGÍA(S)'!O13+'NUTRICIÓN CLÍNICA'!O4)</f>
        <v>4</v>
      </c>
      <c r="P13" s="7">
        <f>SUM(PACIENTES!P13+COMEDOR!P13+JORNADA!P13+'DIETOLOGÍA(S)'!P13+'NUTRICIÓN CLÍNICA'!P4)</f>
        <v>58</v>
      </c>
      <c r="Q13" s="7">
        <f>SUM(PACIENTES!Q13+COMEDOR!Q13+JORNADA!Q13+'DIETOLOGÍA(S)'!Q13+'NUTRICIÓN CLÍNICA'!Q4)</f>
        <v>63</v>
      </c>
      <c r="R13" s="7">
        <f>SUM(PACIENTES!R13+COMEDOR!R13+JORNADA!R13+'DIETOLOGÍA(S)'!R13+'NUTRICIÓN CLÍNICA'!R4)</f>
        <v>40</v>
      </c>
      <c r="S13" s="7">
        <f>SUM(PACIENTES!S13+COMEDOR!S13+JORNADA!S13+'DIETOLOGÍA(S)'!S13+'NUTRICIÓN CLÍNICA'!S4)</f>
        <v>27</v>
      </c>
      <c r="T13" s="7">
        <f>SUM(PACIENTES!T13+COMEDOR!T13+JORNADA!T13+'DIETOLOGÍA(S)'!T13+'NUTRICIÓN CLÍNICA'!T4)</f>
        <v>14</v>
      </c>
      <c r="U13" s="7">
        <f>SUM(PACIENTES!U13+COMEDOR!U13+JORNADA!U13+'DIETOLOGÍA(S)'!U13+'NUTRICIÓN CLÍNICA'!U4)</f>
        <v>4</v>
      </c>
      <c r="V13" s="7">
        <f>SUM(PACIENTES!V13+COMEDOR!V13+JORNADA!V13+'DIETOLOGÍA(S)'!V13+'NUTRICIÓN CLÍNICA'!V4)</f>
        <v>119</v>
      </c>
      <c r="W13" s="7">
        <f>SUM(PACIENTES!W13+COMEDOR!W13+JORNADA!W13+'DIETOLOGÍA(S)'!W13+'NUTRICIÓN CLÍNICA'!W4)</f>
        <v>51</v>
      </c>
      <c r="X13" s="7">
        <f>SUM(PACIENTES!X13+COMEDOR!X13+JORNADA!X13+'DIETOLOGÍA(S)'!X13+'NUTRICIÓN CLÍNICA'!X4)</f>
        <v>28</v>
      </c>
      <c r="Y13" s="7">
        <f>SUM(PACIENTES!Y13+COMEDOR!Y13+JORNADA!Y13+'DIETOLOGÍA(S)'!Y13+'NUTRICIÓN CLÍNICA'!Y4)</f>
        <v>4</v>
      </c>
      <c r="Z13" s="7">
        <f>SUM(PACIENTES!Z13+COMEDOR!Z13+JORNADA!Z13+'DIETOLOGÍA(S)'!Z13+'NUTRICIÓN CLÍNICA'!Z4)</f>
        <v>79</v>
      </c>
      <c r="AA13" s="7">
        <f>SUM(PACIENTES!AA13+COMEDOR!AA13+JORNADA!AA13+'DIETOLOGÍA(S)'!AA13+'NUTRICIÓN CLÍNICA'!AA4)</f>
        <v>4</v>
      </c>
      <c r="AB13" s="7">
        <f>SUM(PACIENTES!AB13+COMEDOR!AB13+JORNADA!AB13+'DIETOLOGÍA(S)'!AB13+'NUTRICIÓN CLÍNICA'!AB4)</f>
        <v>24</v>
      </c>
      <c r="AC13" s="7">
        <f>SUM(PACIENTES!AC13+COMEDOR!AC13+JORNADA!AC13+'DIETOLOGÍA(S)'!AC13+'NUTRICIÓN CLÍNICA'!AC4)</f>
        <v>52</v>
      </c>
      <c r="AD13" s="7">
        <f>SUM(PACIENTES!AD13+COMEDOR!AD13+JORNADA!AD13+'DIETOLOGÍA(S)'!AD13+'NUTRICIÓN CLÍNICA'!AD4)</f>
        <v>5</v>
      </c>
      <c r="AE13" s="7">
        <f>SUM(PACIENTES!AE13+COMEDOR!AE13+JORNADA!AE13+'DIETOLOGÍA(S)'!AE13+'NUTRICIÓN CLÍNICA'!AE4)</f>
        <v>16</v>
      </c>
      <c r="AF13" s="7">
        <f>SUM(PACIENTES!AF13+COMEDOR!AF13+JORNADA!AF13+'DIETOLOGÍA(S)'!AF13+'NUTRICIÓN CLÍNICA'!AF4)</f>
        <v>59</v>
      </c>
      <c r="AG13" s="7">
        <f>SUM(PACIENTES!AG13+COMEDOR!AG13+JORNADA!AG13+'DIETOLOGÍA(S)'!AG13+'NUTRICIÓN CLÍNICA'!AG4)</f>
        <v>40</v>
      </c>
      <c r="AH13" s="7">
        <f>SUM(PACIENTES!AH13+COMEDOR!AH13+JORNADA!AH13+'DIETOLOGÍA(S)'!AH13+'NUTRICIÓN CLÍNICA'!AH4)</f>
        <v>4</v>
      </c>
      <c r="AI13" s="9">
        <f t="shared" si="0"/>
        <v>1281</v>
      </c>
    </row>
    <row r="14" spans="1:35" ht="15.75" customHeight="1">
      <c r="A14" s="10">
        <v>2212004012</v>
      </c>
      <c r="B14" s="11" t="s">
        <v>17</v>
      </c>
      <c r="C14" s="12" t="s">
        <v>6</v>
      </c>
      <c r="D14" s="7">
        <f>SUM(PACIENTES!D14+COMEDOR!D14+JORNADA!D14+'DIETOLOGÍA(S)'!D14)</f>
        <v>15</v>
      </c>
      <c r="E14" s="7">
        <f>SUM(PACIENTES!E14+COMEDOR!E14+JORNADA!E14+'DIETOLOGÍA(S)'!E14)</f>
        <v>15</v>
      </c>
      <c r="F14" s="7">
        <f>SUM(PACIENTES!F14+COMEDOR!F14+JORNADA!F14+'DIETOLOGÍA(S)'!F14)</f>
        <v>0</v>
      </c>
      <c r="G14" s="7">
        <f>SUM(PACIENTES!G14+COMEDOR!G14+JORNADA!G14+'DIETOLOGÍA(S)'!G14)</f>
        <v>0</v>
      </c>
      <c r="H14" s="7">
        <f>SUM(PACIENTES!H14+COMEDOR!H14+JORNADA!H14+'DIETOLOGÍA(S)'!H14)</f>
        <v>15</v>
      </c>
      <c r="I14" s="7">
        <f>SUM(PACIENTES!I14+COMEDOR!I14+JORNADA!I14+'DIETOLOGÍA(S)'!I14)</f>
        <v>60</v>
      </c>
      <c r="J14" s="7">
        <f>SUM(PACIENTES!J14+COMEDOR!J14+JORNADA!J14+'DIETOLOGÍA(S)'!J14)</f>
        <v>64</v>
      </c>
      <c r="K14" s="7">
        <f>SUM(PACIENTES!K14+COMEDOR!K14+JORNADA!K14+'DIETOLOGÍA(S)'!K14)</f>
        <v>15</v>
      </c>
      <c r="L14" s="7">
        <f>SUM(PACIENTES!L14+COMEDOR!L14+JORNADA!L14+'DIETOLOGÍA(S)'!L14)</f>
        <v>15</v>
      </c>
      <c r="M14" s="7">
        <f>SUM(PACIENTES!M14+COMEDOR!M14+JORNADA!M14+'DIETOLOGÍA(S)'!M14)</f>
        <v>0</v>
      </c>
      <c r="N14" s="7">
        <f>SUM(PACIENTES!N14+COMEDOR!N14+JORNADA!N14+'DIETOLOGÍA(S)'!N14)</f>
        <v>10</v>
      </c>
      <c r="O14" s="7">
        <f>SUM(PACIENTES!O14+COMEDOR!O14+JORNADA!O14+'DIETOLOGÍA(S)'!O14)</f>
        <v>80</v>
      </c>
      <c r="P14" s="7">
        <f>SUM(PACIENTES!P14+COMEDOR!P14+JORNADA!P14+'DIETOLOGÍA(S)'!P14)</f>
        <v>40</v>
      </c>
      <c r="Q14" s="7">
        <f>SUM(PACIENTES!Q14+COMEDOR!Q14+JORNADA!Q14+'DIETOLOGÍA(S)'!Q14)</f>
        <v>19</v>
      </c>
      <c r="R14" s="7">
        <f>SUM(PACIENTES!R14+COMEDOR!R14+JORNADA!R14+'DIETOLOGÍA(S)'!R14)</f>
        <v>75</v>
      </c>
      <c r="S14" s="7">
        <f>SUM(PACIENTES!S14+COMEDOR!S14+JORNADA!S14+'DIETOLOGÍA(S)'!S14)</f>
        <v>25</v>
      </c>
      <c r="T14" s="7">
        <f>SUM(PACIENTES!T14+COMEDOR!T14+JORNADA!T14+'DIETOLOGÍA(S)'!T14)</f>
        <v>80</v>
      </c>
      <c r="U14" s="7">
        <f>SUM(PACIENTES!U14+COMEDOR!U14+JORNADA!U14+'DIETOLOGÍA(S)'!U14)</f>
        <v>90</v>
      </c>
      <c r="V14" s="7">
        <f>SUM(PACIENTES!V14+COMEDOR!V14+JORNADA!V14+'DIETOLOGÍA(S)'!V14)</f>
        <v>25</v>
      </c>
      <c r="W14" s="7">
        <f>SUM(PACIENTES!W14+COMEDOR!W14+JORNADA!W14+'DIETOLOGÍA(S)'!W14)</f>
        <v>15</v>
      </c>
      <c r="X14" s="7">
        <f>SUM(PACIENTES!X14+COMEDOR!X14+JORNADA!X14+'DIETOLOGÍA(S)'!X14)</f>
        <v>64</v>
      </c>
      <c r="Y14" s="7">
        <f>SUM(PACIENTES!Y14+COMEDOR!Y14+JORNADA!Y14+'DIETOLOGÍA(S)'!Y14)</f>
        <v>70</v>
      </c>
      <c r="Z14" s="7">
        <f>SUM(PACIENTES!Z14+COMEDOR!Z14+JORNADA!Z14+'DIETOLOGÍA(S)'!Z14)</f>
        <v>15</v>
      </c>
      <c r="AA14" s="7">
        <f>SUM(PACIENTES!AA14+COMEDOR!AA14+JORNADA!AA14+'DIETOLOGÍA(S)'!AA14)</f>
        <v>90</v>
      </c>
      <c r="AB14" s="7">
        <f>SUM(PACIENTES!AB14+COMEDOR!AB14+JORNADA!AB14+'DIETOLOGÍA(S)'!AB14)</f>
        <v>70</v>
      </c>
      <c r="AC14" s="7">
        <f>SUM(PACIENTES!AC14+COMEDOR!AC14+JORNADA!AC14+'DIETOLOGÍA(S)'!AC14)</f>
        <v>30</v>
      </c>
      <c r="AD14" s="7">
        <f>SUM(PACIENTES!AD14+COMEDOR!AD14+JORNADA!AD14+'DIETOLOGÍA(S)'!AD14)</f>
        <v>60</v>
      </c>
      <c r="AE14" s="7">
        <f>SUM(PACIENTES!AE14+COMEDOR!AE14+JORNADA!AE14+'DIETOLOGÍA(S)'!AE14)</f>
        <v>44</v>
      </c>
      <c r="AF14" s="7">
        <f>SUM(PACIENTES!AF14+COMEDOR!AF14+JORNADA!AF14+'DIETOLOGÍA(S)'!AF14)</f>
        <v>15</v>
      </c>
      <c r="AG14" s="7">
        <f>SUM(PACIENTES!AG14+COMEDOR!AG14+JORNADA!AG14+'DIETOLOGÍA(S)'!AG14)</f>
        <v>75</v>
      </c>
      <c r="AH14" s="7">
        <f>SUM(PACIENTES!AH14+COMEDOR!AH14+JORNADA!AH14+'DIETOLOGÍA(S)'!AH14)</f>
        <v>70</v>
      </c>
      <c r="AI14" s="9">
        <f t="shared" si="0"/>
        <v>1261</v>
      </c>
    </row>
    <row r="15" spans="1:35" ht="15.75" customHeight="1">
      <c r="A15" s="10">
        <v>2212004013</v>
      </c>
      <c r="B15" s="11" t="s">
        <v>18</v>
      </c>
      <c r="C15" s="12" t="s">
        <v>6</v>
      </c>
      <c r="D15" s="7">
        <f>SUM(PACIENTES!D15+COMEDOR!D15+JORNADA!D15+'DIETOLOGÍA(S)'!D15)</f>
        <v>50</v>
      </c>
      <c r="E15" s="7">
        <f>SUM(PACIENTES!E15+COMEDOR!E15+JORNADA!E15+'DIETOLOGÍA(S)'!E15)</f>
        <v>0</v>
      </c>
      <c r="F15" s="7">
        <f>SUM(PACIENTES!F15+COMEDOR!F15+JORNADA!F15+'DIETOLOGÍA(S)'!F15)</f>
        <v>0</v>
      </c>
      <c r="G15" s="7">
        <f>SUM(PACIENTES!G15+COMEDOR!G15+JORNADA!G15+'DIETOLOGÍA(S)'!G15)</f>
        <v>70</v>
      </c>
      <c r="H15" s="7">
        <f>SUM(PACIENTES!H15+COMEDOR!H15+JORNADA!H15+'DIETOLOGÍA(S)'!H15)</f>
        <v>50</v>
      </c>
      <c r="I15" s="7">
        <f>SUM(PACIENTES!I15+COMEDOR!I15+JORNADA!I15+'DIETOLOGÍA(S)'!I15)</f>
        <v>2</v>
      </c>
      <c r="J15" s="7">
        <f>SUM(PACIENTES!J15+COMEDOR!J15+JORNADA!J15+'DIETOLOGÍA(S)'!J15)</f>
        <v>2</v>
      </c>
      <c r="K15" s="7">
        <f>SUM(PACIENTES!K15+COMEDOR!K15+JORNADA!K15+'DIETOLOGÍA(S)'!K15)</f>
        <v>0</v>
      </c>
      <c r="L15" s="7">
        <f>SUM(PACIENTES!L15+COMEDOR!L15+JORNADA!L15+'DIETOLOGÍA(S)'!L15)</f>
        <v>50</v>
      </c>
      <c r="M15" s="7">
        <f>SUM(PACIENTES!M15+COMEDOR!M15+JORNADA!M15+'DIETOLOGÍA(S)'!M15)</f>
        <v>30</v>
      </c>
      <c r="N15" s="7">
        <f>SUM(PACIENTES!N15+COMEDOR!N15+JORNADA!N15+'DIETOLOGÍA(S)'!N15)</f>
        <v>0</v>
      </c>
      <c r="O15" s="7">
        <f>SUM(PACIENTES!O15+COMEDOR!O15+JORNADA!O15+'DIETOLOGÍA(S)'!O15)</f>
        <v>30</v>
      </c>
      <c r="P15" s="7">
        <f>SUM(PACIENTES!P15+COMEDOR!P15+JORNADA!P15+'DIETOLOGÍA(S)'!P15)</f>
        <v>2</v>
      </c>
      <c r="Q15" s="7">
        <f>SUM(PACIENTES!Q15+COMEDOR!Q15+JORNADA!Q15+'DIETOLOGÍA(S)'!Q15)</f>
        <v>0</v>
      </c>
      <c r="R15" s="7">
        <f>SUM(PACIENTES!R15+COMEDOR!R15+JORNADA!R15+'DIETOLOGÍA(S)'!R15)</f>
        <v>0</v>
      </c>
      <c r="S15" s="7">
        <f>SUM(PACIENTES!S15+COMEDOR!S15+JORNADA!S15+'DIETOLOGÍA(S)'!S15)</f>
        <v>50</v>
      </c>
      <c r="T15" s="7">
        <f>SUM(PACIENTES!T15+COMEDOR!T15+JORNADA!T15+'DIETOLOGÍA(S)'!T15)</f>
        <v>30</v>
      </c>
      <c r="U15" s="7">
        <f>SUM(PACIENTES!U15+COMEDOR!U15+JORNADA!U15+'DIETOLOGÍA(S)'!U15)</f>
        <v>0</v>
      </c>
      <c r="V15" s="7">
        <f>SUM(PACIENTES!V15+COMEDOR!V15+JORNADA!V15+'DIETOLOGÍA(S)'!V15)</f>
        <v>0</v>
      </c>
      <c r="W15" s="7">
        <f>SUM(PACIENTES!W15+COMEDOR!W15+JORNADA!W15+'DIETOLOGÍA(S)'!W15)</f>
        <v>52</v>
      </c>
      <c r="X15" s="7">
        <f>SUM(PACIENTES!X15+COMEDOR!X15+JORNADA!X15+'DIETOLOGÍA(S)'!X15)</f>
        <v>2</v>
      </c>
      <c r="Y15" s="7">
        <f>SUM(PACIENTES!Y15+COMEDOR!Y15+JORNADA!Y15+'DIETOLOGÍA(S)'!Y15)</f>
        <v>0</v>
      </c>
      <c r="Z15" s="7">
        <f>SUM(PACIENTES!Z15+COMEDOR!Z15+JORNADA!Z15+'DIETOLOGÍA(S)'!Z15)</f>
        <v>0</v>
      </c>
      <c r="AA15" s="7">
        <f>SUM(PACIENTES!AA15+COMEDOR!AA15+JORNADA!AA15+'DIETOLOGÍA(S)'!AA15)</f>
        <v>30</v>
      </c>
      <c r="AB15" s="7">
        <f>SUM(PACIENTES!AB15+COMEDOR!AB15+JORNADA!AB15+'DIETOLOGÍA(S)'!AB15)</f>
        <v>0</v>
      </c>
      <c r="AC15" s="7">
        <f>SUM(PACIENTES!AC15+COMEDOR!AC15+JORNADA!AC15+'DIETOLOGÍA(S)'!AC15)</f>
        <v>0</v>
      </c>
      <c r="AD15" s="7">
        <f>SUM(PACIENTES!AD15+COMEDOR!AD15+JORNADA!AD15+'DIETOLOGÍA(S)'!AD15)</f>
        <v>2</v>
      </c>
      <c r="AE15" s="7">
        <f>SUM(PACIENTES!AE15+COMEDOR!AE15+JORNADA!AE15+'DIETOLOGÍA(S)'!AE15)</f>
        <v>0</v>
      </c>
      <c r="AF15" s="7">
        <f>SUM(PACIENTES!AF15+COMEDOR!AF15+JORNADA!AF15+'DIETOLOGÍA(S)'!AF15)</f>
        <v>0</v>
      </c>
      <c r="AG15" s="7">
        <f>SUM(PACIENTES!AG15+COMEDOR!AG15+JORNADA!AG15+'DIETOLOGÍA(S)'!AG15)</f>
        <v>0</v>
      </c>
      <c r="AH15" s="7">
        <f>SUM(PACIENTES!AH15+COMEDOR!AH15+JORNADA!AH15+'DIETOLOGÍA(S)'!AH15)</f>
        <v>30</v>
      </c>
      <c r="AI15" s="9">
        <f t="shared" si="0"/>
        <v>482</v>
      </c>
    </row>
    <row r="16" spans="1:35" ht="15.75" customHeight="1">
      <c r="A16" s="10">
        <v>2212004014</v>
      </c>
      <c r="B16" s="11" t="s">
        <v>19</v>
      </c>
      <c r="C16" s="12" t="s">
        <v>6</v>
      </c>
      <c r="D16" s="7">
        <f>SUM(PACIENTES!D16+COMEDOR!D16+JORNADA!D16+'DIETOLOGÍA(S)'!D16)</f>
        <v>0</v>
      </c>
      <c r="E16" s="7">
        <f>SUM(PACIENTES!E16+COMEDOR!E16+JORNADA!E16+'DIETOLOGÍA(S)'!E16)</f>
        <v>0</v>
      </c>
      <c r="F16" s="7">
        <f>SUM(PACIENTES!F16+COMEDOR!F16+JORNADA!F16+'DIETOLOGÍA(S)'!F16)</f>
        <v>0</v>
      </c>
      <c r="G16" s="7">
        <f>SUM(PACIENTES!G16+COMEDOR!G16+JORNADA!G16+'DIETOLOGÍA(S)'!G16)</f>
        <v>0</v>
      </c>
      <c r="H16" s="7">
        <f>SUM(PACIENTES!H16+COMEDOR!H16+JORNADA!H16+'DIETOLOGÍA(S)'!H16)</f>
        <v>35</v>
      </c>
      <c r="I16" s="7">
        <f>SUM(PACIENTES!I16+COMEDOR!I16+JORNADA!I16+'DIETOLOGÍA(S)'!I16)</f>
        <v>1</v>
      </c>
      <c r="J16" s="7">
        <f>SUM(PACIENTES!J16+COMEDOR!J16+JORNADA!J16+'DIETOLOGÍA(S)'!J16)</f>
        <v>7</v>
      </c>
      <c r="K16" s="7">
        <f>SUM(PACIENTES!K16+COMEDOR!K16+JORNADA!K16+'DIETOLOGÍA(S)'!K16)</f>
        <v>0</v>
      </c>
      <c r="L16" s="7">
        <f>SUM(PACIENTES!L16+COMEDOR!L16+JORNADA!L16+'DIETOLOGÍA(S)'!L16)</f>
        <v>35</v>
      </c>
      <c r="M16" s="7">
        <f>SUM(PACIENTES!M16+COMEDOR!M16+JORNADA!M16+'DIETOLOGÍA(S)'!M16)</f>
        <v>0</v>
      </c>
      <c r="N16" s="7">
        <f>SUM(PACIENTES!N16+COMEDOR!N16+JORNADA!N16+'DIETOLOGÍA(S)'!N16)</f>
        <v>0</v>
      </c>
      <c r="O16" s="7">
        <f>SUM(PACIENTES!O16+COMEDOR!O16+JORNADA!O16+'DIETOLOGÍA(S)'!O16)</f>
        <v>0</v>
      </c>
      <c r="P16" s="7">
        <f>SUM(PACIENTES!P16+COMEDOR!P16+JORNADA!P16+'DIETOLOGÍA(S)'!P16)</f>
        <v>1</v>
      </c>
      <c r="Q16" s="7">
        <f>SUM(PACIENTES!Q16+COMEDOR!Q16+JORNADA!Q16+'DIETOLOGÍA(S)'!Q16)</f>
        <v>7</v>
      </c>
      <c r="R16" s="7">
        <f>SUM(PACIENTES!R16+COMEDOR!R16+JORNADA!R16+'DIETOLOGÍA(S)'!R16)</f>
        <v>35</v>
      </c>
      <c r="S16" s="7">
        <f>SUM(PACIENTES!S16+COMEDOR!S16+JORNADA!S16+'DIETOLOGÍA(S)'!S16)</f>
        <v>0</v>
      </c>
      <c r="T16" s="7">
        <f>SUM(PACIENTES!T16+COMEDOR!T16+JORNADA!T16+'DIETOLOGÍA(S)'!T16)</f>
        <v>0</v>
      </c>
      <c r="U16" s="7">
        <f>SUM(PACIENTES!U16+COMEDOR!U16+JORNADA!U16+'DIETOLOGÍA(S)'!U16)</f>
        <v>0</v>
      </c>
      <c r="V16" s="7">
        <f>SUM(PACIENTES!V16+COMEDOR!V16+JORNADA!V16+'DIETOLOGÍA(S)'!V16)</f>
        <v>0</v>
      </c>
      <c r="W16" s="7">
        <f>SUM(PACIENTES!W16+COMEDOR!W16+JORNADA!W16+'DIETOLOGÍA(S)'!W16)</f>
        <v>36</v>
      </c>
      <c r="X16" s="7">
        <f>SUM(PACIENTES!X16+COMEDOR!X16+JORNADA!X16+'DIETOLOGÍA(S)'!X16)</f>
        <v>7</v>
      </c>
      <c r="Y16" s="7">
        <f>SUM(PACIENTES!Y16+COMEDOR!Y16+JORNADA!Y16+'DIETOLOGÍA(S)'!Y16)</f>
        <v>0</v>
      </c>
      <c r="Z16" s="7">
        <f>SUM(PACIENTES!Z16+COMEDOR!Z16+JORNADA!Z16+'DIETOLOGÍA(S)'!Z16)</f>
        <v>0</v>
      </c>
      <c r="AA16" s="7">
        <f>SUM(PACIENTES!AA16+COMEDOR!AA16+JORNADA!AA16+'DIETOLOGÍA(S)'!AA16)</f>
        <v>0</v>
      </c>
      <c r="AB16" s="7">
        <f>SUM(PACIENTES!AB16+COMEDOR!AB16+JORNADA!AB16+'DIETOLOGÍA(S)'!AB16)</f>
        <v>0</v>
      </c>
      <c r="AC16" s="7">
        <f>SUM(PACIENTES!AC16+COMEDOR!AC16+JORNADA!AC16+'DIETOLOGÍA(S)'!AC16)</f>
        <v>0</v>
      </c>
      <c r="AD16" s="7">
        <f>SUM(PACIENTES!AD16+COMEDOR!AD16+JORNADA!AD16+'DIETOLOGÍA(S)'!AD16)</f>
        <v>36</v>
      </c>
      <c r="AE16" s="7">
        <f>SUM(PACIENTES!AE16+COMEDOR!AE16+JORNADA!AE16+'DIETOLOGÍA(S)'!AE16)</f>
        <v>7</v>
      </c>
      <c r="AF16" s="7">
        <f>SUM(PACIENTES!AF16+COMEDOR!AF16+JORNADA!AF16+'DIETOLOGÍA(S)'!AF16)</f>
        <v>0</v>
      </c>
      <c r="AG16" s="7">
        <f>SUM(PACIENTES!AG16+COMEDOR!AG16+JORNADA!AG16+'DIETOLOGÍA(S)'!AG16)</f>
        <v>35</v>
      </c>
      <c r="AH16" s="7">
        <f>SUM(PACIENTES!AH16+COMEDOR!AH16+JORNADA!AH16+'DIETOLOGÍA(S)'!AH16)</f>
        <v>0</v>
      </c>
      <c r="AI16" s="9">
        <f t="shared" si="0"/>
        <v>242</v>
      </c>
    </row>
    <row r="17" spans="1:35" ht="15.75" customHeight="1">
      <c r="A17" s="10">
        <v>2212004015</v>
      </c>
      <c r="B17" s="11" t="s">
        <v>20</v>
      </c>
      <c r="C17" s="12" t="s">
        <v>6</v>
      </c>
      <c r="D17" s="7">
        <f>SUM(PACIENTES!D17+COMEDOR!D17+JORNADA!D17+'DIETOLOGÍA(S)'!D17)</f>
        <v>44</v>
      </c>
      <c r="E17" s="7">
        <f>SUM(PACIENTES!E17+COMEDOR!E17+JORNADA!E17+'DIETOLOGÍA(S)'!E17)</f>
        <v>57</v>
      </c>
      <c r="F17" s="7">
        <f>SUM(PACIENTES!F17+COMEDOR!F17+JORNADA!F17+'DIETOLOGÍA(S)'!F17)</f>
        <v>50</v>
      </c>
      <c r="G17" s="7">
        <f>SUM(PACIENTES!G17+COMEDOR!G17+JORNADA!G17+'DIETOLOGÍA(S)'!G17)</f>
        <v>0</v>
      </c>
      <c r="H17" s="7">
        <f>SUM(PACIENTES!H17+COMEDOR!H17+JORNADA!H17+'DIETOLOGÍA(S)'!H17)</f>
        <v>44</v>
      </c>
      <c r="I17" s="7">
        <f>SUM(PACIENTES!I17+COMEDOR!I17+JORNADA!I17+'DIETOLOGÍA(S)'!I17)</f>
        <v>54</v>
      </c>
      <c r="J17" s="7">
        <f>SUM(PACIENTES!J17+COMEDOR!J17+JORNADA!J17+'DIETOLOGÍA(S)'!J17)</f>
        <v>59</v>
      </c>
      <c r="K17" s="7">
        <f>SUM(PACIENTES!K17+COMEDOR!K17+JORNADA!K17+'DIETOLOGÍA(S)'!K17)</f>
        <v>44</v>
      </c>
      <c r="L17" s="7">
        <f>SUM(PACIENTES!L17+COMEDOR!L17+JORNADA!L17+'DIETOLOGÍA(S)'!L17)</f>
        <v>44</v>
      </c>
      <c r="M17" s="7">
        <f>SUM(PACIENTES!M17+COMEDOR!M17+JORNADA!M17+'DIETOLOGÍA(S)'!M17)</f>
        <v>45</v>
      </c>
      <c r="N17" s="7">
        <f>SUM(PACIENTES!N17+COMEDOR!N17+JORNADA!N17+'DIETOLOGÍA(S)'!N17)</f>
        <v>20</v>
      </c>
      <c r="O17" s="7">
        <f>SUM(PACIENTES!O17+COMEDOR!O17+JORNADA!O17+'DIETOLOGÍA(S)'!O17)</f>
        <v>80</v>
      </c>
      <c r="P17" s="7">
        <f>SUM(PACIENTES!P17+COMEDOR!P17+JORNADA!P17+'DIETOLOGÍA(S)'!P17)</f>
        <v>62</v>
      </c>
      <c r="Q17" s="7">
        <f>SUM(PACIENTES!Q17+COMEDOR!Q17+JORNADA!Q17+'DIETOLOGÍA(S)'!Q17)</f>
        <v>51</v>
      </c>
      <c r="R17" s="7">
        <f>SUM(PACIENTES!R17+COMEDOR!R17+JORNADA!R17+'DIETOLOGÍA(S)'!R17)</f>
        <v>82</v>
      </c>
      <c r="S17" s="7">
        <f>SUM(PACIENTES!S17+COMEDOR!S17+JORNADA!S17+'DIETOLOGÍA(S)'!S17)</f>
        <v>44</v>
      </c>
      <c r="T17" s="7">
        <f>SUM(PACIENTES!T17+COMEDOR!T17+JORNADA!T17+'DIETOLOGÍA(S)'!T17)</f>
        <v>60</v>
      </c>
      <c r="U17" s="7">
        <f>SUM(PACIENTES!U17+COMEDOR!U17+JORNADA!U17+'DIETOLOGÍA(S)'!U17)</f>
        <v>30</v>
      </c>
      <c r="V17" s="7">
        <f>SUM(PACIENTES!V17+COMEDOR!V17+JORNADA!V17+'DIETOLOGÍA(S)'!V17)</f>
        <v>44</v>
      </c>
      <c r="W17" s="7">
        <f>SUM(PACIENTES!W17+COMEDOR!W17+JORNADA!W17+'DIETOLOGÍA(S)'!W17)</f>
        <v>46</v>
      </c>
      <c r="X17" s="7">
        <f>SUM(PACIENTES!X17+COMEDOR!X17+JORNADA!X17+'DIETOLOGÍA(S)'!X17)</f>
        <v>59</v>
      </c>
      <c r="Y17" s="7">
        <f>SUM(PACIENTES!Y17+COMEDOR!Y17+JORNADA!Y17+'DIETOLOGÍA(S)'!Y17)</f>
        <v>52</v>
      </c>
      <c r="Z17" s="7">
        <f>SUM(PACIENTES!Z17+COMEDOR!Z17+JORNADA!Z17+'DIETOLOGÍA(S)'!Z17)</f>
        <v>44</v>
      </c>
      <c r="AA17" s="7">
        <f>SUM(PACIENTES!AA17+COMEDOR!AA17+JORNADA!AA17+'DIETOLOGÍA(S)'!AA17)</f>
        <v>0</v>
      </c>
      <c r="AB17" s="7">
        <f>SUM(PACIENTES!AB17+COMEDOR!AB17+JORNADA!AB17+'DIETOLOGÍA(S)'!AB17)</f>
        <v>10</v>
      </c>
      <c r="AC17" s="7">
        <f>SUM(PACIENTES!AC17+COMEDOR!AC17+JORNADA!AC17+'DIETOLOGÍA(S)'!AC17)</f>
        <v>57</v>
      </c>
      <c r="AD17" s="7">
        <f>SUM(PACIENTES!AD17+COMEDOR!AD17+JORNADA!AD17+'DIETOLOGÍA(S)'!AD17)</f>
        <v>54</v>
      </c>
      <c r="AE17" s="7">
        <f>SUM(PACIENTES!AE17+COMEDOR!AE17+JORNADA!AE17+'DIETOLOGÍA(S)'!AE17)</f>
        <v>64</v>
      </c>
      <c r="AF17" s="7">
        <f>SUM(PACIENTES!AF17+COMEDOR!AF17+JORNADA!AF17+'DIETOLOGÍA(S)'!AF17)</f>
        <v>44</v>
      </c>
      <c r="AG17" s="7">
        <f>SUM(PACIENTES!AG17+COMEDOR!AG17+JORNADA!AG17+'DIETOLOGÍA(S)'!AG17)</f>
        <v>82</v>
      </c>
      <c r="AH17" s="7">
        <f>SUM(PACIENTES!AH17+COMEDOR!AH17+JORNADA!AH17+'DIETOLOGÍA(S)'!AH17)</f>
        <v>60</v>
      </c>
      <c r="AI17" s="9">
        <f t="shared" si="0"/>
        <v>1486</v>
      </c>
    </row>
    <row r="18" spans="1:35" ht="15.75" customHeight="1">
      <c r="A18" s="10">
        <v>2212004016</v>
      </c>
      <c r="B18" s="11" t="s">
        <v>21</v>
      </c>
      <c r="C18" s="12" t="s">
        <v>6</v>
      </c>
      <c r="D18" s="7">
        <f>SUM(PACIENTES!D18+COMEDOR!D18+JORNADA!D18+'DIETOLOGÍA(S)'!D18)</f>
        <v>0</v>
      </c>
      <c r="E18" s="7">
        <f>SUM(PACIENTES!E18+COMEDOR!E18+JORNADA!E18+'DIETOLOGÍA(S)'!E18)</f>
        <v>0</v>
      </c>
      <c r="F18" s="7">
        <f>SUM(PACIENTES!F18+COMEDOR!F18+JORNADA!F18+'DIETOLOGÍA(S)'!F18)</f>
        <v>0</v>
      </c>
      <c r="G18" s="7">
        <f>SUM(PACIENTES!G18+COMEDOR!G18+JORNADA!G18+'DIETOLOGÍA(S)'!G18)</f>
        <v>60</v>
      </c>
      <c r="H18" s="7">
        <f>SUM(PACIENTES!H18+COMEDOR!H18+JORNADA!H18+'DIETOLOGÍA(S)'!H18)</f>
        <v>0</v>
      </c>
      <c r="I18" s="7">
        <f>SUM(PACIENTES!I18+COMEDOR!I18+JORNADA!I18+'DIETOLOGÍA(S)'!I18)</f>
        <v>0</v>
      </c>
      <c r="J18" s="7">
        <f>SUM(PACIENTES!J18+COMEDOR!J18+JORNADA!J18+'DIETOLOGÍA(S)'!J18)</f>
        <v>0</v>
      </c>
      <c r="K18" s="7">
        <f>SUM(PACIENTES!K18+COMEDOR!K18+JORNADA!K18+'DIETOLOGÍA(S)'!K18)</f>
        <v>0</v>
      </c>
      <c r="L18" s="7">
        <f>SUM(PACIENTES!L18+COMEDOR!L18+JORNADA!L18+'DIETOLOGÍA(S)'!L18)</f>
        <v>0</v>
      </c>
      <c r="M18" s="7">
        <f>SUM(PACIENTES!M18+COMEDOR!M18+JORNADA!M18+'DIETOLOGÍA(S)'!M18)</f>
        <v>65</v>
      </c>
      <c r="N18" s="7">
        <f>SUM(PACIENTES!N18+COMEDOR!N18+JORNADA!N18+'DIETOLOGÍA(S)'!N18)</f>
        <v>40</v>
      </c>
      <c r="O18" s="7">
        <f>SUM(PACIENTES!O18+COMEDOR!O18+JORNADA!O18+'DIETOLOGÍA(S)'!O18)</f>
        <v>0</v>
      </c>
      <c r="P18" s="7">
        <f>SUM(PACIENTES!P18+COMEDOR!P18+JORNADA!P18+'DIETOLOGÍA(S)'!P18)</f>
        <v>0</v>
      </c>
      <c r="Q18" s="7">
        <f>SUM(PACIENTES!Q18+COMEDOR!Q18+JORNADA!Q18+'DIETOLOGÍA(S)'!Q18)</f>
        <v>0</v>
      </c>
      <c r="R18" s="7">
        <f>SUM(PACIENTES!R18+COMEDOR!R18+JORNADA!R18+'DIETOLOGÍA(S)'!R18)</f>
        <v>0</v>
      </c>
      <c r="S18" s="7">
        <f>SUM(PACIENTES!S18+COMEDOR!S18+JORNADA!S18+'DIETOLOGÍA(S)'!S18)</f>
        <v>0</v>
      </c>
      <c r="T18" s="7">
        <f>SUM(PACIENTES!T18+COMEDOR!T18+JORNADA!T18+'DIETOLOGÍA(S)'!T18)</f>
        <v>50</v>
      </c>
      <c r="U18" s="7">
        <f>SUM(PACIENTES!U18+COMEDOR!U18+JORNADA!U18+'DIETOLOGÍA(S)'!U18)</f>
        <v>15</v>
      </c>
      <c r="V18" s="7">
        <f>SUM(PACIENTES!V18+COMEDOR!V18+JORNADA!V18+'DIETOLOGÍA(S)'!V18)</f>
        <v>0</v>
      </c>
      <c r="W18" s="7">
        <f>SUM(PACIENTES!W18+COMEDOR!W18+JORNADA!W18+'DIETOLOGÍA(S)'!W18)</f>
        <v>0</v>
      </c>
      <c r="X18" s="7">
        <f>SUM(PACIENTES!X18+COMEDOR!X18+JORNADA!X18+'DIETOLOGÍA(S)'!X18)</f>
        <v>0</v>
      </c>
      <c r="Y18" s="7">
        <f>SUM(PACIENTES!Y18+COMEDOR!Y18+JORNADA!Y18+'DIETOLOGÍA(S)'!Y18)</f>
        <v>0</v>
      </c>
      <c r="Z18" s="7">
        <f>SUM(PACIENTES!Z18+COMEDOR!Z18+JORNADA!Z18+'DIETOLOGÍA(S)'!Z18)</f>
        <v>0</v>
      </c>
      <c r="AA18" s="7">
        <f>SUM(PACIENTES!AA18+COMEDOR!AA18+JORNADA!AA18+'DIETOLOGÍA(S)'!AA18)</f>
        <v>0</v>
      </c>
      <c r="AB18" s="7">
        <f>SUM(PACIENTES!AB18+COMEDOR!AB18+JORNADA!AB18+'DIETOLOGÍA(S)'!AB18)</f>
        <v>45</v>
      </c>
      <c r="AC18" s="7">
        <f>SUM(PACIENTES!AC18+COMEDOR!AC18+JORNADA!AC18+'DIETOLOGÍA(S)'!AC18)</f>
        <v>0</v>
      </c>
      <c r="AD18" s="7">
        <f>SUM(PACIENTES!AD18+COMEDOR!AD18+JORNADA!AD18+'DIETOLOGÍA(S)'!AD18)</f>
        <v>0</v>
      </c>
      <c r="AE18" s="7">
        <f>SUM(PACIENTES!AE18+COMEDOR!AE18+JORNADA!AE18+'DIETOLOGÍA(S)'!AE18)</f>
        <v>0</v>
      </c>
      <c r="AF18" s="7">
        <f>SUM(PACIENTES!AF18+COMEDOR!AF18+JORNADA!AF18+'DIETOLOGÍA(S)'!AF18)</f>
        <v>0</v>
      </c>
      <c r="AG18" s="7">
        <f>SUM(PACIENTES!AG18+COMEDOR!AG18+JORNADA!AG18+'DIETOLOGÍA(S)'!AG18)</f>
        <v>0</v>
      </c>
      <c r="AH18" s="7">
        <f>SUM(PACIENTES!AH18+COMEDOR!AH18+JORNADA!AH18+'DIETOLOGÍA(S)'!AH18)</f>
        <v>50</v>
      </c>
      <c r="AI18" s="9">
        <f t="shared" si="0"/>
        <v>325</v>
      </c>
    </row>
    <row r="19" spans="1:35" ht="15.75" customHeight="1">
      <c r="A19" s="10">
        <v>2212004017</v>
      </c>
      <c r="B19" s="11" t="s">
        <v>22</v>
      </c>
      <c r="C19" s="12" t="s">
        <v>6</v>
      </c>
      <c r="D19" s="7">
        <f>SUM(PACIENTES!D19+COMEDOR!D19+JORNADA!D19+'DIETOLOGÍA(S)'!D19)</f>
        <v>65</v>
      </c>
      <c r="E19" s="7">
        <f>SUM(PACIENTES!E19+COMEDOR!E19+JORNADA!E19+'DIETOLOGÍA(S)'!E19)</f>
        <v>30</v>
      </c>
      <c r="F19" s="7">
        <f>SUM(PACIENTES!F19+COMEDOR!F19+JORNADA!F19+'DIETOLOGÍA(S)'!F19)</f>
        <v>30</v>
      </c>
      <c r="G19" s="7">
        <f>SUM(PACIENTES!G19+COMEDOR!G19+JORNADA!G19+'DIETOLOGÍA(S)'!G19)</f>
        <v>0</v>
      </c>
      <c r="H19" s="7">
        <f>SUM(PACIENTES!H19+COMEDOR!H19+JORNADA!H19+'DIETOLOGÍA(S)'!H19)</f>
        <v>55</v>
      </c>
      <c r="I19" s="7">
        <f>SUM(PACIENTES!I19+COMEDOR!I19+JORNADA!I19+'DIETOLOGÍA(S)'!I19)</f>
        <v>46</v>
      </c>
      <c r="J19" s="7">
        <f>SUM(PACIENTES!J19+COMEDOR!J19+JORNADA!J19+'DIETOLOGÍA(S)'!J19)</f>
        <v>77</v>
      </c>
      <c r="K19" s="7">
        <f>SUM(PACIENTES!K19+COMEDOR!K19+JORNADA!K19+'DIETOLOGÍA(S)'!K19)</f>
        <v>80</v>
      </c>
      <c r="L19" s="7">
        <f>SUM(PACIENTES!L19+COMEDOR!L19+JORNADA!L19+'DIETOLOGÍA(S)'!L19)</f>
        <v>75</v>
      </c>
      <c r="M19" s="7">
        <f>SUM(PACIENTES!M19+COMEDOR!M19+JORNADA!M19+'DIETOLOGÍA(S)'!M19)</f>
        <v>30</v>
      </c>
      <c r="N19" s="7">
        <f>SUM(PACIENTES!N19+COMEDOR!N19+JORNADA!N19+'DIETOLOGÍA(S)'!N19)</f>
        <v>20</v>
      </c>
      <c r="O19" s="7">
        <f>SUM(PACIENTES!O19+COMEDOR!O19+JORNADA!O19+'DIETOLOGÍA(S)'!O19)</f>
        <v>30</v>
      </c>
      <c r="P19" s="7">
        <f>SUM(PACIENTES!P19+COMEDOR!P19+JORNADA!P19+'DIETOLOGÍA(S)'!P19)</f>
        <v>31</v>
      </c>
      <c r="Q19" s="7">
        <f>SUM(PACIENTES!Q19+COMEDOR!Q19+JORNADA!Q19+'DIETOLOGÍA(S)'!Q19)</f>
        <v>90</v>
      </c>
      <c r="R19" s="7">
        <f>SUM(PACIENTES!R19+COMEDOR!R19+JORNADA!R19+'DIETOLOGÍA(S)'!R19)</f>
        <v>60</v>
      </c>
      <c r="S19" s="7">
        <f>SUM(PACIENTES!S19+COMEDOR!S19+JORNADA!S19+'DIETOLOGÍA(S)'!S19)</f>
        <v>50</v>
      </c>
      <c r="T19" s="7">
        <f>SUM(PACIENTES!T19+COMEDOR!T19+JORNADA!T19+'DIETOLOGÍA(S)'!T19)</f>
        <v>20</v>
      </c>
      <c r="U19" s="7">
        <f>SUM(PACIENTES!U19+COMEDOR!U19+JORNADA!U19+'DIETOLOGÍA(S)'!U19)</f>
        <v>30</v>
      </c>
      <c r="V19" s="7">
        <f>SUM(PACIENTES!V19+COMEDOR!V19+JORNADA!V19+'DIETOLOGÍA(S)'!V19)</f>
        <v>60</v>
      </c>
      <c r="W19" s="7">
        <f>SUM(PACIENTES!W19+COMEDOR!W19+JORNADA!W19+'DIETOLOGÍA(S)'!W19)</f>
        <v>46</v>
      </c>
      <c r="X19" s="7">
        <f>SUM(PACIENTES!X19+COMEDOR!X19+JORNADA!X19+'DIETOLOGÍA(S)'!X19)</f>
        <v>57</v>
      </c>
      <c r="Y19" s="7">
        <f>SUM(PACIENTES!Y19+COMEDOR!Y19+JORNADA!Y19+'DIETOLOGÍA(S)'!Y19)</f>
        <v>70</v>
      </c>
      <c r="Z19" s="7">
        <f>SUM(PACIENTES!Z19+COMEDOR!Z19+JORNADA!Z19+'DIETOLOGÍA(S)'!Z19)</f>
        <v>60</v>
      </c>
      <c r="AA19" s="7">
        <f>SUM(PACIENTES!AA19+COMEDOR!AA19+JORNADA!AA19+'DIETOLOGÍA(S)'!AA19)</f>
        <v>40</v>
      </c>
      <c r="AB19" s="7">
        <f>SUM(PACIENTES!AB19+COMEDOR!AB19+JORNADA!AB19+'DIETOLOGÍA(S)'!AB19)</f>
        <v>20</v>
      </c>
      <c r="AC19" s="7">
        <f>SUM(PACIENTES!AC19+COMEDOR!AC19+JORNADA!AC19+'DIETOLOGÍA(S)'!AC19)</f>
        <v>15</v>
      </c>
      <c r="AD19" s="7">
        <f>SUM(PACIENTES!AD19+COMEDOR!AD19+JORNADA!AD19+'DIETOLOGÍA(S)'!AD19)</f>
        <v>111</v>
      </c>
      <c r="AE19" s="7">
        <f>SUM(PACIENTES!AE19+COMEDOR!AE19+JORNADA!AE19+'DIETOLOGÍA(S)'!AE19)</f>
        <v>50</v>
      </c>
      <c r="AF19" s="7">
        <f>SUM(PACIENTES!AF19+COMEDOR!AF19+JORNADA!AF19+'DIETOLOGÍA(S)'!AF19)</f>
        <v>80</v>
      </c>
      <c r="AG19" s="7">
        <f>SUM(PACIENTES!AG19+COMEDOR!AG19+JORNADA!AG19+'DIETOLOGÍA(S)'!AG19)</f>
        <v>60</v>
      </c>
      <c r="AH19" s="7">
        <f>SUM(PACIENTES!AH19+COMEDOR!AH19+JORNADA!AH19+'DIETOLOGÍA(S)'!AH19)</f>
        <v>20</v>
      </c>
      <c r="AI19" s="9">
        <f t="shared" si="0"/>
        <v>1508</v>
      </c>
    </row>
    <row r="20" spans="1:35" ht="15.75" customHeight="1">
      <c r="A20" s="10">
        <v>2212004018</v>
      </c>
      <c r="B20" s="11" t="s">
        <v>23</v>
      </c>
      <c r="C20" s="12" t="s">
        <v>6</v>
      </c>
      <c r="D20" s="7">
        <f>SUM(PACIENTES!D20+COMEDOR!D20+JORNADA!D20+'DIETOLOGÍA(S)'!D20)</f>
        <v>86</v>
      </c>
      <c r="E20" s="7">
        <f>SUM(PACIENTES!E20+COMEDOR!E20+JORNADA!E20+'DIETOLOGÍA(S)'!E20)</f>
        <v>52</v>
      </c>
      <c r="F20" s="7">
        <f>SUM(PACIENTES!F20+COMEDOR!F20+JORNADA!F20+'DIETOLOGÍA(S)'!F20)</f>
        <v>40</v>
      </c>
      <c r="G20" s="7">
        <f>SUM(PACIENTES!G20+COMEDOR!G20+JORNADA!G20+'DIETOLOGÍA(S)'!G20)</f>
        <v>30</v>
      </c>
      <c r="H20" s="7">
        <f>SUM(PACIENTES!H20+COMEDOR!H20+JORNADA!H20+'DIETOLOGÍA(S)'!H20)</f>
        <v>60</v>
      </c>
      <c r="I20" s="7">
        <f>SUM(PACIENTES!I20+COMEDOR!I20+JORNADA!I20+'DIETOLOGÍA(S)'!I20)</f>
        <v>28</v>
      </c>
      <c r="J20" s="7">
        <f>SUM(PACIENTES!J20+COMEDOR!J20+JORNADA!J20+'DIETOLOGÍA(S)'!J20)</f>
        <v>30</v>
      </c>
      <c r="K20" s="7">
        <f>SUM(PACIENTES!K20+COMEDOR!K20+JORNADA!K20+'DIETOLOGÍA(S)'!K20)</f>
        <v>0</v>
      </c>
      <c r="L20" s="7">
        <f>SUM(PACIENTES!L20+COMEDOR!L20+JORNADA!L20+'DIETOLOGÍA(S)'!L20)</f>
        <v>60</v>
      </c>
      <c r="M20" s="7">
        <f>SUM(PACIENTES!M20+COMEDOR!M20+JORNADA!M20+'DIETOLOGÍA(S)'!M20)</f>
        <v>35</v>
      </c>
      <c r="N20" s="7">
        <f>SUM(PACIENTES!N20+COMEDOR!N20+JORNADA!N20+'DIETOLOGÍA(S)'!N20)</f>
        <v>30</v>
      </c>
      <c r="O20" s="7">
        <f>SUM(PACIENTES!O20+COMEDOR!O20+JORNADA!O20+'DIETOLOGÍA(S)'!O20)</f>
        <v>50</v>
      </c>
      <c r="P20" s="7">
        <f>SUM(PACIENTES!P20+COMEDOR!P20+JORNADA!P20+'DIETOLOGÍA(S)'!P20)</f>
        <v>54</v>
      </c>
      <c r="Q20" s="7">
        <f>SUM(PACIENTES!Q20+COMEDOR!Q20+JORNADA!Q20+'DIETOLOGÍA(S)'!Q20)</f>
        <v>4</v>
      </c>
      <c r="R20" s="7">
        <f>SUM(PACIENTES!R20+COMEDOR!R20+JORNADA!R20+'DIETOLOGÍA(S)'!R20)</f>
        <v>0</v>
      </c>
      <c r="S20" s="7">
        <f>SUM(PACIENTES!S20+COMEDOR!S20+JORNADA!S20+'DIETOLOGÍA(S)'!S20)</f>
        <v>86</v>
      </c>
      <c r="T20" s="7">
        <f>SUM(PACIENTES!T20+COMEDOR!T20+JORNADA!T20+'DIETOLOGÍA(S)'!T20)</f>
        <v>30</v>
      </c>
      <c r="U20" s="7">
        <f>SUM(PACIENTES!U20+COMEDOR!U20+JORNADA!U20+'DIETOLOGÍA(S)'!U20)</f>
        <v>35</v>
      </c>
      <c r="V20" s="7">
        <f>SUM(PACIENTES!V20+COMEDOR!V20+JORNADA!V20+'DIETOLOGÍA(S)'!V20)</f>
        <v>0</v>
      </c>
      <c r="W20" s="7">
        <f>SUM(PACIENTES!W20+COMEDOR!W20+JORNADA!W20+'DIETOLOGÍA(S)'!W20)</f>
        <v>62</v>
      </c>
      <c r="X20" s="7">
        <f>SUM(PACIENTES!X20+COMEDOR!X20+JORNADA!X20+'DIETOLOGÍA(S)'!X20)</f>
        <v>30</v>
      </c>
      <c r="Y20" s="7">
        <f>SUM(PACIENTES!Y20+COMEDOR!Y20+JORNADA!Y20+'DIETOLOGÍA(S)'!Y20)</f>
        <v>26</v>
      </c>
      <c r="Z20" s="7">
        <f>SUM(PACIENTES!Z20+COMEDOR!Z20+JORNADA!Z20+'DIETOLOGÍA(S)'!Z20)</f>
        <v>0</v>
      </c>
      <c r="AA20" s="7">
        <f>SUM(PACIENTES!AA20+COMEDOR!AA20+JORNADA!AA20+'DIETOLOGÍA(S)'!AA20)</f>
        <v>60</v>
      </c>
      <c r="AB20" s="7">
        <f>SUM(PACIENTES!AB20+COMEDOR!AB20+JORNADA!AB20+'DIETOLOGÍA(S)'!AB20)</f>
        <v>0</v>
      </c>
      <c r="AC20" s="7">
        <f>SUM(PACIENTES!AC20+COMEDOR!AC20+JORNADA!AC20+'DIETOLOGÍA(S)'!AC20)</f>
        <v>52</v>
      </c>
      <c r="AD20" s="7">
        <f>SUM(PACIENTES!AD20+COMEDOR!AD20+JORNADA!AD20+'DIETOLOGÍA(S)'!AD20)</f>
        <v>2</v>
      </c>
      <c r="AE20" s="7">
        <f>SUM(PACIENTES!AE20+COMEDOR!AE20+JORNADA!AE20+'DIETOLOGÍA(S)'!AE20)</f>
        <v>56</v>
      </c>
      <c r="AF20" s="7">
        <f>SUM(PACIENTES!AF20+COMEDOR!AF20+JORNADA!AF20+'DIETOLOGÍA(S)'!AF20)</f>
        <v>0</v>
      </c>
      <c r="AG20" s="7">
        <f>SUM(PACIENTES!AG20+COMEDOR!AG20+JORNADA!AG20+'DIETOLOGÍA(S)'!AG20)</f>
        <v>0</v>
      </c>
      <c r="AH20" s="7">
        <f>SUM(PACIENTES!AH20+COMEDOR!AH20+JORNADA!AH20+'DIETOLOGÍA(S)'!AH20)</f>
        <v>30</v>
      </c>
      <c r="AI20" s="9">
        <f t="shared" si="0"/>
        <v>1028</v>
      </c>
    </row>
    <row r="21" spans="1:35" ht="15.75" customHeight="1">
      <c r="A21" s="10">
        <v>2212004019</v>
      </c>
      <c r="B21" s="11" t="s">
        <v>24</v>
      </c>
      <c r="C21" s="12" t="s">
        <v>6</v>
      </c>
      <c r="D21" s="7">
        <f>SUM(PACIENTES!D21+COMEDOR!D21+JORNADA!D21+'DIETOLOGÍA(S)'!D21)</f>
        <v>0</v>
      </c>
      <c r="E21" s="7">
        <f>SUM(PACIENTES!E21+COMEDOR!E21+JORNADA!E21+'DIETOLOGÍA(S)'!E21)</f>
        <v>0</v>
      </c>
      <c r="F21" s="7">
        <f>SUM(PACIENTES!F21+COMEDOR!F21+JORNADA!F21+'DIETOLOGÍA(S)'!F21)</f>
        <v>0</v>
      </c>
      <c r="G21" s="7">
        <f>SUM(PACIENTES!G21+COMEDOR!G21+JORNADA!G21+'DIETOLOGÍA(S)'!G21)</f>
        <v>0</v>
      </c>
      <c r="H21" s="7">
        <f>SUM(PACIENTES!H21+COMEDOR!H21+JORNADA!H21+'DIETOLOGÍA(S)'!H21)</f>
        <v>0</v>
      </c>
      <c r="I21" s="7">
        <f>SUM(PACIENTES!I21+COMEDOR!I21+JORNADA!I21+'DIETOLOGÍA(S)'!I21)</f>
        <v>0</v>
      </c>
      <c r="J21" s="7">
        <f>SUM(PACIENTES!J21+COMEDOR!J21+JORNADA!J21+'DIETOLOGÍA(S)'!J21)</f>
        <v>2</v>
      </c>
      <c r="K21" s="7">
        <f>SUM(PACIENTES!K21+COMEDOR!K21+JORNADA!K21+'DIETOLOGÍA(S)'!K21)</f>
        <v>30</v>
      </c>
      <c r="L21" s="7">
        <f>SUM(PACIENTES!L21+COMEDOR!L21+JORNADA!L21+'DIETOLOGÍA(S)'!L21)</f>
        <v>0</v>
      </c>
      <c r="M21" s="7">
        <f>SUM(PACIENTES!M21+COMEDOR!M21+JORNADA!M21+'DIETOLOGÍA(S)'!M21)</f>
        <v>0</v>
      </c>
      <c r="N21" s="7">
        <f>SUM(PACIENTES!N21+COMEDOR!N21+JORNADA!N21+'DIETOLOGÍA(S)'!N21)</f>
        <v>0</v>
      </c>
      <c r="O21" s="7">
        <f>SUM(PACIENTES!O21+COMEDOR!O21+JORNADA!O21+'DIETOLOGÍA(S)'!O21)</f>
        <v>0</v>
      </c>
      <c r="P21" s="7">
        <f>SUM(PACIENTES!P21+COMEDOR!P21+JORNADA!P21+'DIETOLOGÍA(S)'!P21)</f>
        <v>0</v>
      </c>
      <c r="Q21" s="7">
        <f>SUM(PACIENTES!Q21+COMEDOR!Q21+JORNADA!Q21+'DIETOLOGÍA(S)'!Q21)</f>
        <v>30</v>
      </c>
      <c r="R21" s="7">
        <f>SUM(PACIENTES!R21+COMEDOR!R21+JORNADA!R21+'DIETOLOGÍA(S)'!R21)</f>
        <v>0</v>
      </c>
      <c r="S21" s="7">
        <f>SUM(PACIENTES!S21+COMEDOR!S21+JORNADA!S21+'DIETOLOGÍA(S)'!S21)</f>
        <v>0</v>
      </c>
      <c r="T21" s="7">
        <f>SUM(PACIENTES!T21+COMEDOR!T21+JORNADA!T21+'DIETOLOGÍA(S)'!T21)</f>
        <v>0</v>
      </c>
      <c r="U21" s="7">
        <f>SUM(PACIENTES!U21+COMEDOR!U21+JORNADA!U21+'DIETOLOGÍA(S)'!U21)</f>
        <v>0</v>
      </c>
      <c r="V21" s="7">
        <f>SUM(PACIENTES!V21+COMEDOR!V21+JORNADA!V21+'DIETOLOGÍA(S)'!V21)</f>
        <v>30</v>
      </c>
      <c r="W21" s="7">
        <f>SUM(PACIENTES!W21+COMEDOR!W21+JORNADA!W21+'DIETOLOGÍA(S)'!W21)</f>
        <v>0</v>
      </c>
      <c r="X21" s="7">
        <f>SUM(PACIENTES!X21+COMEDOR!X21+JORNADA!X21+'DIETOLOGÍA(S)'!X21)</f>
        <v>2</v>
      </c>
      <c r="Y21" s="7">
        <f>SUM(PACIENTES!Y21+COMEDOR!Y21+JORNADA!Y21+'DIETOLOGÍA(S)'!Y21)</f>
        <v>0</v>
      </c>
      <c r="Z21" s="7">
        <f>SUM(PACIENTES!Z21+COMEDOR!Z21+JORNADA!Z21+'DIETOLOGÍA(S)'!Z21)</f>
        <v>30</v>
      </c>
      <c r="AA21" s="7">
        <f>SUM(PACIENTES!AA21+COMEDOR!AA21+JORNADA!AA21+'DIETOLOGÍA(S)'!AA21)</f>
        <v>0</v>
      </c>
      <c r="AB21" s="7">
        <f>SUM(PACIENTES!AB21+COMEDOR!AB21+JORNADA!AB21+'DIETOLOGÍA(S)'!AB21)</f>
        <v>0</v>
      </c>
      <c r="AC21" s="7">
        <f>SUM(PACIENTES!AC21+COMEDOR!AC21+JORNADA!AC21+'DIETOLOGÍA(S)'!AC21)</f>
        <v>0</v>
      </c>
      <c r="AD21" s="7">
        <f>SUM(PACIENTES!AD21+COMEDOR!AD21+JORNADA!AD21+'DIETOLOGÍA(S)'!AD21)</f>
        <v>0</v>
      </c>
      <c r="AE21" s="7">
        <f>SUM(PACIENTES!AE21+COMEDOR!AE21+JORNADA!AE21+'DIETOLOGÍA(S)'!AE21)</f>
        <v>0</v>
      </c>
      <c r="AF21" s="7">
        <f>SUM(PACIENTES!AF21+COMEDOR!AF21+JORNADA!AF21+'DIETOLOGÍA(S)'!AF21)</f>
        <v>30</v>
      </c>
      <c r="AG21" s="7">
        <f>SUM(PACIENTES!AG21+COMEDOR!AG21+JORNADA!AG21+'DIETOLOGÍA(S)'!AG21)</f>
        <v>0</v>
      </c>
      <c r="AH21" s="7">
        <f>SUM(PACIENTES!AH21+COMEDOR!AH21+JORNADA!AH21+'DIETOLOGÍA(S)'!AH21)</f>
        <v>0</v>
      </c>
      <c r="AI21" s="9">
        <f t="shared" si="0"/>
        <v>154</v>
      </c>
    </row>
    <row r="22" spans="1:35" ht="15.75" customHeight="1">
      <c r="A22" s="10">
        <v>2212004020</v>
      </c>
      <c r="B22" s="11" t="s">
        <v>25</v>
      </c>
      <c r="C22" s="12" t="s">
        <v>6</v>
      </c>
      <c r="D22" s="7">
        <f>SUM(PACIENTES!D22+COMEDOR!D22+JORNADA!D22+'DIETOLOGÍA(S)'!D22+'NUTRICIÓN CLÍNICA'!D5)</f>
        <v>85</v>
      </c>
      <c r="E22" s="7">
        <f>SUM(PACIENTES!E22+COMEDOR!E22+JORNADA!E22+'DIETOLOGÍA(S)'!E22+'NUTRICIÓN CLÍNICA'!E5)</f>
        <v>85</v>
      </c>
      <c r="F22" s="7">
        <f>SUM(PACIENTES!F22+COMEDOR!F22+JORNADA!F22+'DIETOLOGÍA(S)'!F22+'NUTRICIÓN CLÍNICA'!F5)</f>
        <v>30</v>
      </c>
      <c r="G22" s="7">
        <f>SUM(PACIENTES!G22+COMEDOR!G22+JORNADA!G22+'DIETOLOGÍA(S)'!G22+'NUTRICIÓN CLÍNICA'!G5)</f>
        <v>35</v>
      </c>
      <c r="H22" s="7">
        <f>SUM(PACIENTES!H22+COMEDOR!H22+JORNADA!H22+'DIETOLOGÍA(S)'!H22+'NUTRICIÓN CLÍNICA'!H5)</f>
        <v>42</v>
      </c>
      <c r="I22" s="7">
        <f>SUM(PACIENTES!I22+COMEDOR!I22+JORNADA!I22+'DIETOLOGÍA(S)'!I22+'NUTRICIÓN CLÍNICA'!I5)</f>
        <v>57</v>
      </c>
      <c r="J22" s="7">
        <f>SUM(PACIENTES!J22+COMEDOR!J22+JORNADA!J22+'DIETOLOGÍA(S)'!J22+'NUTRICIÓN CLÍNICA'!J5)</f>
        <v>56</v>
      </c>
      <c r="K22" s="7">
        <f>SUM(PACIENTES!K22+COMEDOR!K22+JORNADA!K22+'DIETOLOGÍA(S)'!K22+'NUTRICIÓN CLÍNICA'!K5)</f>
        <v>95</v>
      </c>
      <c r="L22" s="7">
        <f>SUM(PACIENTES!L22+COMEDOR!L22+JORNADA!L22+'DIETOLOGÍA(S)'!L22+'NUTRICIÓN CLÍNICA'!L5)</f>
        <v>42</v>
      </c>
      <c r="M22" s="7">
        <f>SUM(PACIENTES!M22+COMEDOR!M22+JORNADA!M22+'DIETOLOGÍA(S)'!M22+'NUTRICIÓN CLÍNICA'!M5)</f>
        <v>50</v>
      </c>
      <c r="N22" s="7">
        <f>SUM(PACIENTES!N22+COMEDOR!N22+JORNADA!N22+'DIETOLOGÍA(S)'!N22+'NUTRICIÓN CLÍNICA'!N5)</f>
        <v>5</v>
      </c>
      <c r="O22" s="7">
        <f>SUM(PACIENTES!O22+COMEDOR!O22+JORNADA!O22+'DIETOLOGÍA(S)'!O22+'NUTRICIÓN CLÍNICA'!O5)</f>
        <v>5</v>
      </c>
      <c r="P22" s="7">
        <f>SUM(PACIENTES!P22+COMEDOR!P22+JORNADA!P22+'DIETOLOGÍA(S)'!P22+'NUTRICIÓN CLÍNICA'!P5)</f>
        <v>117</v>
      </c>
      <c r="Q22" s="7">
        <f>SUM(PACIENTES!Q22+COMEDOR!Q22+JORNADA!Q22+'DIETOLOGÍA(S)'!Q22+'NUTRICIÓN CLÍNICA'!Q5)</f>
        <v>76</v>
      </c>
      <c r="R22" s="7">
        <f>SUM(PACIENTES!R22+COMEDOR!R22+JORNADA!R22+'DIETOLOGÍA(S)'!R22+'NUTRICIÓN CLÍNICA'!R5)</f>
        <v>35</v>
      </c>
      <c r="S22" s="7">
        <f>SUM(PACIENTES!S22+COMEDOR!S22+JORNADA!S22+'DIETOLOGÍA(S)'!S22+'NUTRICIÓN CLÍNICA'!S5)</f>
        <v>85</v>
      </c>
      <c r="T22" s="7">
        <f>SUM(PACIENTES!T22+COMEDOR!T22+JORNADA!T22+'DIETOLOGÍA(S)'!T22+'NUTRICIÓN CLÍNICA'!T5)</f>
        <v>35</v>
      </c>
      <c r="U22" s="7">
        <f>SUM(PACIENTES!U22+COMEDOR!U22+JORNADA!U22+'DIETOLOGÍA(S)'!U22+'NUTRICIÓN CLÍNICA'!U5)</f>
        <v>55</v>
      </c>
      <c r="V22" s="7">
        <f>SUM(PACIENTES!V22+COMEDOR!V22+JORNADA!V22+'DIETOLOGÍA(S)'!V22+'NUTRICIÓN CLÍNICA'!V5)</f>
        <v>75</v>
      </c>
      <c r="W22" s="7">
        <f>SUM(PACIENTES!W22+COMEDOR!W22+JORNADA!W22+'DIETOLOGÍA(S)'!W22+'NUTRICIÓN CLÍNICA'!W5)</f>
        <v>64</v>
      </c>
      <c r="X22" s="7">
        <f>SUM(PACIENTES!X22+COMEDOR!X22+JORNADA!X22+'DIETOLOGÍA(S)'!X22+'NUTRICIÓN CLÍNICA'!X5)</f>
        <v>56</v>
      </c>
      <c r="Y22" s="7">
        <f>SUM(PACIENTES!Y22+COMEDOR!Y22+JORNADA!Y22+'DIETOLOGÍA(S)'!Y22+'NUTRICIÓN CLÍNICA'!Y5)</f>
        <v>55</v>
      </c>
      <c r="Z22" s="7">
        <f>SUM(PACIENTES!Z22+COMEDOR!Z22+JORNADA!Z22+'DIETOLOGÍA(S)'!Z22+'NUTRICIÓN CLÍNICA'!Z5)</f>
        <v>95</v>
      </c>
      <c r="AA22" s="7">
        <f>SUM(PACIENTES!AA22+COMEDOR!AA22+JORNADA!AA22+'DIETOLOGÍA(S)'!AA22+'NUTRICIÓN CLÍNICA'!AA5)</f>
        <v>5</v>
      </c>
      <c r="AB22" s="7">
        <f>SUM(PACIENTES!AB22+COMEDOR!AB22+JORNADA!AB22+'DIETOLOGÍA(S)'!AB22+'NUTRICIÓN CLÍNICA'!AB5)</f>
        <v>65</v>
      </c>
      <c r="AC22" s="7">
        <f>SUM(PACIENTES!AC22+COMEDOR!AC22+JORNADA!AC22+'DIETOLOGÍA(S)'!AC22+'NUTRICIÓN CLÍNICA'!AC5)</f>
        <v>85</v>
      </c>
      <c r="AD22" s="7">
        <f>SUM(PACIENTES!AD22+COMEDOR!AD22+JORNADA!AD22+'DIETOLOGÍA(S)'!AD22+'NUTRICIÓN CLÍNICA'!AD5)</f>
        <v>14</v>
      </c>
      <c r="AE22" s="7">
        <f>SUM(PACIENTES!AE22+COMEDOR!AE22+JORNADA!AE22+'DIETOLOGÍA(S)'!AE22+'NUTRICIÓN CLÍNICA'!AE5)</f>
        <v>86</v>
      </c>
      <c r="AF22" s="7">
        <f>SUM(PACIENTES!AF22+COMEDOR!AF22+JORNADA!AF22+'DIETOLOGÍA(S)'!AF22+'NUTRICIÓN CLÍNICA'!AF5)</f>
        <v>75</v>
      </c>
      <c r="AG22" s="7">
        <f>SUM(PACIENTES!AG22+COMEDOR!AG22+JORNADA!AG22+'DIETOLOGÍA(S)'!AG22+'NUTRICIÓN CLÍNICA'!AG5)</f>
        <v>35</v>
      </c>
      <c r="AH22" s="7">
        <f>SUM(PACIENTES!AH22+COMEDOR!AH22+JORNADA!AH22+'DIETOLOGÍA(S)'!AH22+'NUTRICIÓN CLÍNICA'!AH5)</f>
        <v>5</v>
      </c>
      <c r="AI22" s="9">
        <f t="shared" si="0"/>
        <v>1705</v>
      </c>
    </row>
    <row r="23" spans="1:35" ht="15.75" customHeight="1">
      <c r="A23" s="10">
        <v>2212004021</v>
      </c>
      <c r="B23" s="11" t="s">
        <v>26</v>
      </c>
      <c r="C23" s="12" t="s">
        <v>6</v>
      </c>
      <c r="D23" s="7">
        <f>SUM(PACIENTES!D23+COMEDOR!D23+JORNADA!D23+'DIETOLOGÍA(S)'!D23)</f>
        <v>0</v>
      </c>
      <c r="E23" s="7">
        <f>SUM(PACIENTES!E23+COMEDOR!E23+JORNADA!E23+'DIETOLOGÍA(S)'!E23)</f>
        <v>0</v>
      </c>
      <c r="F23" s="7">
        <f>SUM(PACIENTES!F23+COMEDOR!F23+JORNADA!F23+'DIETOLOGÍA(S)'!F23)</f>
        <v>0</v>
      </c>
      <c r="G23" s="7">
        <f>SUM(PACIENTES!G23+COMEDOR!G23+JORNADA!G23+'DIETOLOGÍA(S)'!G23)</f>
        <v>30</v>
      </c>
      <c r="H23" s="7">
        <f>SUM(PACIENTES!H23+COMEDOR!H23+JORNADA!H23+'DIETOLOGÍA(S)'!H23)</f>
        <v>0</v>
      </c>
      <c r="I23" s="7">
        <f>SUM(PACIENTES!I23+COMEDOR!I23+JORNADA!I23+'DIETOLOGÍA(S)'!I23)</f>
        <v>2</v>
      </c>
      <c r="J23" s="7">
        <f>SUM(PACIENTES!J23+COMEDOR!J23+JORNADA!J23+'DIETOLOGÍA(S)'!J23)</f>
        <v>2</v>
      </c>
      <c r="K23" s="7">
        <f>SUM(PACIENTES!K23+COMEDOR!K23+JORNADA!K23+'DIETOLOGÍA(S)'!K23)</f>
        <v>0</v>
      </c>
      <c r="L23" s="7">
        <f>SUM(PACIENTES!L23+COMEDOR!L23+JORNADA!L23+'DIETOLOGÍA(S)'!L23)</f>
        <v>0</v>
      </c>
      <c r="M23" s="7">
        <f>SUM(PACIENTES!M23+COMEDOR!M23+JORNADA!M23+'DIETOLOGÍA(S)'!M23)</f>
        <v>30</v>
      </c>
      <c r="N23" s="7">
        <f>SUM(PACIENTES!N23+COMEDOR!N23+JORNADA!N23+'DIETOLOGÍA(S)'!N23)</f>
        <v>0</v>
      </c>
      <c r="O23" s="7">
        <f>SUM(PACIENTES!O23+COMEDOR!O23+JORNADA!O23+'DIETOLOGÍA(S)'!O23)</f>
        <v>0</v>
      </c>
      <c r="P23" s="7">
        <f>SUM(PACIENTES!P23+COMEDOR!P23+JORNADA!P23+'DIETOLOGÍA(S)'!P23)</f>
        <v>2</v>
      </c>
      <c r="Q23" s="7">
        <f>SUM(PACIENTES!Q23+COMEDOR!Q23+JORNADA!Q23+'DIETOLOGÍA(S)'!Q23)</f>
        <v>0</v>
      </c>
      <c r="R23" s="7">
        <f>SUM(PACIENTES!R23+COMEDOR!R23+JORNADA!R23+'DIETOLOGÍA(S)'!R23)</f>
        <v>0</v>
      </c>
      <c r="S23" s="7">
        <f>SUM(PACIENTES!S23+COMEDOR!S23+JORNADA!S23+'DIETOLOGÍA(S)'!S23)</f>
        <v>0</v>
      </c>
      <c r="T23" s="7">
        <f>SUM(PACIENTES!T23+COMEDOR!T23+JORNADA!T23+'DIETOLOGÍA(S)'!T23)</f>
        <v>0</v>
      </c>
      <c r="U23" s="7">
        <f>SUM(PACIENTES!U23+COMEDOR!U23+JORNADA!U23+'DIETOLOGÍA(S)'!U23)</f>
        <v>30</v>
      </c>
      <c r="V23" s="7">
        <f>SUM(PACIENTES!V23+COMEDOR!V23+JORNADA!V23+'DIETOLOGÍA(S)'!V23)</f>
        <v>0</v>
      </c>
      <c r="W23" s="7">
        <f>SUM(PACIENTES!W23+COMEDOR!W23+JORNADA!W23+'DIETOLOGÍA(S)'!W23)</f>
        <v>2</v>
      </c>
      <c r="X23" s="7">
        <f>SUM(PACIENTES!X23+COMEDOR!X23+JORNADA!X23+'DIETOLOGÍA(S)'!X23)</f>
        <v>2</v>
      </c>
      <c r="Y23" s="7">
        <f>SUM(PACIENTES!Y23+COMEDOR!Y23+JORNADA!Y23+'DIETOLOGÍA(S)'!Y23)</f>
        <v>0</v>
      </c>
      <c r="Z23" s="7">
        <f>SUM(PACIENTES!Z23+COMEDOR!Z23+JORNADA!Z23+'DIETOLOGÍA(S)'!Z23)</f>
        <v>0</v>
      </c>
      <c r="AA23" s="7">
        <f>SUM(PACIENTES!AA23+COMEDOR!AA23+JORNADA!AA23+'DIETOLOGÍA(S)'!AA23)</f>
        <v>30</v>
      </c>
      <c r="AB23" s="7">
        <f>SUM(PACIENTES!AB23+COMEDOR!AB23+JORNADA!AB23+'DIETOLOGÍA(S)'!AB23)</f>
        <v>30</v>
      </c>
      <c r="AC23" s="7">
        <f>SUM(PACIENTES!AC23+COMEDOR!AC23+JORNADA!AC23+'DIETOLOGÍA(S)'!AC23)</f>
        <v>0</v>
      </c>
      <c r="AD23" s="7">
        <f>SUM(PACIENTES!AD23+COMEDOR!AD23+JORNADA!AD23+'DIETOLOGÍA(S)'!AD23)</f>
        <v>2</v>
      </c>
      <c r="AE23" s="7">
        <f>SUM(PACIENTES!AE23+COMEDOR!AE23+JORNADA!AE23+'DIETOLOGÍA(S)'!AE23)</f>
        <v>0</v>
      </c>
      <c r="AF23" s="7">
        <f>SUM(PACIENTES!AF23+COMEDOR!AF23+JORNADA!AF23+'DIETOLOGÍA(S)'!AF23)</f>
        <v>0</v>
      </c>
      <c r="AG23" s="7">
        <f>SUM(PACIENTES!AG23+COMEDOR!AG23+JORNADA!AG23+'DIETOLOGÍA(S)'!AG23)</f>
        <v>0</v>
      </c>
      <c r="AH23" s="7">
        <f>SUM(PACIENTES!AH23+COMEDOR!AH23+JORNADA!AH23+'DIETOLOGÍA(S)'!AH23)</f>
        <v>25</v>
      </c>
      <c r="AI23" s="9">
        <f t="shared" si="0"/>
        <v>187</v>
      </c>
    </row>
    <row r="24" spans="1:35" ht="15.75" customHeight="1">
      <c r="A24" s="10">
        <v>2212004022</v>
      </c>
      <c r="B24" s="11" t="s">
        <v>27</v>
      </c>
      <c r="C24" s="12" t="s">
        <v>6</v>
      </c>
      <c r="D24" s="7">
        <f>SUM(PACIENTES!D24+COMEDOR!D24+JORNADA!D24+'DIETOLOGÍA(S)'!D24)</f>
        <v>0</v>
      </c>
      <c r="E24" s="7">
        <f>SUM(PACIENTES!E24+COMEDOR!E24+JORNADA!E24+'DIETOLOGÍA(S)'!E24)</f>
        <v>0</v>
      </c>
      <c r="F24" s="7">
        <f>SUM(PACIENTES!F24+COMEDOR!F24+JORNADA!F24+'DIETOLOGÍA(S)'!F24)</f>
        <v>0</v>
      </c>
      <c r="G24" s="7">
        <f>SUM(PACIENTES!G24+COMEDOR!G24+JORNADA!G24+'DIETOLOGÍA(S)'!G24)</f>
        <v>0</v>
      </c>
      <c r="H24" s="7">
        <f>SUM(PACIENTES!H24+COMEDOR!H24+JORNADA!H24+'DIETOLOGÍA(S)'!H24)</f>
        <v>0</v>
      </c>
      <c r="I24" s="7">
        <f>SUM(PACIENTES!I24+COMEDOR!I24+JORNADA!I24+'DIETOLOGÍA(S)'!I24)</f>
        <v>0</v>
      </c>
      <c r="J24" s="7">
        <f>SUM(PACIENTES!J24+COMEDOR!J24+JORNADA!J24+'DIETOLOGÍA(S)'!J24)</f>
        <v>0</v>
      </c>
      <c r="K24" s="7">
        <f>SUM(PACIENTES!K24+COMEDOR!K24+JORNADA!K24+'DIETOLOGÍA(S)'!K24)</f>
        <v>0</v>
      </c>
      <c r="L24" s="7">
        <f>SUM(PACIENTES!L24+COMEDOR!L24+JORNADA!L24+'DIETOLOGÍA(S)'!L24)</f>
        <v>0</v>
      </c>
      <c r="M24" s="7">
        <f>SUM(PACIENTES!M24+COMEDOR!M24+JORNADA!M24+'DIETOLOGÍA(S)'!M24)</f>
        <v>0</v>
      </c>
      <c r="N24" s="7">
        <f>SUM(PACIENTES!N24+COMEDOR!N24+JORNADA!N24+'DIETOLOGÍA(S)'!N24)</f>
        <v>0</v>
      </c>
      <c r="O24" s="7">
        <f>SUM(PACIENTES!O24+COMEDOR!O24+JORNADA!O24+'DIETOLOGÍA(S)'!O24)</f>
        <v>0</v>
      </c>
      <c r="P24" s="7">
        <f>SUM(PACIENTES!P24+COMEDOR!P24+JORNADA!P24+'DIETOLOGÍA(S)'!P24)</f>
        <v>0</v>
      </c>
      <c r="Q24" s="7">
        <f>SUM(PACIENTES!Q24+COMEDOR!Q24+JORNADA!Q24+'DIETOLOGÍA(S)'!Q24)</f>
        <v>0</v>
      </c>
      <c r="R24" s="7">
        <f>SUM(PACIENTES!R24+COMEDOR!R24+JORNADA!R24+'DIETOLOGÍA(S)'!R24)</f>
        <v>0</v>
      </c>
      <c r="S24" s="7">
        <f>SUM(PACIENTES!S24+COMEDOR!S24+JORNADA!S24+'DIETOLOGÍA(S)'!S24)</f>
        <v>0</v>
      </c>
      <c r="T24" s="7">
        <f>SUM(PACIENTES!T24+COMEDOR!T24+JORNADA!T24+'DIETOLOGÍA(S)'!T24)</f>
        <v>0</v>
      </c>
      <c r="U24" s="7">
        <f>SUM(PACIENTES!U24+COMEDOR!U24+JORNADA!U24+'DIETOLOGÍA(S)'!U24)</f>
        <v>0</v>
      </c>
      <c r="V24" s="7">
        <f>SUM(PACIENTES!V24+COMEDOR!V24+JORNADA!V24+'DIETOLOGÍA(S)'!V24)</f>
        <v>0</v>
      </c>
      <c r="W24" s="7">
        <f>SUM(PACIENTES!W24+COMEDOR!W24+JORNADA!W24+'DIETOLOGÍA(S)'!W24)</f>
        <v>0</v>
      </c>
      <c r="X24" s="7">
        <f>SUM(PACIENTES!X24+COMEDOR!X24+JORNADA!X24+'DIETOLOGÍA(S)'!X24)</f>
        <v>0</v>
      </c>
      <c r="Y24" s="7">
        <f>SUM(PACIENTES!Y24+COMEDOR!Y24+JORNADA!Y24+'DIETOLOGÍA(S)'!Y24)</f>
        <v>0</v>
      </c>
      <c r="Z24" s="7">
        <f>SUM(PACIENTES!Z24+COMEDOR!Z24+JORNADA!Z24+'DIETOLOGÍA(S)'!Z24)</f>
        <v>0</v>
      </c>
      <c r="AA24" s="7">
        <f>SUM(PACIENTES!AA24+COMEDOR!AA24+JORNADA!AA24+'DIETOLOGÍA(S)'!AA24)</f>
        <v>0</v>
      </c>
      <c r="AB24" s="7">
        <f>SUM(PACIENTES!AB24+COMEDOR!AB24+JORNADA!AB24+'DIETOLOGÍA(S)'!AB24)</f>
        <v>0</v>
      </c>
      <c r="AC24" s="7">
        <f>SUM(PACIENTES!AC24+COMEDOR!AC24+JORNADA!AC24+'DIETOLOGÍA(S)'!AC24)</f>
        <v>0</v>
      </c>
      <c r="AD24" s="7">
        <f>SUM(PACIENTES!AD24+COMEDOR!AD24+JORNADA!AD24+'DIETOLOGÍA(S)'!AD24)</f>
        <v>0</v>
      </c>
      <c r="AE24" s="7">
        <f>SUM(PACIENTES!AE24+COMEDOR!AE24+JORNADA!AE24+'DIETOLOGÍA(S)'!AE24)</f>
        <v>0</v>
      </c>
      <c r="AF24" s="7">
        <f>SUM(PACIENTES!AF24+COMEDOR!AF24+JORNADA!AF24+'DIETOLOGÍA(S)'!AF24)</f>
        <v>0</v>
      </c>
      <c r="AG24" s="7">
        <f>SUM(PACIENTES!AG24+COMEDOR!AG24+JORNADA!AG24+'DIETOLOGÍA(S)'!AG24)</f>
        <v>0</v>
      </c>
      <c r="AH24" s="7">
        <f>SUM(PACIENTES!AH24+COMEDOR!AH24+JORNADA!AH24+'DIETOLOGÍA(S)'!AH24)</f>
        <v>0</v>
      </c>
      <c r="AI24" s="9">
        <f t="shared" si="0"/>
        <v>0</v>
      </c>
    </row>
    <row r="25" spans="1:35" ht="15.75" customHeight="1">
      <c r="A25" s="10">
        <v>2212004023</v>
      </c>
      <c r="B25" s="11" t="s">
        <v>28</v>
      </c>
      <c r="C25" s="12" t="s">
        <v>6</v>
      </c>
      <c r="D25" s="7">
        <f>SUM(PACIENTES!D25+COMEDOR!D25+JORNADA!D25+'DIETOLOGÍA(S)'!D25)</f>
        <v>0</v>
      </c>
      <c r="E25" s="7">
        <f>SUM(PACIENTES!E25+COMEDOR!E25+JORNADA!E25+'DIETOLOGÍA(S)'!E25)</f>
        <v>0</v>
      </c>
      <c r="F25" s="7">
        <f>SUM(PACIENTES!F25+COMEDOR!F25+JORNADA!F25+'DIETOLOGÍA(S)'!F25)</f>
        <v>0</v>
      </c>
      <c r="G25" s="7">
        <f>SUM(PACIENTES!G25+COMEDOR!G25+JORNADA!G25+'DIETOLOGÍA(S)'!G25)</f>
        <v>0</v>
      </c>
      <c r="H25" s="7">
        <f>SUM(PACIENTES!H25+COMEDOR!H25+JORNADA!H25+'DIETOLOGÍA(S)'!H25)</f>
        <v>0</v>
      </c>
      <c r="I25" s="7">
        <f>SUM(PACIENTES!I25+COMEDOR!I25+JORNADA!I25+'DIETOLOGÍA(S)'!I25)</f>
        <v>0</v>
      </c>
      <c r="J25" s="7">
        <f>SUM(PACIENTES!J25+COMEDOR!J25+JORNADA!J25+'DIETOLOGÍA(S)'!J25)</f>
        <v>3</v>
      </c>
      <c r="K25" s="7">
        <f>SUM(PACIENTES!K25+COMEDOR!K25+JORNADA!K25+'DIETOLOGÍA(S)'!K25)</f>
        <v>0</v>
      </c>
      <c r="L25" s="7">
        <f>SUM(PACIENTES!L25+COMEDOR!L25+JORNADA!L25+'DIETOLOGÍA(S)'!L25)</f>
        <v>0</v>
      </c>
      <c r="M25" s="7">
        <f>SUM(PACIENTES!M25+COMEDOR!M25+JORNADA!M25+'DIETOLOGÍA(S)'!M25)</f>
        <v>0</v>
      </c>
      <c r="N25" s="7">
        <f>SUM(PACIENTES!N25+COMEDOR!N25+JORNADA!N25+'DIETOLOGÍA(S)'!N25)</f>
        <v>0</v>
      </c>
      <c r="O25" s="7">
        <f>SUM(PACIENTES!O25+COMEDOR!O25+JORNADA!O25+'DIETOLOGÍA(S)'!O25)</f>
        <v>0</v>
      </c>
      <c r="P25" s="7">
        <f>SUM(PACIENTES!P25+COMEDOR!P25+JORNADA!P25+'DIETOLOGÍA(S)'!P25)</f>
        <v>0</v>
      </c>
      <c r="Q25" s="7">
        <f>SUM(PACIENTES!Q25+COMEDOR!Q25+JORNADA!Q25+'DIETOLOGÍA(S)'!Q25)</f>
        <v>3</v>
      </c>
      <c r="R25" s="7">
        <f>SUM(PACIENTES!R25+COMEDOR!R25+JORNADA!R25+'DIETOLOGÍA(S)'!R25)</f>
        <v>0</v>
      </c>
      <c r="S25" s="7">
        <f>SUM(PACIENTES!S25+COMEDOR!S25+JORNADA!S25+'DIETOLOGÍA(S)'!S25)</f>
        <v>0</v>
      </c>
      <c r="T25" s="7">
        <f>SUM(PACIENTES!T25+COMEDOR!T25+JORNADA!T25+'DIETOLOGÍA(S)'!T25)</f>
        <v>0</v>
      </c>
      <c r="U25" s="7">
        <f>SUM(PACIENTES!U25+COMEDOR!U25+JORNADA!U25+'DIETOLOGÍA(S)'!U25)</f>
        <v>0</v>
      </c>
      <c r="V25" s="7">
        <f>SUM(PACIENTES!V25+COMEDOR!V25+JORNADA!V25+'DIETOLOGÍA(S)'!V25)</f>
        <v>0</v>
      </c>
      <c r="W25" s="7">
        <f>SUM(PACIENTES!W25+COMEDOR!W25+JORNADA!W25+'DIETOLOGÍA(S)'!W25)</f>
        <v>0</v>
      </c>
      <c r="X25" s="7">
        <f>SUM(PACIENTES!X25+COMEDOR!X25+JORNADA!X25+'DIETOLOGÍA(S)'!X25)</f>
        <v>3</v>
      </c>
      <c r="Y25" s="7">
        <f>SUM(PACIENTES!Y25+COMEDOR!Y25+JORNADA!Y25+'DIETOLOGÍA(S)'!Y25)</f>
        <v>0</v>
      </c>
      <c r="Z25" s="7">
        <f>SUM(PACIENTES!Z25+COMEDOR!Z25+JORNADA!Z25+'DIETOLOGÍA(S)'!Z25)</f>
        <v>0</v>
      </c>
      <c r="AA25" s="7">
        <f>SUM(PACIENTES!AA25+COMEDOR!AA25+JORNADA!AA25+'DIETOLOGÍA(S)'!AA25)</f>
        <v>0</v>
      </c>
      <c r="AB25" s="7">
        <f>SUM(PACIENTES!AB25+COMEDOR!AB25+JORNADA!AB25+'DIETOLOGÍA(S)'!AB25)</f>
        <v>0</v>
      </c>
      <c r="AC25" s="7">
        <f>SUM(PACIENTES!AC25+COMEDOR!AC25+JORNADA!AC25+'DIETOLOGÍA(S)'!AC25)</f>
        <v>0</v>
      </c>
      <c r="AD25" s="7">
        <f>SUM(PACIENTES!AD25+COMEDOR!AD25+JORNADA!AD25+'DIETOLOGÍA(S)'!AD25)</f>
        <v>0</v>
      </c>
      <c r="AE25" s="7">
        <f>SUM(PACIENTES!AE25+COMEDOR!AE25+JORNADA!AE25+'DIETOLOGÍA(S)'!AE25)</f>
        <v>3</v>
      </c>
      <c r="AF25" s="7">
        <f>SUM(PACIENTES!AF25+COMEDOR!AF25+JORNADA!AF25+'DIETOLOGÍA(S)'!AF25)</f>
        <v>0</v>
      </c>
      <c r="AG25" s="7">
        <f>SUM(PACIENTES!AG25+COMEDOR!AG25+JORNADA!AG25+'DIETOLOGÍA(S)'!AG25)</f>
        <v>0</v>
      </c>
      <c r="AH25" s="7">
        <f>SUM(PACIENTES!AH25+COMEDOR!AH25+JORNADA!AH25+'DIETOLOGÍA(S)'!AH25)</f>
        <v>0</v>
      </c>
      <c r="AI25" s="9">
        <f t="shared" si="0"/>
        <v>12</v>
      </c>
    </row>
    <row r="26" spans="1:35" ht="15.75" customHeight="1">
      <c r="A26" s="10">
        <v>2212004025</v>
      </c>
      <c r="B26" s="11" t="s">
        <v>29</v>
      </c>
      <c r="C26" s="12" t="s">
        <v>6</v>
      </c>
      <c r="D26" s="7">
        <f>SUM(PACIENTES!D26+COMEDOR!D26+JORNADA!D26+'DIETOLOGÍA(S)'!D26)</f>
        <v>0</v>
      </c>
      <c r="E26" s="7">
        <f>SUM(PACIENTES!E26+COMEDOR!E26+JORNADA!E26+'DIETOLOGÍA(S)'!E26)</f>
        <v>0</v>
      </c>
      <c r="F26" s="7">
        <f>SUM(PACIENTES!F26+COMEDOR!F26+JORNADA!F26+'DIETOLOGÍA(S)'!F26)</f>
        <v>0</v>
      </c>
      <c r="G26" s="7">
        <f>SUM(PACIENTES!G26+COMEDOR!G26+JORNADA!G26+'DIETOLOGÍA(S)'!G26)</f>
        <v>0</v>
      </c>
      <c r="H26" s="7">
        <f>SUM(PACIENTES!H26+COMEDOR!H26+JORNADA!H26+'DIETOLOGÍA(S)'!H26)</f>
        <v>0</v>
      </c>
      <c r="I26" s="7">
        <f>SUM(PACIENTES!I26+COMEDOR!I26+JORNADA!I26+'DIETOLOGÍA(S)'!I26)</f>
        <v>0</v>
      </c>
      <c r="J26" s="7">
        <f>SUM(PACIENTES!J26+COMEDOR!J26+JORNADA!J26+'DIETOLOGÍA(S)'!J26)</f>
        <v>0</v>
      </c>
      <c r="K26" s="7">
        <f>SUM(PACIENTES!K26+COMEDOR!K26+JORNADA!K26+'DIETOLOGÍA(S)'!K26)</f>
        <v>0</v>
      </c>
      <c r="L26" s="7">
        <f>SUM(PACIENTES!L26+COMEDOR!L26+JORNADA!L26+'DIETOLOGÍA(S)'!L26)</f>
        <v>0</v>
      </c>
      <c r="M26" s="7">
        <f>SUM(PACIENTES!M26+COMEDOR!M26+JORNADA!M26+'DIETOLOGÍA(S)'!M26)</f>
        <v>0</v>
      </c>
      <c r="N26" s="7">
        <f>SUM(PACIENTES!N26+COMEDOR!N26+JORNADA!N26+'DIETOLOGÍA(S)'!N26)</f>
        <v>0</v>
      </c>
      <c r="O26" s="7">
        <f>SUM(PACIENTES!O26+COMEDOR!O26+JORNADA!O26+'DIETOLOGÍA(S)'!O26)</f>
        <v>0</v>
      </c>
      <c r="P26" s="7">
        <f>SUM(PACIENTES!P26+COMEDOR!P26+JORNADA!P26+'DIETOLOGÍA(S)'!P26)</f>
        <v>0</v>
      </c>
      <c r="Q26" s="7">
        <f>SUM(PACIENTES!Q26+COMEDOR!Q26+JORNADA!Q26+'DIETOLOGÍA(S)'!Q26)</f>
        <v>0</v>
      </c>
      <c r="R26" s="7">
        <f>SUM(PACIENTES!R26+COMEDOR!R26+JORNADA!R26+'DIETOLOGÍA(S)'!R26)</f>
        <v>0</v>
      </c>
      <c r="S26" s="7">
        <f>SUM(PACIENTES!S26+COMEDOR!S26+JORNADA!S26+'DIETOLOGÍA(S)'!S26)</f>
        <v>0</v>
      </c>
      <c r="T26" s="7">
        <f>SUM(PACIENTES!T26+COMEDOR!T26+JORNADA!T26+'DIETOLOGÍA(S)'!T26)</f>
        <v>0</v>
      </c>
      <c r="U26" s="7">
        <f>SUM(PACIENTES!U26+COMEDOR!U26+JORNADA!U26+'DIETOLOGÍA(S)'!U26)</f>
        <v>0</v>
      </c>
      <c r="V26" s="7">
        <f>SUM(PACIENTES!V26+COMEDOR!V26+JORNADA!V26+'DIETOLOGÍA(S)'!V26)</f>
        <v>0</v>
      </c>
      <c r="W26" s="7">
        <f>SUM(PACIENTES!W26+COMEDOR!W26+JORNADA!W26+'DIETOLOGÍA(S)'!W26)</f>
        <v>0</v>
      </c>
      <c r="X26" s="7">
        <f>SUM(PACIENTES!X26+COMEDOR!X26+JORNADA!X26+'DIETOLOGÍA(S)'!X26)</f>
        <v>0</v>
      </c>
      <c r="Y26" s="7">
        <f>SUM(PACIENTES!Y26+COMEDOR!Y26+JORNADA!Y26+'DIETOLOGÍA(S)'!Y26)</f>
        <v>0</v>
      </c>
      <c r="Z26" s="7">
        <f>SUM(PACIENTES!Z26+COMEDOR!Z26+JORNADA!Z26+'DIETOLOGÍA(S)'!Z26)</f>
        <v>0</v>
      </c>
      <c r="AA26" s="7">
        <f>SUM(PACIENTES!AA26+COMEDOR!AA26+JORNADA!AA26+'DIETOLOGÍA(S)'!AA26)</f>
        <v>0</v>
      </c>
      <c r="AB26" s="7">
        <f>SUM(PACIENTES!AB26+COMEDOR!AB26+JORNADA!AB26+'DIETOLOGÍA(S)'!AB26)</f>
        <v>0</v>
      </c>
      <c r="AC26" s="7">
        <f>SUM(PACIENTES!AC26+COMEDOR!AC26+JORNADA!AC26+'DIETOLOGÍA(S)'!AC26)</f>
        <v>0</v>
      </c>
      <c r="AD26" s="7">
        <f>SUM(PACIENTES!AD26+COMEDOR!AD26+JORNADA!AD26+'DIETOLOGÍA(S)'!AD26)</f>
        <v>0</v>
      </c>
      <c r="AE26" s="7">
        <f>SUM(PACIENTES!AE26+COMEDOR!AE26+JORNADA!AE26+'DIETOLOGÍA(S)'!AE26)</f>
        <v>0</v>
      </c>
      <c r="AF26" s="7">
        <f>SUM(PACIENTES!AF26+COMEDOR!AF26+JORNADA!AF26+'DIETOLOGÍA(S)'!AF26)</f>
        <v>0</v>
      </c>
      <c r="AG26" s="7">
        <f>SUM(PACIENTES!AG26+COMEDOR!AG26+JORNADA!AG26+'DIETOLOGÍA(S)'!AG26)</f>
        <v>0</v>
      </c>
      <c r="AH26" s="7">
        <f>SUM(PACIENTES!AH26+COMEDOR!AH26+JORNADA!AH26+'DIETOLOGÍA(S)'!AH26)</f>
        <v>0</v>
      </c>
      <c r="AI26" s="9">
        <f t="shared" si="0"/>
        <v>0</v>
      </c>
    </row>
    <row r="27" spans="1:35" ht="15.75" customHeight="1">
      <c r="A27" s="33">
        <v>2212004028</v>
      </c>
      <c r="B27" s="36" t="s">
        <v>30</v>
      </c>
      <c r="C27" s="12" t="s">
        <v>6</v>
      </c>
      <c r="D27" s="7">
        <f>SUM(PACIENTES!D27+COMEDOR!D27+JORNADA!D27+'DIETOLOGÍA(S)'!D27)</f>
        <v>0</v>
      </c>
      <c r="E27" s="7">
        <f>SUM(PACIENTES!E27+COMEDOR!E27+JORNADA!E27+'DIETOLOGÍA(S)'!E27)</f>
        <v>0</v>
      </c>
      <c r="F27" s="7">
        <f>SUM(PACIENTES!F27+COMEDOR!F27+JORNADA!F27+'DIETOLOGÍA(S)'!F27)</f>
        <v>0</v>
      </c>
      <c r="G27" s="7">
        <f>SUM(PACIENTES!G27+COMEDOR!G27+JORNADA!G27+'DIETOLOGÍA(S)'!G27)</f>
        <v>0</v>
      </c>
      <c r="H27" s="7">
        <f>SUM(PACIENTES!H27+COMEDOR!H27+JORNADA!H27+'DIETOLOGÍA(S)'!H27)</f>
        <v>0</v>
      </c>
      <c r="I27" s="7">
        <f>SUM(PACIENTES!I27+COMEDOR!I27+JORNADA!I27+'DIETOLOGÍA(S)'!I27)</f>
        <v>2</v>
      </c>
      <c r="J27" s="7">
        <f>SUM(PACIENTES!J27+COMEDOR!J27+JORNADA!J27+'DIETOLOGÍA(S)'!J27)</f>
        <v>1</v>
      </c>
      <c r="K27" s="7">
        <f>SUM(PACIENTES!K27+COMEDOR!K27+JORNADA!K27+'DIETOLOGÍA(S)'!K27)</f>
        <v>0</v>
      </c>
      <c r="L27" s="7">
        <f>SUM(PACIENTES!L27+COMEDOR!L27+JORNADA!L27+'DIETOLOGÍA(S)'!L27)</f>
        <v>0</v>
      </c>
      <c r="M27" s="7">
        <f>SUM(PACIENTES!M27+COMEDOR!M27+JORNADA!M27+'DIETOLOGÍA(S)'!M27)</f>
        <v>0</v>
      </c>
      <c r="N27" s="7">
        <f>SUM(PACIENTES!N27+COMEDOR!N27+JORNADA!N27+'DIETOLOGÍA(S)'!N27)</f>
        <v>0</v>
      </c>
      <c r="O27" s="7">
        <f>SUM(PACIENTES!O27+COMEDOR!O27+JORNADA!O27+'DIETOLOGÍA(S)'!O27)</f>
        <v>0</v>
      </c>
      <c r="P27" s="7">
        <f>SUM(PACIENTES!P27+COMEDOR!P27+JORNADA!P27+'DIETOLOGÍA(S)'!P27)</f>
        <v>2</v>
      </c>
      <c r="Q27" s="7">
        <f>SUM(PACIENTES!Q27+COMEDOR!Q27+JORNADA!Q27+'DIETOLOGÍA(S)'!Q27)</f>
        <v>1</v>
      </c>
      <c r="R27" s="7">
        <f>SUM(PACIENTES!R27+COMEDOR!R27+JORNADA!R27+'DIETOLOGÍA(S)'!R27)</f>
        <v>0</v>
      </c>
      <c r="S27" s="7">
        <f>SUM(PACIENTES!S27+COMEDOR!S27+JORNADA!S27+'DIETOLOGÍA(S)'!S27)</f>
        <v>0</v>
      </c>
      <c r="T27" s="7">
        <f>SUM(PACIENTES!T27+COMEDOR!T27+JORNADA!T27+'DIETOLOGÍA(S)'!T27)</f>
        <v>0</v>
      </c>
      <c r="U27" s="7">
        <f>SUM(PACIENTES!U27+COMEDOR!U27+JORNADA!U27+'DIETOLOGÍA(S)'!U27)</f>
        <v>0</v>
      </c>
      <c r="V27" s="7">
        <f>SUM(PACIENTES!V27+COMEDOR!V27+JORNADA!V27+'DIETOLOGÍA(S)'!V27)</f>
        <v>0</v>
      </c>
      <c r="W27" s="7">
        <f>SUM(PACIENTES!W27+COMEDOR!W27+JORNADA!W27+'DIETOLOGÍA(S)'!W27)</f>
        <v>2</v>
      </c>
      <c r="X27" s="7">
        <f>SUM(PACIENTES!X27+COMEDOR!X27+JORNADA!X27+'DIETOLOGÍA(S)'!X27)</f>
        <v>1</v>
      </c>
      <c r="Y27" s="7">
        <f>SUM(PACIENTES!Y27+COMEDOR!Y27+JORNADA!Y27+'DIETOLOGÍA(S)'!Y27)</f>
        <v>0</v>
      </c>
      <c r="Z27" s="7">
        <f>SUM(PACIENTES!Z27+COMEDOR!Z27+JORNADA!Z27+'DIETOLOGÍA(S)'!Z27)</f>
        <v>0</v>
      </c>
      <c r="AA27" s="7">
        <f>SUM(PACIENTES!AA27+COMEDOR!AA27+JORNADA!AA27+'DIETOLOGÍA(S)'!AA27)</f>
        <v>0</v>
      </c>
      <c r="AB27" s="7">
        <f>SUM(PACIENTES!AB27+COMEDOR!AB27+JORNADA!AB27+'DIETOLOGÍA(S)'!AB27)</f>
        <v>0</v>
      </c>
      <c r="AC27" s="7">
        <f>SUM(PACIENTES!AC27+COMEDOR!AC27+JORNADA!AC27+'DIETOLOGÍA(S)'!AC27)</f>
        <v>0</v>
      </c>
      <c r="AD27" s="7">
        <f>SUM(PACIENTES!AD27+COMEDOR!AD27+JORNADA!AD27+'DIETOLOGÍA(S)'!AD27)</f>
        <v>2</v>
      </c>
      <c r="AE27" s="7">
        <f>SUM(PACIENTES!AE27+COMEDOR!AE27+JORNADA!AE27+'DIETOLOGÍA(S)'!AE27)</f>
        <v>1</v>
      </c>
      <c r="AF27" s="7">
        <f>SUM(PACIENTES!AF27+COMEDOR!AF27+JORNADA!AF27+'DIETOLOGÍA(S)'!AF27)</f>
        <v>0</v>
      </c>
      <c r="AG27" s="7">
        <f>SUM(PACIENTES!AG27+COMEDOR!AG27+JORNADA!AG27+'DIETOLOGÍA(S)'!AG27)</f>
        <v>0</v>
      </c>
      <c r="AH27" s="7">
        <f>SUM(PACIENTES!AH27+COMEDOR!AH27+JORNADA!AH27+'DIETOLOGÍA(S)'!AH27)</f>
        <v>0</v>
      </c>
      <c r="AI27" s="9">
        <f t="shared" si="0"/>
        <v>12</v>
      </c>
    </row>
    <row r="28" spans="1:35" ht="15.75" customHeight="1">
      <c r="A28" s="10">
        <v>2212004029</v>
      </c>
      <c r="B28" s="11" t="s">
        <v>31</v>
      </c>
      <c r="C28" s="12" t="s">
        <v>6</v>
      </c>
      <c r="D28" s="7">
        <f>SUM(PACIENTES!D28+COMEDOR!D28+JORNADA!D28+'DIETOLOGÍA(S)'!D28)</f>
        <v>0</v>
      </c>
      <c r="E28" s="7">
        <f>SUM(PACIENTES!E28+COMEDOR!E28+JORNADA!E28+'DIETOLOGÍA(S)'!E28)</f>
        <v>0</v>
      </c>
      <c r="F28" s="7">
        <f>SUM(PACIENTES!F28+COMEDOR!F28+JORNADA!F28+'DIETOLOGÍA(S)'!F28)</f>
        <v>0</v>
      </c>
      <c r="G28" s="7">
        <f>SUM(PACIENTES!G28+COMEDOR!G28+JORNADA!G28+'DIETOLOGÍA(S)'!G28)</f>
        <v>30</v>
      </c>
      <c r="H28" s="7">
        <f>SUM(PACIENTES!H28+COMEDOR!H28+JORNADA!H28+'DIETOLOGÍA(S)'!H28)</f>
        <v>0</v>
      </c>
      <c r="I28" s="7">
        <f>SUM(PACIENTES!I28+COMEDOR!I28+JORNADA!I28+'DIETOLOGÍA(S)'!I28)</f>
        <v>28</v>
      </c>
      <c r="J28" s="7">
        <f>SUM(PACIENTES!J28+COMEDOR!J28+JORNADA!J28+'DIETOLOGÍA(S)'!J28)</f>
        <v>28</v>
      </c>
      <c r="K28" s="7">
        <f>SUM(PACIENTES!K28+COMEDOR!K28+JORNADA!K28+'DIETOLOGÍA(S)'!K28)</f>
        <v>0</v>
      </c>
      <c r="L28" s="7">
        <f>SUM(PACIENTES!L28+COMEDOR!L28+JORNADA!L28+'DIETOLOGÍA(S)'!L28)</f>
        <v>0</v>
      </c>
      <c r="M28" s="7">
        <f>SUM(PACIENTES!M28+COMEDOR!M28+JORNADA!M28+'DIETOLOGÍA(S)'!M28)</f>
        <v>0</v>
      </c>
      <c r="N28" s="7">
        <f>SUM(PACIENTES!N28+COMEDOR!N28+JORNADA!N28+'DIETOLOGÍA(S)'!N28)</f>
        <v>20</v>
      </c>
      <c r="O28" s="7">
        <f>SUM(PACIENTES!O28+COMEDOR!O28+JORNADA!O28+'DIETOLOGÍA(S)'!O28)</f>
        <v>30</v>
      </c>
      <c r="P28" s="7">
        <f>SUM(PACIENTES!P28+COMEDOR!P28+JORNADA!P28+'DIETOLOGÍA(S)'!P28)</f>
        <v>1</v>
      </c>
      <c r="Q28" s="7">
        <f>SUM(PACIENTES!Q28+COMEDOR!Q28+JORNADA!Q28+'DIETOLOGÍA(S)'!Q28)</f>
        <v>0</v>
      </c>
      <c r="R28" s="7">
        <f>SUM(PACIENTES!R28+COMEDOR!R28+JORNADA!R28+'DIETOLOGÍA(S)'!R28)</f>
        <v>0</v>
      </c>
      <c r="S28" s="7">
        <f>SUM(PACIENTES!S28+COMEDOR!S28+JORNADA!S28+'DIETOLOGÍA(S)'!S28)</f>
        <v>0</v>
      </c>
      <c r="T28" s="7">
        <f>SUM(PACIENTES!T28+COMEDOR!T28+JORNADA!T28+'DIETOLOGÍA(S)'!T28)</f>
        <v>0</v>
      </c>
      <c r="U28" s="7">
        <f>SUM(PACIENTES!U28+COMEDOR!U28+JORNADA!U28+'DIETOLOGÍA(S)'!U28)</f>
        <v>0</v>
      </c>
      <c r="V28" s="7">
        <f>SUM(PACIENTES!V28+COMEDOR!V28+JORNADA!V28+'DIETOLOGÍA(S)'!V28)</f>
        <v>0</v>
      </c>
      <c r="W28" s="7">
        <f>SUM(PACIENTES!W28+COMEDOR!W28+JORNADA!W28+'DIETOLOGÍA(S)'!W28)</f>
        <v>1</v>
      </c>
      <c r="X28" s="7">
        <f>SUM(PACIENTES!X28+COMEDOR!X28+JORNADA!X28+'DIETOLOGÍA(S)'!X28)</f>
        <v>28</v>
      </c>
      <c r="Y28" s="7">
        <f>SUM(PACIENTES!Y28+COMEDOR!Y28+JORNADA!Y28+'DIETOLOGÍA(S)'!Y28)</f>
        <v>27</v>
      </c>
      <c r="Z28" s="7">
        <f>SUM(PACIENTES!Z28+COMEDOR!Z28+JORNADA!Z28+'DIETOLOGÍA(S)'!Z28)</f>
        <v>0</v>
      </c>
      <c r="AA28" s="7">
        <f>SUM(PACIENTES!AA28+COMEDOR!AA28+JORNADA!AA28+'DIETOLOGÍA(S)'!AA28)</f>
        <v>40</v>
      </c>
      <c r="AB28" s="7">
        <f>SUM(PACIENTES!AB28+COMEDOR!AB28+JORNADA!AB28+'DIETOLOGÍA(S)'!AB28)</f>
        <v>30</v>
      </c>
      <c r="AC28" s="7">
        <f>SUM(PACIENTES!AC28+COMEDOR!AC28+JORNADA!AC28+'DIETOLOGÍA(S)'!AC28)</f>
        <v>0</v>
      </c>
      <c r="AD28" s="7">
        <f>SUM(PACIENTES!AD28+COMEDOR!AD28+JORNADA!AD28+'DIETOLOGÍA(S)'!AD28)</f>
        <v>28</v>
      </c>
      <c r="AE28" s="7">
        <f>SUM(PACIENTES!AE28+COMEDOR!AE28+JORNADA!AE28+'DIETOLOGÍA(S)'!AE28)</f>
        <v>0</v>
      </c>
      <c r="AF28" s="7">
        <f>SUM(PACIENTES!AF28+COMEDOR!AF28+JORNADA!AF28+'DIETOLOGÍA(S)'!AF28)</f>
        <v>0</v>
      </c>
      <c r="AG28" s="7">
        <f>SUM(PACIENTES!AG28+COMEDOR!AG28+JORNADA!AG28+'DIETOLOGÍA(S)'!AG28)</f>
        <v>0</v>
      </c>
      <c r="AH28" s="7">
        <f>SUM(PACIENTES!AH28+COMEDOR!AH28+JORNADA!AH28+'DIETOLOGÍA(S)'!AH28)</f>
        <v>30</v>
      </c>
      <c r="AI28" s="9">
        <f t="shared" si="0"/>
        <v>321</v>
      </c>
    </row>
    <row r="29" spans="1:35" ht="15.75" customHeight="1">
      <c r="A29" s="10">
        <v>2212004030</v>
      </c>
      <c r="B29" s="11" t="s">
        <v>32</v>
      </c>
      <c r="C29" s="12" t="s">
        <v>6</v>
      </c>
      <c r="D29" s="7">
        <f>SUM(PACIENTES!D29+COMEDOR!D29+JORNADA!D29+'DIETOLOGÍA(S)'!D29)</f>
        <v>0</v>
      </c>
      <c r="E29" s="7">
        <f>SUM(PACIENTES!E29+COMEDOR!E29+JORNADA!E29+'DIETOLOGÍA(S)'!E29)</f>
        <v>0</v>
      </c>
      <c r="F29" s="7">
        <f>SUM(PACIENTES!F29+COMEDOR!F29+JORNADA!F29+'DIETOLOGÍA(S)'!F29)</f>
        <v>0</v>
      </c>
      <c r="G29" s="7">
        <f>SUM(PACIENTES!G29+COMEDOR!G29+JORNADA!G29+'DIETOLOGÍA(S)'!G29)</f>
        <v>0</v>
      </c>
      <c r="H29" s="7">
        <f>SUM(PACIENTES!H29+COMEDOR!H29+JORNADA!H29+'DIETOLOGÍA(S)'!H29)</f>
        <v>0</v>
      </c>
      <c r="I29" s="7">
        <f>SUM(PACIENTES!I29+COMEDOR!I29+JORNADA!I29+'DIETOLOGÍA(S)'!I29)</f>
        <v>22</v>
      </c>
      <c r="J29" s="7">
        <f>SUM(PACIENTES!J29+COMEDOR!J29+JORNADA!J29+'DIETOLOGÍA(S)'!J29)</f>
        <v>20</v>
      </c>
      <c r="K29" s="7">
        <f>SUM(PACIENTES!K29+COMEDOR!K29+JORNADA!K29+'DIETOLOGÍA(S)'!K29)</f>
        <v>27</v>
      </c>
      <c r="L29" s="7">
        <f>SUM(PACIENTES!L29+COMEDOR!L29+JORNADA!L29+'DIETOLOGÍA(S)'!L29)</f>
        <v>0</v>
      </c>
      <c r="M29" s="7">
        <f>SUM(PACIENTES!M29+COMEDOR!M29+JORNADA!M29+'DIETOLOGÍA(S)'!M29)</f>
        <v>0</v>
      </c>
      <c r="N29" s="7">
        <f>SUM(PACIENTES!N29+COMEDOR!N29+JORNADA!N29+'DIETOLOGÍA(S)'!N29)</f>
        <v>0</v>
      </c>
      <c r="O29" s="7">
        <f>SUM(PACIENTES!O29+COMEDOR!O29+JORNADA!O29+'DIETOLOGÍA(S)'!O29)</f>
        <v>0</v>
      </c>
      <c r="P29" s="7">
        <f>SUM(PACIENTES!P29+COMEDOR!P29+JORNADA!P29+'DIETOLOGÍA(S)'!P29)</f>
        <v>1</v>
      </c>
      <c r="Q29" s="7">
        <f>SUM(PACIENTES!Q29+COMEDOR!Q29+JORNADA!Q29+'DIETOLOGÍA(S)'!Q29)</f>
        <v>28</v>
      </c>
      <c r="R29" s="7">
        <f>SUM(PACIENTES!R29+COMEDOR!R29+JORNADA!R29+'DIETOLOGÍA(S)'!R29)</f>
        <v>20</v>
      </c>
      <c r="S29" s="7">
        <f>SUM(PACIENTES!S29+COMEDOR!S29+JORNADA!S29+'DIETOLOGÍA(S)'!S29)</f>
        <v>0</v>
      </c>
      <c r="T29" s="7">
        <f>SUM(PACIENTES!T29+COMEDOR!T29+JORNADA!T29+'DIETOLOGÍA(S)'!T29)</f>
        <v>20</v>
      </c>
      <c r="U29" s="7">
        <f>SUM(PACIENTES!U29+COMEDOR!U29+JORNADA!U29+'DIETOLOGÍA(S)'!U29)</f>
        <v>0</v>
      </c>
      <c r="V29" s="7">
        <f>SUM(PACIENTES!V29+COMEDOR!V29+JORNADA!V29+'DIETOLOGÍA(S)'!V29)</f>
        <v>27</v>
      </c>
      <c r="W29" s="7">
        <f>SUM(PACIENTES!W29+COMEDOR!W29+JORNADA!W29+'DIETOLOGÍA(S)'!W29)</f>
        <v>2</v>
      </c>
      <c r="X29" s="7">
        <f>SUM(PACIENTES!X29+COMEDOR!X29+JORNADA!X29+'DIETOLOGÍA(S)'!X29)</f>
        <v>0</v>
      </c>
      <c r="Y29" s="7">
        <f>SUM(PACIENTES!Y29+COMEDOR!Y29+JORNADA!Y29+'DIETOLOGÍA(S)'!Y29)</f>
        <v>0</v>
      </c>
      <c r="Z29" s="7">
        <f>SUM(PACIENTES!Z29+COMEDOR!Z29+JORNADA!Z29+'DIETOLOGÍA(S)'!Z29)</f>
        <v>27</v>
      </c>
      <c r="AA29" s="7">
        <f>SUM(PACIENTES!AA29+COMEDOR!AA29+JORNADA!AA29+'DIETOLOGÍA(S)'!AA29)</f>
        <v>0</v>
      </c>
      <c r="AB29" s="7">
        <f>SUM(PACIENTES!AB29+COMEDOR!AB29+JORNADA!AB29+'DIETOLOGÍA(S)'!AB29)</f>
        <v>0</v>
      </c>
      <c r="AC29" s="7">
        <f>SUM(PACIENTES!AC29+COMEDOR!AC29+JORNADA!AC29+'DIETOLOGÍA(S)'!AC29)</f>
        <v>0</v>
      </c>
      <c r="AD29" s="7">
        <f>SUM(PACIENTES!AD29+COMEDOR!AD29+JORNADA!AD29+'DIETOLOGÍA(S)'!AD29)</f>
        <v>1</v>
      </c>
      <c r="AE29" s="7">
        <f>SUM(PACIENTES!AE29+COMEDOR!AE29+JORNADA!AE29+'DIETOLOGÍA(S)'!AE29)</f>
        <v>1</v>
      </c>
      <c r="AF29" s="7">
        <f>SUM(PACIENTES!AF29+COMEDOR!AF29+JORNADA!AF29+'DIETOLOGÍA(S)'!AF29)</f>
        <v>27</v>
      </c>
      <c r="AG29" s="7">
        <f>SUM(PACIENTES!AG29+COMEDOR!AG29+JORNADA!AG29+'DIETOLOGÍA(S)'!AG29)</f>
        <v>0</v>
      </c>
      <c r="AH29" s="7">
        <f>SUM(PACIENTES!AH29+COMEDOR!AH29+JORNADA!AH29+'DIETOLOGÍA(S)'!AH29)</f>
        <v>0</v>
      </c>
      <c r="AI29" s="9">
        <f t="shared" si="0"/>
        <v>223</v>
      </c>
    </row>
    <row r="30" spans="1:35" ht="15.75" customHeight="1">
      <c r="A30" s="10">
        <v>2212004031</v>
      </c>
      <c r="B30" s="11" t="s">
        <v>33</v>
      </c>
      <c r="C30" s="12" t="s">
        <v>6</v>
      </c>
      <c r="D30" s="7">
        <f>SUM(PACIENTES!D30+COMEDOR!D30+JORNADA!D30+'DIETOLOGÍA(S)'!D30)</f>
        <v>0</v>
      </c>
      <c r="E30" s="7">
        <f>SUM(PACIENTES!E30+COMEDOR!E30+JORNADA!E30+'DIETOLOGÍA(S)'!E30)</f>
        <v>0</v>
      </c>
      <c r="F30" s="7">
        <f>SUM(PACIENTES!F30+COMEDOR!F30+JORNADA!F30+'DIETOLOGÍA(S)'!F30)</f>
        <v>0</v>
      </c>
      <c r="G30" s="7">
        <f>SUM(PACIENTES!G30+COMEDOR!G30+JORNADA!G30+'DIETOLOGÍA(S)'!G30)</f>
        <v>0</v>
      </c>
      <c r="H30" s="7">
        <f>SUM(PACIENTES!H30+COMEDOR!H30+JORNADA!H30+'DIETOLOGÍA(S)'!H30)</f>
        <v>0</v>
      </c>
      <c r="I30" s="7">
        <f>SUM(PACIENTES!I30+COMEDOR!I30+JORNADA!I30+'DIETOLOGÍA(S)'!I30)</f>
        <v>0</v>
      </c>
      <c r="J30" s="7">
        <f>SUM(PACIENTES!J30+COMEDOR!J30+JORNADA!J30+'DIETOLOGÍA(S)'!J30)</f>
        <v>0</v>
      </c>
      <c r="K30" s="7">
        <f>SUM(PACIENTES!K30+COMEDOR!K30+JORNADA!K30+'DIETOLOGÍA(S)'!K30)</f>
        <v>0</v>
      </c>
      <c r="L30" s="7">
        <f>SUM(PACIENTES!L30+COMEDOR!L30+JORNADA!L30+'DIETOLOGÍA(S)'!L30)</f>
        <v>0</v>
      </c>
      <c r="M30" s="7">
        <f>SUM(PACIENTES!M30+COMEDOR!M30+JORNADA!M30+'DIETOLOGÍA(S)'!M30)</f>
        <v>0</v>
      </c>
      <c r="N30" s="7">
        <f>SUM(PACIENTES!N30+COMEDOR!N30+JORNADA!N30+'DIETOLOGÍA(S)'!N30)</f>
        <v>0</v>
      </c>
      <c r="O30" s="7">
        <f>SUM(PACIENTES!O30+COMEDOR!O30+JORNADA!O30+'DIETOLOGÍA(S)'!O30)</f>
        <v>0</v>
      </c>
      <c r="P30" s="7">
        <f>SUM(PACIENTES!P30+COMEDOR!P30+JORNADA!P30+'DIETOLOGÍA(S)'!P30)</f>
        <v>0</v>
      </c>
      <c r="Q30" s="7">
        <f>SUM(PACIENTES!Q30+COMEDOR!Q30+JORNADA!Q30+'DIETOLOGÍA(S)'!Q30)</f>
        <v>0</v>
      </c>
      <c r="R30" s="7">
        <f>SUM(PACIENTES!R30+COMEDOR!R30+JORNADA!R30+'DIETOLOGÍA(S)'!R30)</f>
        <v>0</v>
      </c>
      <c r="S30" s="7">
        <f>SUM(PACIENTES!S30+COMEDOR!S30+JORNADA!S30+'DIETOLOGÍA(S)'!S30)</f>
        <v>0</v>
      </c>
      <c r="T30" s="7">
        <f>SUM(PACIENTES!T30+COMEDOR!T30+JORNADA!T30+'DIETOLOGÍA(S)'!T30)</f>
        <v>0</v>
      </c>
      <c r="U30" s="7">
        <f>SUM(PACIENTES!U30+COMEDOR!U30+JORNADA!U30+'DIETOLOGÍA(S)'!U30)</f>
        <v>0</v>
      </c>
      <c r="V30" s="7">
        <f>SUM(PACIENTES!V30+COMEDOR!V30+JORNADA!V30+'DIETOLOGÍA(S)'!V30)</f>
        <v>0</v>
      </c>
      <c r="W30" s="7">
        <f>SUM(PACIENTES!W30+COMEDOR!W30+JORNADA!W30+'DIETOLOGÍA(S)'!W30)</f>
        <v>0</v>
      </c>
      <c r="X30" s="7">
        <f>SUM(PACIENTES!X30+COMEDOR!X30+JORNADA!X30+'DIETOLOGÍA(S)'!X30)</f>
        <v>0</v>
      </c>
      <c r="Y30" s="7">
        <f>SUM(PACIENTES!Y30+COMEDOR!Y30+JORNADA!Y30+'DIETOLOGÍA(S)'!Y30)</f>
        <v>0</v>
      </c>
      <c r="Z30" s="7">
        <f>SUM(PACIENTES!Z30+COMEDOR!Z30+JORNADA!Z30+'DIETOLOGÍA(S)'!Z30)</f>
        <v>0</v>
      </c>
      <c r="AA30" s="7">
        <f>SUM(PACIENTES!AA30+COMEDOR!AA30+JORNADA!AA30+'DIETOLOGÍA(S)'!AA30)</f>
        <v>0</v>
      </c>
      <c r="AB30" s="7">
        <f>SUM(PACIENTES!AB30+COMEDOR!AB30+JORNADA!AB30+'DIETOLOGÍA(S)'!AB30)</f>
        <v>0</v>
      </c>
      <c r="AC30" s="7">
        <f>SUM(PACIENTES!AC30+COMEDOR!AC30+JORNADA!AC30+'DIETOLOGÍA(S)'!AC30)</f>
        <v>0</v>
      </c>
      <c r="AD30" s="7">
        <f>SUM(PACIENTES!AD30+COMEDOR!AD30+JORNADA!AD30+'DIETOLOGÍA(S)'!AD30)</f>
        <v>0</v>
      </c>
      <c r="AE30" s="7">
        <f>SUM(PACIENTES!AE30+COMEDOR!AE30+JORNADA!AE30+'DIETOLOGÍA(S)'!AE30)</f>
        <v>0</v>
      </c>
      <c r="AF30" s="7">
        <f>SUM(PACIENTES!AF30+COMEDOR!AF30+JORNADA!AF30+'DIETOLOGÍA(S)'!AF30)</f>
        <v>0</v>
      </c>
      <c r="AG30" s="7">
        <f>SUM(PACIENTES!AG30+COMEDOR!AG30+JORNADA!AG30+'DIETOLOGÍA(S)'!AG30)</f>
        <v>0</v>
      </c>
      <c r="AH30" s="7">
        <f>SUM(PACIENTES!AH30+COMEDOR!AH30+JORNADA!AH30+'DIETOLOGÍA(S)'!AH30)</f>
        <v>0</v>
      </c>
      <c r="AI30" s="9">
        <f t="shared" si="0"/>
        <v>0</v>
      </c>
    </row>
    <row r="31" spans="1:35" ht="15.75" customHeight="1">
      <c r="A31" s="10">
        <v>2212004032</v>
      </c>
      <c r="B31" s="11" t="s">
        <v>34</v>
      </c>
      <c r="C31" s="12" t="s">
        <v>6</v>
      </c>
      <c r="D31" s="7">
        <f>SUM(PACIENTES!D31+COMEDOR!D31+JORNADA!D31+'DIETOLOGÍA(S)'!D31)</f>
        <v>0</v>
      </c>
      <c r="E31" s="7">
        <f>SUM(PACIENTES!E31+COMEDOR!E31+JORNADA!E31+'DIETOLOGÍA(S)'!E31)</f>
        <v>0</v>
      </c>
      <c r="F31" s="7">
        <f>SUM(PACIENTES!F31+COMEDOR!F31+JORNADA!F31+'DIETOLOGÍA(S)'!F31)</f>
        <v>0</v>
      </c>
      <c r="G31" s="7">
        <f>SUM(PACIENTES!G31+COMEDOR!G31+JORNADA!G31+'DIETOLOGÍA(S)'!G31)</f>
        <v>0</v>
      </c>
      <c r="H31" s="7">
        <f>SUM(PACIENTES!H31+COMEDOR!H31+JORNADA!H31+'DIETOLOGÍA(S)'!H31)</f>
        <v>0</v>
      </c>
      <c r="I31" s="7">
        <f>SUM(PACIENTES!I31+COMEDOR!I31+JORNADA!I31+'DIETOLOGÍA(S)'!I31)</f>
        <v>0</v>
      </c>
      <c r="J31" s="7">
        <f>SUM(PACIENTES!J31+COMEDOR!J31+JORNADA!J31+'DIETOLOGÍA(S)'!J31)</f>
        <v>0</v>
      </c>
      <c r="K31" s="7">
        <f>SUM(PACIENTES!K31+COMEDOR!K31+JORNADA!K31+'DIETOLOGÍA(S)'!K31)</f>
        <v>0</v>
      </c>
      <c r="L31" s="7">
        <f>SUM(PACIENTES!L31+COMEDOR!L31+JORNADA!L31+'DIETOLOGÍA(S)'!L31)</f>
        <v>0</v>
      </c>
      <c r="M31" s="7">
        <f>SUM(PACIENTES!M31+COMEDOR!M31+JORNADA!M31+'DIETOLOGÍA(S)'!M31)</f>
        <v>0</v>
      </c>
      <c r="N31" s="7">
        <f>SUM(PACIENTES!N31+COMEDOR!N31+JORNADA!N31+'DIETOLOGÍA(S)'!N31)</f>
        <v>0</v>
      </c>
      <c r="O31" s="7">
        <f>SUM(PACIENTES!O31+COMEDOR!O31+JORNADA!O31+'DIETOLOGÍA(S)'!O31)</f>
        <v>0</v>
      </c>
      <c r="P31" s="7">
        <f>SUM(PACIENTES!P31+COMEDOR!P31+JORNADA!P31+'DIETOLOGÍA(S)'!P31)</f>
        <v>0</v>
      </c>
      <c r="Q31" s="7">
        <f>SUM(PACIENTES!Q31+COMEDOR!Q31+JORNADA!Q31+'DIETOLOGÍA(S)'!Q31)</f>
        <v>1</v>
      </c>
      <c r="R31" s="7">
        <f>SUM(PACIENTES!R31+COMEDOR!R31+JORNADA!R31+'DIETOLOGÍA(S)'!R31)</f>
        <v>0</v>
      </c>
      <c r="S31" s="7">
        <f>SUM(PACIENTES!S31+COMEDOR!S31+JORNADA!S31+'DIETOLOGÍA(S)'!S31)</f>
        <v>0</v>
      </c>
      <c r="T31" s="7">
        <f>SUM(PACIENTES!T31+COMEDOR!T31+JORNADA!T31+'DIETOLOGÍA(S)'!T31)</f>
        <v>0</v>
      </c>
      <c r="U31" s="7">
        <f>SUM(PACIENTES!U31+COMEDOR!U31+JORNADA!U31+'DIETOLOGÍA(S)'!U31)</f>
        <v>0</v>
      </c>
      <c r="V31" s="7">
        <f>SUM(PACIENTES!V31+COMEDOR!V31+JORNADA!V31+'DIETOLOGÍA(S)'!V31)</f>
        <v>0</v>
      </c>
      <c r="W31" s="7">
        <f>SUM(PACIENTES!W31+COMEDOR!W31+JORNADA!W31+'DIETOLOGÍA(S)'!W31)</f>
        <v>0</v>
      </c>
      <c r="X31" s="7">
        <f>SUM(PACIENTES!X31+COMEDOR!X31+JORNADA!X31+'DIETOLOGÍA(S)'!X31)</f>
        <v>0</v>
      </c>
      <c r="Y31" s="7">
        <f>SUM(PACIENTES!Y31+COMEDOR!Y31+JORNADA!Y31+'DIETOLOGÍA(S)'!Y31)</f>
        <v>0</v>
      </c>
      <c r="Z31" s="7">
        <f>SUM(PACIENTES!Z31+COMEDOR!Z31+JORNADA!Z31+'DIETOLOGÍA(S)'!Z31)</f>
        <v>0</v>
      </c>
      <c r="AA31" s="7">
        <f>SUM(PACIENTES!AA31+COMEDOR!AA31+JORNADA!AA31+'DIETOLOGÍA(S)'!AA31)</f>
        <v>0</v>
      </c>
      <c r="AB31" s="7">
        <f>SUM(PACIENTES!AB31+COMEDOR!AB31+JORNADA!AB31+'DIETOLOGÍA(S)'!AB31)</f>
        <v>0</v>
      </c>
      <c r="AC31" s="7">
        <f>SUM(PACIENTES!AC31+COMEDOR!AC31+JORNADA!AC31+'DIETOLOGÍA(S)'!AC31)</f>
        <v>0</v>
      </c>
      <c r="AD31" s="7">
        <f>SUM(PACIENTES!AD31+COMEDOR!AD31+JORNADA!AD31+'DIETOLOGÍA(S)'!AD31)</f>
        <v>0</v>
      </c>
      <c r="AE31" s="7">
        <f>SUM(PACIENTES!AE31+COMEDOR!AE31+JORNADA!AE31+'DIETOLOGÍA(S)'!AE31)</f>
        <v>1</v>
      </c>
      <c r="AF31" s="7">
        <f>SUM(PACIENTES!AF31+COMEDOR!AF31+JORNADA!AF31+'DIETOLOGÍA(S)'!AF31)</f>
        <v>0</v>
      </c>
      <c r="AG31" s="7">
        <f>SUM(PACIENTES!AG31+COMEDOR!AG31+JORNADA!AG31+'DIETOLOGÍA(S)'!AG31)</f>
        <v>0</v>
      </c>
      <c r="AH31" s="7">
        <f>SUM(PACIENTES!AH31+COMEDOR!AH31+JORNADA!AH31+'DIETOLOGÍA(S)'!AH31)</f>
        <v>0</v>
      </c>
      <c r="AI31" s="9">
        <f t="shared" si="0"/>
        <v>2</v>
      </c>
    </row>
    <row r="32" spans="1:35" ht="15.75" customHeight="1">
      <c r="A32" s="10">
        <v>2212004034</v>
      </c>
      <c r="B32" s="11" t="s">
        <v>35</v>
      </c>
      <c r="C32" s="12" t="s">
        <v>6</v>
      </c>
      <c r="D32" s="7">
        <f>SUM(PACIENTES!D32+COMEDOR!D32+JORNADA!D32+'DIETOLOGÍA(S)'!D32)</f>
        <v>0</v>
      </c>
      <c r="E32" s="7">
        <f>SUM(PACIENTES!E32+COMEDOR!E32+JORNADA!E32+'DIETOLOGÍA(S)'!E32)</f>
        <v>0</v>
      </c>
      <c r="F32" s="7">
        <f>SUM(PACIENTES!F32+COMEDOR!F32+JORNADA!F32+'DIETOLOGÍA(S)'!F32)</f>
        <v>0</v>
      </c>
      <c r="G32" s="7">
        <f>SUM(PACIENTES!G32+COMEDOR!G32+JORNADA!G32+'DIETOLOGÍA(S)'!G32)</f>
        <v>0</v>
      </c>
      <c r="H32" s="7">
        <f>SUM(PACIENTES!H32+COMEDOR!H32+JORNADA!H32+'DIETOLOGÍA(S)'!H32)</f>
        <v>0</v>
      </c>
      <c r="I32" s="7">
        <f>SUM(PACIENTES!I32+COMEDOR!I32+JORNADA!I32+'DIETOLOGÍA(S)'!I32)</f>
        <v>0</v>
      </c>
      <c r="J32" s="7">
        <f>SUM(PACIENTES!J32+COMEDOR!J32+JORNADA!J32+'DIETOLOGÍA(S)'!J32)</f>
        <v>0</v>
      </c>
      <c r="K32" s="7">
        <f>SUM(PACIENTES!K32+COMEDOR!K32+JORNADA!K32+'DIETOLOGÍA(S)'!K32)</f>
        <v>0</v>
      </c>
      <c r="L32" s="7">
        <f>SUM(PACIENTES!L32+COMEDOR!L32+JORNADA!L32+'DIETOLOGÍA(S)'!L32)</f>
        <v>0</v>
      </c>
      <c r="M32" s="7">
        <f>SUM(PACIENTES!M32+COMEDOR!M32+JORNADA!M32+'DIETOLOGÍA(S)'!M32)</f>
        <v>0</v>
      </c>
      <c r="N32" s="7">
        <f>SUM(PACIENTES!N32+COMEDOR!N32+JORNADA!N32+'DIETOLOGÍA(S)'!N32)</f>
        <v>0</v>
      </c>
      <c r="O32" s="7">
        <f>SUM(PACIENTES!O32+COMEDOR!O32+JORNADA!O32+'DIETOLOGÍA(S)'!O32)</f>
        <v>0</v>
      </c>
      <c r="P32" s="7">
        <f>SUM(PACIENTES!P32+COMEDOR!P32+JORNADA!P32+'DIETOLOGÍA(S)'!P32)</f>
        <v>0</v>
      </c>
      <c r="Q32" s="7">
        <f>SUM(PACIENTES!Q32+COMEDOR!Q32+JORNADA!Q32+'DIETOLOGÍA(S)'!Q32)</f>
        <v>0</v>
      </c>
      <c r="R32" s="7">
        <f>SUM(PACIENTES!R32+COMEDOR!R32+JORNADA!R32+'DIETOLOGÍA(S)'!R32)</f>
        <v>0</v>
      </c>
      <c r="S32" s="7">
        <f>SUM(PACIENTES!S32+COMEDOR!S32+JORNADA!S32+'DIETOLOGÍA(S)'!S32)</f>
        <v>0</v>
      </c>
      <c r="T32" s="7">
        <f>SUM(PACIENTES!T32+COMEDOR!T32+JORNADA!T32+'DIETOLOGÍA(S)'!T32)</f>
        <v>0</v>
      </c>
      <c r="U32" s="7">
        <f>SUM(PACIENTES!U32+COMEDOR!U32+JORNADA!U32+'DIETOLOGÍA(S)'!U32)</f>
        <v>0</v>
      </c>
      <c r="V32" s="7">
        <f>SUM(PACIENTES!V32+COMEDOR!V32+JORNADA!V32+'DIETOLOGÍA(S)'!V32)</f>
        <v>0</v>
      </c>
      <c r="W32" s="7">
        <f>SUM(PACIENTES!W32+COMEDOR!W32+JORNADA!W32+'DIETOLOGÍA(S)'!W32)</f>
        <v>0</v>
      </c>
      <c r="X32" s="7">
        <f>SUM(PACIENTES!X32+COMEDOR!X32+JORNADA!X32+'DIETOLOGÍA(S)'!X32)</f>
        <v>0</v>
      </c>
      <c r="Y32" s="7">
        <f>SUM(PACIENTES!Y32+COMEDOR!Y32+JORNADA!Y32+'DIETOLOGÍA(S)'!Y32)</f>
        <v>0</v>
      </c>
      <c r="Z32" s="7">
        <f>SUM(PACIENTES!Z32+COMEDOR!Z32+JORNADA!Z32+'DIETOLOGÍA(S)'!Z32)</f>
        <v>0</v>
      </c>
      <c r="AA32" s="7">
        <f>SUM(PACIENTES!AA32+COMEDOR!AA32+JORNADA!AA32+'DIETOLOGÍA(S)'!AA32)</f>
        <v>0</v>
      </c>
      <c r="AB32" s="7">
        <f>SUM(PACIENTES!AB32+COMEDOR!AB32+JORNADA!AB32+'DIETOLOGÍA(S)'!AB32)</f>
        <v>0</v>
      </c>
      <c r="AC32" s="7">
        <f>SUM(PACIENTES!AC32+COMEDOR!AC32+JORNADA!AC32+'DIETOLOGÍA(S)'!AC32)</f>
        <v>0</v>
      </c>
      <c r="AD32" s="7">
        <f>SUM(PACIENTES!AD32+COMEDOR!AD32+JORNADA!AD32+'DIETOLOGÍA(S)'!AD32)</f>
        <v>0</v>
      </c>
      <c r="AE32" s="7">
        <f>SUM(PACIENTES!AE32+COMEDOR!AE32+JORNADA!AE32+'DIETOLOGÍA(S)'!AE32)</f>
        <v>0</v>
      </c>
      <c r="AF32" s="7">
        <f>SUM(PACIENTES!AF32+COMEDOR!AF32+JORNADA!AF32+'DIETOLOGÍA(S)'!AF32)</f>
        <v>0</v>
      </c>
      <c r="AG32" s="7">
        <f>SUM(PACIENTES!AG32+COMEDOR!AG32+JORNADA!AG32+'DIETOLOGÍA(S)'!AG32)</f>
        <v>0</v>
      </c>
      <c r="AH32" s="7">
        <f>SUM(PACIENTES!AH32+COMEDOR!AH32+JORNADA!AH32+'DIETOLOGÍA(S)'!AH32)</f>
        <v>0</v>
      </c>
      <c r="AI32" s="9">
        <f t="shared" si="0"/>
        <v>0</v>
      </c>
    </row>
    <row r="33" spans="1:35" ht="15.75" customHeight="1">
      <c r="A33" s="10">
        <v>2212004035</v>
      </c>
      <c r="B33" s="11" t="s">
        <v>36</v>
      </c>
      <c r="C33" s="12" t="s">
        <v>6</v>
      </c>
      <c r="D33" s="7">
        <f>SUM(PACIENTES!D33+COMEDOR!D33+JORNADA!D33+'DIETOLOGÍA(S)'!D33)</f>
        <v>0</v>
      </c>
      <c r="E33" s="7">
        <f>SUM(PACIENTES!E33+COMEDOR!E33+JORNADA!E33+'DIETOLOGÍA(S)'!E33)</f>
        <v>0</v>
      </c>
      <c r="F33" s="7">
        <f>SUM(PACIENTES!F33+COMEDOR!F33+JORNADA!F33+'DIETOLOGÍA(S)'!F33)</f>
        <v>0</v>
      </c>
      <c r="G33" s="7">
        <f>SUM(PACIENTES!G33+COMEDOR!G33+JORNADA!G33+'DIETOLOGÍA(S)'!G33)</f>
        <v>0</v>
      </c>
      <c r="H33" s="7">
        <f>SUM(PACIENTES!H33+COMEDOR!H33+JORNADA!H33+'DIETOLOGÍA(S)'!H33)</f>
        <v>0</v>
      </c>
      <c r="I33" s="7">
        <f>SUM(PACIENTES!I33+COMEDOR!I33+JORNADA!I33+'DIETOLOGÍA(S)'!I33)</f>
        <v>0</v>
      </c>
      <c r="J33" s="7">
        <f>SUM(PACIENTES!J33+COMEDOR!J33+JORNADA!J33+'DIETOLOGÍA(S)'!J33)</f>
        <v>2</v>
      </c>
      <c r="K33" s="7">
        <f>SUM(PACIENTES!K33+COMEDOR!K33+JORNADA!K33+'DIETOLOGÍA(S)'!K33)</f>
        <v>0</v>
      </c>
      <c r="L33" s="7">
        <f>SUM(PACIENTES!L33+COMEDOR!L33+JORNADA!L33+'DIETOLOGÍA(S)'!L33)</f>
        <v>0</v>
      </c>
      <c r="M33" s="7">
        <f>SUM(PACIENTES!M33+COMEDOR!M33+JORNADA!M33+'DIETOLOGÍA(S)'!M33)</f>
        <v>0</v>
      </c>
      <c r="N33" s="7">
        <f>SUM(PACIENTES!N33+COMEDOR!N33+JORNADA!N33+'DIETOLOGÍA(S)'!N33)</f>
        <v>0</v>
      </c>
      <c r="O33" s="7">
        <f>SUM(PACIENTES!O33+COMEDOR!O33+JORNADA!O33+'DIETOLOGÍA(S)'!O33)</f>
        <v>0</v>
      </c>
      <c r="P33" s="7">
        <f>SUM(PACIENTES!P33+COMEDOR!P33+JORNADA!P33+'DIETOLOGÍA(S)'!P33)</f>
        <v>0</v>
      </c>
      <c r="Q33" s="7">
        <f>SUM(PACIENTES!Q33+COMEDOR!Q33+JORNADA!Q33+'DIETOLOGÍA(S)'!Q33)</f>
        <v>0</v>
      </c>
      <c r="R33" s="7">
        <f>SUM(PACIENTES!R33+COMEDOR!R33+JORNADA!R33+'DIETOLOGÍA(S)'!R33)</f>
        <v>0</v>
      </c>
      <c r="S33" s="7">
        <f>SUM(PACIENTES!S33+COMEDOR!S33+JORNADA!S33+'DIETOLOGÍA(S)'!S33)</f>
        <v>0</v>
      </c>
      <c r="T33" s="7">
        <f>SUM(PACIENTES!T33+COMEDOR!T33+JORNADA!T33+'DIETOLOGÍA(S)'!T33)</f>
        <v>0</v>
      </c>
      <c r="U33" s="7">
        <f>SUM(PACIENTES!U33+COMEDOR!U33+JORNADA!U33+'DIETOLOGÍA(S)'!U33)</f>
        <v>0</v>
      </c>
      <c r="V33" s="7">
        <f>SUM(PACIENTES!V33+COMEDOR!V33+JORNADA!V33+'DIETOLOGÍA(S)'!V33)</f>
        <v>0</v>
      </c>
      <c r="W33" s="7">
        <f>SUM(PACIENTES!W33+COMEDOR!W33+JORNADA!W33+'DIETOLOGÍA(S)'!W33)</f>
        <v>0</v>
      </c>
      <c r="X33" s="7">
        <f>SUM(PACIENTES!X33+COMEDOR!X33+JORNADA!X33+'DIETOLOGÍA(S)'!X33)</f>
        <v>2</v>
      </c>
      <c r="Y33" s="7">
        <f>SUM(PACIENTES!Y33+COMEDOR!Y33+JORNADA!Y33+'DIETOLOGÍA(S)'!Y33)</f>
        <v>0</v>
      </c>
      <c r="Z33" s="7">
        <f>SUM(PACIENTES!Z33+COMEDOR!Z33+JORNADA!Z33+'DIETOLOGÍA(S)'!Z33)</f>
        <v>0</v>
      </c>
      <c r="AA33" s="7">
        <f>SUM(PACIENTES!AA33+COMEDOR!AA33+JORNADA!AA33+'DIETOLOGÍA(S)'!AA33)</f>
        <v>0</v>
      </c>
      <c r="AB33" s="7">
        <f>SUM(PACIENTES!AB33+COMEDOR!AB33+JORNADA!AB33+'DIETOLOGÍA(S)'!AB33)</f>
        <v>0</v>
      </c>
      <c r="AC33" s="7">
        <f>SUM(PACIENTES!AC33+COMEDOR!AC33+JORNADA!AC33+'DIETOLOGÍA(S)'!AC33)</f>
        <v>0</v>
      </c>
      <c r="AD33" s="7">
        <f>SUM(PACIENTES!AD33+COMEDOR!AD33+JORNADA!AD33+'DIETOLOGÍA(S)'!AD33)</f>
        <v>0</v>
      </c>
      <c r="AE33" s="7">
        <f>SUM(PACIENTES!AE33+COMEDOR!AE33+JORNADA!AE33+'DIETOLOGÍA(S)'!AE33)</f>
        <v>0</v>
      </c>
      <c r="AF33" s="7">
        <f>SUM(PACIENTES!AF33+COMEDOR!AF33+JORNADA!AF33+'DIETOLOGÍA(S)'!AF33)</f>
        <v>0</v>
      </c>
      <c r="AG33" s="7">
        <f>SUM(PACIENTES!AG33+COMEDOR!AG33+JORNADA!AG33+'DIETOLOGÍA(S)'!AG33)</f>
        <v>0</v>
      </c>
      <c r="AH33" s="7">
        <f>SUM(PACIENTES!AH33+COMEDOR!AH33+JORNADA!AH33+'DIETOLOGÍA(S)'!AH33)</f>
        <v>0</v>
      </c>
      <c r="AI33" s="9">
        <f t="shared" si="0"/>
        <v>4</v>
      </c>
    </row>
    <row r="34" spans="1:35" ht="15.75" customHeight="1">
      <c r="A34" s="37">
        <v>2212004038</v>
      </c>
      <c r="B34" s="38" t="s">
        <v>37</v>
      </c>
      <c r="C34" s="39" t="s">
        <v>8</v>
      </c>
      <c r="D34" s="435">
        <f>SUM(PACIENTES!D34+COMEDOR!D34+JORNADA!D34+'DIETOLOGÍA(S)'!D34)</f>
        <v>0</v>
      </c>
      <c r="E34" s="435">
        <f>SUM(PACIENTES!E34+COMEDOR!E34+JORNADA!E34+'DIETOLOGÍA(S)'!E34)</f>
        <v>0</v>
      </c>
      <c r="F34" s="435">
        <f>SUM(PACIENTES!F34+COMEDOR!F34+JORNADA!F34+'DIETOLOGÍA(S)'!F34)</f>
        <v>0</v>
      </c>
      <c r="G34" s="435">
        <f>SUM(PACIENTES!G34+COMEDOR!G34+JORNADA!G34+'DIETOLOGÍA(S)'!G34)</f>
        <v>0</v>
      </c>
      <c r="H34" s="435">
        <f>SUM(PACIENTES!H34+COMEDOR!H34+JORNADA!H34+'DIETOLOGÍA(S)'!H34)</f>
        <v>0</v>
      </c>
      <c r="I34" s="435">
        <f>SUM(PACIENTES!I34+COMEDOR!I34+JORNADA!I34+'DIETOLOGÍA(S)'!I34)</f>
        <v>0</v>
      </c>
      <c r="J34" s="435">
        <f>SUM(PACIENTES!J34+COMEDOR!J34+JORNADA!J34+'DIETOLOGÍA(S)'!J34)</f>
        <v>0</v>
      </c>
      <c r="K34" s="435">
        <f>SUM(PACIENTES!K34+COMEDOR!K34+JORNADA!K34+'DIETOLOGÍA(S)'!K34)</f>
        <v>0</v>
      </c>
      <c r="L34" s="435">
        <f>SUM(PACIENTES!L34+COMEDOR!L34+JORNADA!L34+'DIETOLOGÍA(S)'!L34)</f>
        <v>0</v>
      </c>
      <c r="M34" s="435">
        <f>SUM(PACIENTES!M34+COMEDOR!M34+JORNADA!M34+'DIETOLOGÍA(S)'!M34)</f>
        <v>0</v>
      </c>
      <c r="N34" s="435">
        <f>SUM(PACIENTES!N34+COMEDOR!N34+JORNADA!N34+'DIETOLOGÍA(S)'!N34)</f>
        <v>0</v>
      </c>
      <c r="O34" s="435">
        <f>SUM(PACIENTES!O34+COMEDOR!O34+JORNADA!O34+'DIETOLOGÍA(S)'!O34)</f>
        <v>0</v>
      </c>
      <c r="P34" s="435">
        <f>SUM(PACIENTES!P34+COMEDOR!P34+JORNADA!P34+'DIETOLOGÍA(S)'!P34)</f>
        <v>0</v>
      </c>
      <c r="Q34" s="435">
        <f>SUM(PACIENTES!Q34+COMEDOR!Q34+JORNADA!Q34+'DIETOLOGÍA(S)'!Q34)</f>
        <v>0</v>
      </c>
      <c r="R34" s="435">
        <f>SUM(PACIENTES!R34+COMEDOR!R34+JORNADA!R34+'DIETOLOGÍA(S)'!R34)</f>
        <v>0</v>
      </c>
      <c r="S34" s="435">
        <f>SUM(PACIENTES!S34+COMEDOR!S34+JORNADA!S34+'DIETOLOGÍA(S)'!S34)</f>
        <v>0</v>
      </c>
      <c r="T34" s="435">
        <f>SUM(PACIENTES!T34+COMEDOR!T34+JORNADA!T34+'DIETOLOGÍA(S)'!T34)</f>
        <v>0</v>
      </c>
      <c r="U34" s="435">
        <f>SUM(PACIENTES!U34+COMEDOR!U34+JORNADA!U34+'DIETOLOGÍA(S)'!U34)</f>
        <v>0</v>
      </c>
      <c r="V34" s="435">
        <f>SUM(PACIENTES!V34+COMEDOR!V34+JORNADA!V34+'DIETOLOGÍA(S)'!V34)</f>
        <v>0</v>
      </c>
      <c r="W34" s="435">
        <f>SUM(PACIENTES!W34+COMEDOR!W34+JORNADA!W34+'DIETOLOGÍA(S)'!W34)</f>
        <v>0</v>
      </c>
      <c r="X34" s="435">
        <f>SUM(PACIENTES!X34+COMEDOR!X34+JORNADA!X34+'DIETOLOGÍA(S)'!X34)</f>
        <v>0</v>
      </c>
      <c r="Y34" s="435">
        <f>SUM(PACIENTES!Y34+COMEDOR!Y34+JORNADA!Y34+'DIETOLOGÍA(S)'!Y34)</f>
        <v>0</v>
      </c>
      <c r="Z34" s="435">
        <f>SUM(PACIENTES!Z34+COMEDOR!Z34+JORNADA!Z34+'DIETOLOGÍA(S)'!Z34)</f>
        <v>0</v>
      </c>
      <c r="AA34" s="435">
        <f>SUM(PACIENTES!AA34+COMEDOR!AA34+JORNADA!AA34+'DIETOLOGÍA(S)'!AA34)</f>
        <v>0</v>
      </c>
      <c r="AB34" s="435">
        <f>SUM(PACIENTES!AB34+COMEDOR!AB34+JORNADA!AB34+'DIETOLOGÍA(S)'!AB34)</f>
        <v>0</v>
      </c>
      <c r="AC34" s="435">
        <f>SUM(PACIENTES!AC34+COMEDOR!AC34+JORNADA!AC34+'DIETOLOGÍA(S)'!AC34)</f>
        <v>0</v>
      </c>
      <c r="AD34" s="435">
        <f>SUM(PACIENTES!AD34+COMEDOR!AD34+JORNADA!AD34+'DIETOLOGÍA(S)'!AD34)</f>
        <v>0</v>
      </c>
      <c r="AE34" s="435">
        <f>SUM(PACIENTES!AE34+COMEDOR!AE34+JORNADA!AE34+'DIETOLOGÍA(S)'!AE34)</f>
        <v>0</v>
      </c>
      <c r="AF34" s="435">
        <f>SUM(PACIENTES!AF34+COMEDOR!AF34+JORNADA!AF34+'DIETOLOGÍA(S)'!AF34)</f>
        <v>0</v>
      </c>
      <c r="AG34" s="435">
        <f>SUM(PACIENTES!AG34+COMEDOR!AG34+JORNADA!AG34+'DIETOLOGÍA(S)'!AG34)</f>
        <v>0</v>
      </c>
      <c r="AH34" s="435">
        <f>SUM(PACIENTES!AH34+COMEDOR!AH34+JORNADA!AH34+'DIETOLOGÍA(S)'!AH34)</f>
        <v>0</v>
      </c>
      <c r="AI34" s="40">
        <f t="shared" si="0"/>
        <v>0</v>
      </c>
    </row>
    <row r="35" spans="1:35" ht="18.75" customHeight="1">
      <c r="A35" s="615" t="s">
        <v>38</v>
      </c>
      <c r="B35" s="606"/>
      <c r="C35" s="606"/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  <c r="X35" s="606"/>
      <c r="Y35" s="606"/>
      <c r="Z35" s="606"/>
      <c r="AA35" s="606"/>
      <c r="AB35" s="606"/>
      <c r="AC35" s="606"/>
      <c r="AD35" s="606"/>
      <c r="AE35" s="606"/>
      <c r="AF35" s="606"/>
      <c r="AG35" s="606"/>
      <c r="AH35" s="607"/>
      <c r="AI35" s="44"/>
    </row>
    <row r="36" spans="1:35" ht="15.75" customHeight="1">
      <c r="A36" s="45">
        <v>2212010003</v>
      </c>
      <c r="B36" s="46" t="s">
        <v>39</v>
      </c>
      <c r="C36" s="47" t="s">
        <v>6</v>
      </c>
      <c r="D36" s="6">
        <f>SUM(PACIENTES!D36+COMEDOR!D36+JORNADA!D36+'DIETOLOGÍA(S)'!D36)</f>
        <v>0</v>
      </c>
      <c r="E36" s="6">
        <f>SUM(PACIENTES!E36+COMEDOR!E36+JORNADA!E36+'DIETOLOGÍA(S)'!E36)</f>
        <v>0</v>
      </c>
      <c r="F36" s="6">
        <f>SUM(PACIENTES!F36+COMEDOR!F36+JORNADA!F36+'DIETOLOGÍA(S)'!F36)</f>
        <v>0</v>
      </c>
      <c r="G36" s="6">
        <f>SUM(PACIENTES!G36+COMEDOR!G36+JORNADA!G36+'DIETOLOGÍA(S)'!G36)</f>
        <v>0</v>
      </c>
      <c r="H36" s="6">
        <f>SUM(PACIENTES!H36+COMEDOR!H36+JORNADA!H36+'DIETOLOGÍA(S)'!H36)</f>
        <v>0</v>
      </c>
      <c r="I36" s="6">
        <f>SUM(PACIENTES!I36+COMEDOR!I36+JORNADA!I36+'DIETOLOGÍA(S)'!I36)</f>
        <v>1</v>
      </c>
      <c r="J36" s="6">
        <f>SUM(PACIENTES!J36+COMEDOR!J36+JORNADA!J36+'DIETOLOGÍA(S)'!J36)</f>
        <v>0</v>
      </c>
      <c r="K36" s="6">
        <f>SUM(PACIENTES!K36+COMEDOR!K36+JORNADA!K36+'DIETOLOGÍA(S)'!K36)</f>
        <v>0</v>
      </c>
      <c r="L36" s="6">
        <f>SUM(PACIENTES!L36+COMEDOR!L36+JORNADA!L36+'DIETOLOGÍA(S)'!L36)</f>
        <v>0</v>
      </c>
      <c r="M36" s="6">
        <f>SUM(PACIENTES!M36+COMEDOR!M36+JORNADA!M36+'DIETOLOGÍA(S)'!M36)</f>
        <v>0</v>
      </c>
      <c r="N36" s="6">
        <f>SUM(PACIENTES!N36+COMEDOR!N36+JORNADA!N36+'DIETOLOGÍA(S)'!N36)</f>
        <v>0</v>
      </c>
      <c r="O36" s="6">
        <f>SUM(PACIENTES!O36+COMEDOR!O36+JORNADA!O36+'DIETOLOGÍA(S)'!O36)</f>
        <v>0</v>
      </c>
      <c r="P36" s="6">
        <f>SUM(PACIENTES!P36+COMEDOR!P36+JORNADA!P36+'DIETOLOGÍA(S)'!P36)</f>
        <v>0</v>
      </c>
      <c r="Q36" s="6">
        <f>SUM(PACIENTES!Q36+COMEDOR!Q36+JORNADA!Q36+'DIETOLOGÍA(S)'!Q36)</f>
        <v>1</v>
      </c>
      <c r="R36" s="6">
        <f>SUM(PACIENTES!R36+COMEDOR!R36+JORNADA!R36+'DIETOLOGÍA(S)'!R36)</f>
        <v>0</v>
      </c>
      <c r="S36" s="6">
        <f>SUM(PACIENTES!S36+COMEDOR!S36+JORNADA!S36+'DIETOLOGÍA(S)'!S36)</f>
        <v>0</v>
      </c>
      <c r="T36" s="6">
        <f>SUM(PACIENTES!T36+COMEDOR!T36+JORNADA!T36+'DIETOLOGÍA(S)'!T36)</f>
        <v>0</v>
      </c>
      <c r="U36" s="6">
        <f>SUM(PACIENTES!U36+COMEDOR!U36+JORNADA!U36+'DIETOLOGÍA(S)'!U36)</f>
        <v>0</v>
      </c>
      <c r="V36" s="6">
        <f>SUM(PACIENTES!V36+COMEDOR!V36+JORNADA!V36+'DIETOLOGÍA(S)'!V36)</f>
        <v>0</v>
      </c>
      <c r="W36" s="6">
        <f>SUM(PACIENTES!W36+COMEDOR!W36+JORNADA!W36+'DIETOLOGÍA(S)'!W36)</f>
        <v>1</v>
      </c>
      <c r="X36" s="6">
        <f>SUM(PACIENTES!X36+COMEDOR!X36+JORNADA!X36+'DIETOLOGÍA(S)'!X36)</f>
        <v>0</v>
      </c>
      <c r="Y36" s="6">
        <f>SUM(PACIENTES!Y36+COMEDOR!Y36+JORNADA!Y36+'DIETOLOGÍA(S)'!Y36)</f>
        <v>0</v>
      </c>
      <c r="Z36" s="6">
        <f>SUM(PACIENTES!Z36+COMEDOR!Z36+JORNADA!Z36+'DIETOLOGÍA(S)'!Z36)</f>
        <v>0</v>
      </c>
      <c r="AA36" s="6">
        <f>SUM(PACIENTES!AA36+COMEDOR!AA36+JORNADA!AA36+'DIETOLOGÍA(S)'!AA36)</f>
        <v>0</v>
      </c>
      <c r="AB36" s="6">
        <f>SUM(PACIENTES!AB36+COMEDOR!AB36+JORNADA!AB36+'DIETOLOGÍA(S)'!AB36)</f>
        <v>0</v>
      </c>
      <c r="AC36" s="6">
        <f>SUM(PACIENTES!AC36+COMEDOR!AC36+JORNADA!AC36+'DIETOLOGÍA(S)'!AC36)</f>
        <v>0</v>
      </c>
      <c r="AD36" s="6">
        <f>SUM(PACIENTES!AD36+COMEDOR!AD36+JORNADA!AD36+'DIETOLOGÍA(S)'!AD36)</f>
        <v>0</v>
      </c>
      <c r="AE36" s="6">
        <f>SUM(PACIENTES!AE36+COMEDOR!AE36+JORNADA!AE36+'DIETOLOGÍA(S)'!AE36)</f>
        <v>0</v>
      </c>
      <c r="AF36" s="6">
        <f>SUM(PACIENTES!AF36+COMEDOR!AF36+JORNADA!AF36+'DIETOLOGÍA(S)'!AF36)</f>
        <v>0</v>
      </c>
      <c r="AG36" s="6">
        <f>SUM(PACIENTES!AG36+COMEDOR!AG36+JORNADA!AG36+'DIETOLOGÍA(S)'!AG36)</f>
        <v>0</v>
      </c>
      <c r="AH36" s="6">
        <f>SUM(PACIENTES!AH36+COMEDOR!AH36+JORNADA!AH36+'DIETOLOGÍA(S)'!AH36)</f>
        <v>0</v>
      </c>
      <c r="AI36" s="48">
        <f t="shared" ref="AI36:AI89" si="1">SUM(D36:AH36)</f>
        <v>3</v>
      </c>
    </row>
    <row r="37" spans="1:35" ht="15.75" customHeight="1">
      <c r="A37" s="49">
        <v>2212010004</v>
      </c>
      <c r="B37" s="50" t="s">
        <v>40</v>
      </c>
      <c r="C37" s="51" t="s">
        <v>6</v>
      </c>
      <c r="D37" s="6">
        <f>SUM(PACIENTES!D37+COMEDOR!D37+JORNADA!D37+'DIETOLOGÍA(S)'!D37)</f>
        <v>0</v>
      </c>
      <c r="E37" s="6">
        <f>SUM(PACIENTES!E37+COMEDOR!E37+JORNADA!E37+'DIETOLOGÍA(S)'!E37)</f>
        <v>40</v>
      </c>
      <c r="F37" s="6">
        <f>SUM(PACIENTES!F37+COMEDOR!F37+JORNADA!F37+'DIETOLOGÍA(S)'!F37)</f>
        <v>0</v>
      </c>
      <c r="G37" s="6">
        <f>SUM(PACIENTES!G37+COMEDOR!G37+JORNADA!G37+'DIETOLOGÍA(S)'!G37)</f>
        <v>0</v>
      </c>
      <c r="H37" s="6">
        <f>SUM(PACIENTES!H37+COMEDOR!H37+JORNADA!H37+'DIETOLOGÍA(S)'!H37)</f>
        <v>18</v>
      </c>
      <c r="I37" s="6">
        <f>SUM(PACIENTES!I37+COMEDOR!I37+JORNADA!I37+'DIETOLOGÍA(S)'!I37)</f>
        <v>1</v>
      </c>
      <c r="J37" s="6">
        <f>SUM(PACIENTES!J37+COMEDOR!J37+JORNADA!J37+'DIETOLOGÍA(S)'!J37)</f>
        <v>1</v>
      </c>
      <c r="K37" s="6">
        <f>SUM(PACIENTES!K37+COMEDOR!K37+JORNADA!K37+'DIETOLOGÍA(S)'!K37)</f>
        <v>0</v>
      </c>
      <c r="L37" s="6">
        <f>SUM(PACIENTES!L37+COMEDOR!L37+JORNADA!L37+'DIETOLOGÍA(S)'!L37)</f>
        <v>0</v>
      </c>
      <c r="M37" s="6">
        <f>SUM(PACIENTES!M37+COMEDOR!M37+JORNADA!M37+'DIETOLOGÍA(S)'!M37)</f>
        <v>0</v>
      </c>
      <c r="N37" s="6">
        <f>SUM(PACIENTES!N37+COMEDOR!N37+JORNADA!N37+'DIETOLOGÍA(S)'!N37)</f>
        <v>0</v>
      </c>
      <c r="O37" s="6">
        <f>SUM(PACIENTES!O37+COMEDOR!O37+JORNADA!O37+'DIETOLOGÍA(S)'!O37)</f>
        <v>0</v>
      </c>
      <c r="P37" s="6">
        <f>SUM(PACIENTES!P37+COMEDOR!P37+JORNADA!P37+'DIETOLOGÍA(S)'!P37)</f>
        <v>1</v>
      </c>
      <c r="Q37" s="6">
        <f>SUM(PACIENTES!Q37+COMEDOR!Q37+JORNADA!Q37+'DIETOLOGÍA(S)'!Q37)</f>
        <v>1</v>
      </c>
      <c r="R37" s="6">
        <f>SUM(PACIENTES!R37+COMEDOR!R37+JORNADA!R37+'DIETOLOGÍA(S)'!R37)</f>
        <v>0</v>
      </c>
      <c r="S37" s="6">
        <f>SUM(PACIENTES!S37+COMEDOR!S37+JORNADA!S37+'DIETOLOGÍA(S)'!S37)</f>
        <v>0</v>
      </c>
      <c r="T37" s="6">
        <f>SUM(PACIENTES!T37+COMEDOR!T37+JORNADA!T37+'DIETOLOGÍA(S)'!T37)</f>
        <v>0</v>
      </c>
      <c r="U37" s="6">
        <f>SUM(PACIENTES!U37+COMEDOR!U37+JORNADA!U37+'DIETOLOGÍA(S)'!U37)</f>
        <v>0</v>
      </c>
      <c r="V37" s="6">
        <f>SUM(PACIENTES!V37+COMEDOR!V37+JORNADA!V37+'DIETOLOGÍA(S)'!V37)</f>
        <v>0</v>
      </c>
      <c r="W37" s="6">
        <f>SUM(PACIENTES!W37+COMEDOR!W37+JORNADA!W37+'DIETOLOGÍA(S)'!W37)</f>
        <v>19</v>
      </c>
      <c r="X37" s="6">
        <f>SUM(PACIENTES!X37+COMEDOR!X37+JORNADA!X37+'DIETOLOGÍA(S)'!X37)</f>
        <v>1</v>
      </c>
      <c r="Y37" s="6">
        <f>SUM(PACIENTES!Y37+COMEDOR!Y37+JORNADA!Y37+'DIETOLOGÍA(S)'!Y37)</f>
        <v>0</v>
      </c>
      <c r="Z37" s="6">
        <f>SUM(PACIENTES!Z37+COMEDOR!Z37+JORNADA!Z37+'DIETOLOGÍA(S)'!Z37)</f>
        <v>0</v>
      </c>
      <c r="AA37" s="6">
        <f>SUM(PACIENTES!AA37+COMEDOR!AA37+JORNADA!AA37+'DIETOLOGÍA(S)'!AA37)</f>
        <v>0</v>
      </c>
      <c r="AB37" s="6">
        <f>SUM(PACIENTES!AB37+COMEDOR!AB37+JORNADA!AB37+'DIETOLOGÍA(S)'!AB37)</f>
        <v>0</v>
      </c>
      <c r="AC37" s="6">
        <f>SUM(PACIENTES!AC37+COMEDOR!AC37+JORNADA!AC37+'DIETOLOGÍA(S)'!AC37)</f>
        <v>0</v>
      </c>
      <c r="AD37" s="6">
        <f>SUM(PACIENTES!AD37+COMEDOR!AD37+JORNADA!AD37+'DIETOLOGÍA(S)'!AD37)</f>
        <v>2</v>
      </c>
      <c r="AE37" s="6">
        <f>SUM(PACIENTES!AE37+COMEDOR!AE37+JORNADA!AE37+'DIETOLOGÍA(S)'!AE37)</f>
        <v>1</v>
      </c>
      <c r="AF37" s="6">
        <f>SUM(PACIENTES!AF37+COMEDOR!AF37+JORNADA!AF37+'DIETOLOGÍA(S)'!AF37)</f>
        <v>0</v>
      </c>
      <c r="AG37" s="6">
        <f>SUM(PACIENTES!AG37+COMEDOR!AG37+JORNADA!AG37+'DIETOLOGÍA(S)'!AG37)</f>
        <v>0</v>
      </c>
      <c r="AH37" s="6">
        <f>SUM(PACIENTES!AH37+COMEDOR!AH37+JORNADA!AH37+'DIETOLOGÍA(S)'!AH37)</f>
        <v>0</v>
      </c>
      <c r="AI37" s="9">
        <f t="shared" si="1"/>
        <v>85</v>
      </c>
    </row>
    <row r="38" spans="1:35" ht="15.75" customHeight="1">
      <c r="A38" s="49">
        <v>2212010005</v>
      </c>
      <c r="B38" s="50" t="s">
        <v>41</v>
      </c>
      <c r="C38" s="51" t="s">
        <v>42</v>
      </c>
      <c r="D38" s="6">
        <f>SUM(PACIENTES!D38+COMEDOR!D38+JORNADA!D38+'DIETOLOGÍA(S)'!D38)</f>
        <v>0</v>
      </c>
      <c r="E38" s="6">
        <f>SUM(PACIENTES!E38+COMEDOR!E38+JORNADA!E38+'DIETOLOGÍA(S)'!E38)</f>
        <v>2</v>
      </c>
      <c r="F38" s="6">
        <f>SUM(PACIENTES!F38+COMEDOR!F38+JORNADA!F38+'DIETOLOGÍA(S)'!F38)</f>
        <v>2</v>
      </c>
      <c r="G38" s="6">
        <f>SUM(PACIENTES!G38+COMEDOR!G38+JORNADA!G38+'DIETOLOGÍA(S)'!G38)</f>
        <v>2</v>
      </c>
      <c r="H38" s="6">
        <f>SUM(PACIENTES!H38+COMEDOR!H38+JORNADA!H38+'DIETOLOGÍA(S)'!H38)</f>
        <v>0</v>
      </c>
      <c r="I38" s="6">
        <f>SUM(PACIENTES!I38+COMEDOR!I38+JORNADA!I38+'DIETOLOGÍA(S)'!I38)</f>
        <v>2</v>
      </c>
      <c r="J38" s="6">
        <f>SUM(PACIENTES!J38+COMEDOR!J38+JORNADA!J38+'DIETOLOGÍA(S)'!J38)</f>
        <v>0</v>
      </c>
      <c r="K38" s="6">
        <f>SUM(PACIENTES!K38+COMEDOR!K38+JORNADA!K38+'DIETOLOGÍA(S)'!K38)</f>
        <v>2</v>
      </c>
      <c r="L38" s="6">
        <f>SUM(PACIENTES!L38+COMEDOR!L38+JORNADA!L38+'DIETOLOGÍA(S)'!L38)</f>
        <v>0</v>
      </c>
      <c r="M38" s="6">
        <f>SUM(PACIENTES!M38+COMEDOR!M38+JORNADA!M38+'DIETOLOGÍA(S)'!M38)</f>
        <v>2</v>
      </c>
      <c r="N38" s="6">
        <f>SUM(PACIENTES!N38+COMEDOR!N38+JORNADA!N38+'DIETOLOGÍA(S)'!N38)</f>
        <v>2</v>
      </c>
      <c r="O38" s="6">
        <f>SUM(PACIENTES!O38+COMEDOR!O38+JORNADA!O38+'DIETOLOGÍA(S)'!O38)</f>
        <v>0</v>
      </c>
      <c r="P38" s="6">
        <f>SUM(PACIENTES!P38+COMEDOR!P38+JORNADA!P38+'DIETOLOGÍA(S)'!P38)</f>
        <v>0</v>
      </c>
      <c r="Q38" s="6">
        <f>SUM(PACIENTES!Q38+COMEDOR!Q38+JORNADA!Q38+'DIETOLOGÍA(S)'!Q38)</f>
        <v>2</v>
      </c>
      <c r="R38" s="6">
        <f>SUM(PACIENTES!R38+COMEDOR!R38+JORNADA!R38+'DIETOLOGÍA(S)'!R38)</f>
        <v>0</v>
      </c>
      <c r="S38" s="6">
        <f>SUM(PACIENTES!S38+COMEDOR!S38+JORNADA!S38+'DIETOLOGÍA(S)'!S38)</f>
        <v>0</v>
      </c>
      <c r="T38" s="6">
        <f>SUM(PACIENTES!T38+COMEDOR!T38+JORNADA!T38+'DIETOLOGÍA(S)'!T38)</f>
        <v>0</v>
      </c>
      <c r="U38" s="6">
        <f>SUM(PACIENTES!U38+COMEDOR!U38+JORNADA!U38+'DIETOLOGÍA(S)'!U38)</f>
        <v>0</v>
      </c>
      <c r="V38" s="6">
        <f>SUM(PACIENTES!V38+COMEDOR!V38+JORNADA!V38+'DIETOLOGÍA(S)'!V38)</f>
        <v>2</v>
      </c>
      <c r="W38" s="6">
        <f>SUM(PACIENTES!W38+COMEDOR!W38+JORNADA!W38+'DIETOLOGÍA(S)'!W38)</f>
        <v>0</v>
      </c>
      <c r="X38" s="6">
        <f>SUM(PACIENTES!X38+COMEDOR!X38+JORNADA!X38+'DIETOLOGÍA(S)'!X38)</f>
        <v>2</v>
      </c>
      <c r="Y38" s="6">
        <f>SUM(PACIENTES!Y38+COMEDOR!Y38+JORNADA!Y38+'DIETOLOGÍA(S)'!Y38)</f>
        <v>0</v>
      </c>
      <c r="Z38" s="6">
        <f>SUM(PACIENTES!Z38+COMEDOR!Z38+JORNADA!Z38+'DIETOLOGÍA(S)'!Z38)</f>
        <v>2</v>
      </c>
      <c r="AA38" s="6">
        <f>SUM(PACIENTES!AA38+COMEDOR!AA38+JORNADA!AA38+'DIETOLOGÍA(S)'!AA38)</f>
        <v>0</v>
      </c>
      <c r="AB38" s="6">
        <f>SUM(PACIENTES!AB38+COMEDOR!AB38+JORNADA!AB38+'DIETOLOGÍA(S)'!AB38)</f>
        <v>0</v>
      </c>
      <c r="AC38" s="6">
        <f>SUM(PACIENTES!AC38+COMEDOR!AC38+JORNADA!AC38+'DIETOLOGÍA(S)'!AC38)</f>
        <v>0</v>
      </c>
      <c r="AD38" s="6">
        <f>SUM(PACIENTES!AD38+COMEDOR!AD38+JORNADA!AD38+'DIETOLOGÍA(S)'!AD38)</f>
        <v>2</v>
      </c>
      <c r="AE38" s="6">
        <f>SUM(PACIENTES!AE38+COMEDOR!AE38+JORNADA!AE38+'DIETOLOGÍA(S)'!AE38)</f>
        <v>0</v>
      </c>
      <c r="AF38" s="6">
        <f>SUM(PACIENTES!AF38+COMEDOR!AF38+JORNADA!AF38+'DIETOLOGÍA(S)'!AF38)</f>
        <v>2</v>
      </c>
      <c r="AG38" s="6">
        <f>SUM(PACIENTES!AG38+COMEDOR!AG38+JORNADA!AG38+'DIETOLOGÍA(S)'!AG38)</f>
        <v>0</v>
      </c>
      <c r="AH38" s="6">
        <f>SUM(PACIENTES!AH38+COMEDOR!AH38+JORNADA!AH38+'DIETOLOGÍA(S)'!AH38)</f>
        <v>0</v>
      </c>
      <c r="AI38" s="9">
        <f t="shared" si="1"/>
        <v>26</v>
      </c>
    </row>
    <row r="39" spans="1:35" ht="15.75" customHeight="1">
      <c r="A39" s="49">
        <v>2212010006</v>
      </c>
      <c r="B39" s="50" t="s">
        <v>43</v>
      </c>
      <c r="C39" s="51" t="s">
        <v>42</v>
      </c>
      <c r="D39" s="6">
        <f>SUM(PACIENTES!D39+COMEDOR!D39+JORNADA!D39+'DIETOLOGÍA(S)'!D39)</f>
        <v>0</v>
      </c>
      <c r="E39" s="6">
        <f>SUM(PACIENTES!E39+COMEDOR!E39+JORNADA!E39+'DIETOLOGÍA(S)'!E39)</f>
        <v>0</v>
      </c>
      <c r="F39" s="6">
        <f>SUM(PACIENTES!F39+COMEDOR!F39+JORNADA!F39+'DIETOLOGÍA(S)'!F39)</f>
        <v>0</v>
      </c>
      <c r="G39" s="6">
        <f>SUM(PACIENTES!G39+COMEDOR!G39+JORNADA!G39+'DIETOLOGÍA(S)'!G39)</f>
        <v>0</v>
      </c>
      <c r="H39" s="6">
        <f>SUM(PACIENTES!H39+COMEDOR!H39+JORNADA!H39+'DIETOLOGÍA(S)'!H39)</f>
        <v>0</v>
      </c>
      <c r="I39" s="6">
        <f>SUM(PACIENTES!I39+COMEDOR!I39+JORNADA!I39+'DIETOLOGÍA(S)'!I39)</f>
        <v>0</v>
      </c>
      <c r="J39" s="6">
        <f>SUM(PACIENTES!J39+COMEDOR!J39+JORNADA!J39+'DIETOLOGÍA(S)'!J39)</f>
        <v>0</v>
      </c>
      <c r="K39" s="6">
        <f>SUM(PACIENTES!K39+COMEDOR!K39+JORNADA!K39+'DIETOLOGÍA(S)'!K39)</f>
        <v>0</v>
      </c>
      <c r="L39" s="6">
        <f>SUM(PACIENTES!L39+COMEDOR!L39+JORNADA!L39+'DIETOLOGÍA(S)'!L39)</f>
        <v>0</v>
      </c>
      <c r="M39" s="6">
        <f>SUM(PACIENTES!M39+COMEDOR!M39+JORNADA!M39+'DIETOLOGÍA(S)'!M39)</f>
        <v>0</v>
      </c>
      <c r="N39" s="6">
        <f>SUM(PACIENTES!N39+COMEDOR!N39+JORNADA!N39+'DIETOLOGÍA(S)'!N39)</f>
        <v>0</v>
      </c>
      <c r="O39" s="6">
        <f>SUM(PACIENTES!O39+COMEDOR!O39+JORNADA!O39+'DIETOLOGÍA(S)'!O39)</f>
        <v>0</v>
      </c>
      <c r="P39" s="6">
        <f>SUM(PACIENTES!P39+COMEDOR!P39+JORNADA!P39+'DIETOLOGÍA(S)'!P39)</f>
        <v>0</v>
      </c>
      <c r="Q39" s="6">
        <f>SUM(PACIENTES!Q39+COMEDOR!Q39+JORNADA!Q39+'DIETOLOGÍA(S)'!Q39)</f>
        <v>0</v>
      </c>
      <c r="R39" s="6">
        <f>SUM(PACIENTES!R39+COMEDOR!R39+JORNADA!R39+'DIETOLOGÍA(S)'!R39)</f>
        <v>0</v>
      </c>
      <c r="S39" s="6">
        <f>SUM(PACIENTES!S39+COMEDOR!S39+JORNADA!S39+'DIETOLOGÍA(S)'!S39)</f>
        <v>0</v>
      </c>
      <c r="T39" s="6">
        <f>SUM(PACIENTES!T39+COMEDOR!T39+JORNADA!T39+'DIETOLOGÍA(S)'!T39)</f>
        <v>0</v>
      </c>
      <c r="U39" s="6">
        <f>SUM(PACIENTES!U39+COMEDOR!U39+JORNADA!U39+'DIETOLOGÍA(S)'!U39)</f>
        <v>0</v>
      </c>
      <c r="V39" s="6">
        <f>SUM(PACIENTES!V39+COMEDOR!V39+JORNADA!V39+'DIETOLOGÍA(S)'!V39)</f>
        <v>0</v>
      </c>
      <c r="W39" s="6">
        <f>SUM(PACIENTES!W39+COMEDOR!W39+JORNADA!W39+'DIETOLOGÍA(S)'!W39)</f>
        <v>0</v>
      </c>
      <c r="X39" s="6">
        <f>SUM(PACIENTES!X39+COMEDOR!X39+JORNADA!X39+'DIETOLOGÍA(S)'!X39)</f>
        <v>0</v>
      </c>
      <c r="Y39" s="6">
        <f>SUM(PACIENTES!Y39+COMEDOR!Y39+JORNADA!Y39+'DIETOLOGÍA(S)'!Y39)</f>
        <v>0</v>
      </c>
      <c r="Z39" s="6">
        <f>SUM(PACIENTES!Z39+COMEDOR!Z39+JORNADA!Z39+'DIETOLOGÍA(S)'!Z39)</f>
        <v>0</v>
      </c>
      <c r="AA39" s="6">
        <f>SUM(PACIENTES!AA39+COMEDOR!AA39+JORNADA!AA39+'DIETOLOGÍA(S)'!AA39)</f>
        <v>0</v>
      </c>
      <c r="AB39" s="6">
        <f>SUM(PACIENTES!AB39+COMEDOR!AB39+JORNADA!AB39+'DIETOLOGÍA(S)'!AB39)</f>
        <v>0</v>
      </c>
      <c r="AC39" s="6">
        <f>SUM(PACIENTES!AC39+COMEDOR!AC39+JORNADA!AC39+'DIETOLOGÍA(S)'!AC39)</f>
        <v>0</v>
      </c>
      <c r="AD39" s="6">
        <f>SUM(PACIENTES!AD39+COMEDOR!AD39+JORNADA!AD39+'DIETOLOGÍA(S)'!AD39)</f>
        <v>0</v>
      </c>
      <c r="AE39" s="6">
        <f>SUM(PACIENTES!AE39+COMEDOR!AE39+JORNADA!AE39+'DIETOLOGÍA(S)'!AE39)</f>
        <v>0</v>
      </c>
      <c r="AF39" s="6">
        <f>SUM(PACIENTES!AF39+COMEDOR!AF39+JORNADA!AF39+'DIETOLOGÍA(S)'!AF39)</f>
        <v>0</v>
      </c>
      <c r="AG39" s="6">
        <f>SUM(PACIENTES!AG39+COMEDOR!AG39+JORNADA!AG39+'DIETOLOGÍA(S)'!AG39)</f>
        <v>0</v>
      </c>
      <c r="AH39" s="6">
        <f>SUM(PACIENTES!AH39+COMEDOR!AH39+JORNADA!AH39+'DIETOLOGÍA(S)'!AH39)</f>
        <v>0</v>
      </c>
      <c r="AI39" s="9">
        <f t="shared" si="1"/>
        <v>0</v>
      </c>
    </row>
    <row r="40" spans="1:35" ht="15.75" customHeight="1">
      <c r="A40" s="49">
        <v>2212010007</v>
      </c>
      <c r="B40" s="50" t="s">
        <v>44</v>
      </c>
      <c r="C40" s="51" t="s">
        <v>42</v>
      </c>
      <c r="D40" s="6">
        <f>SUM(PACIENTES!D40+COMEDOR!D40+JORNADA!D40+'DIETOLOGÍA(S)'!D40)</f>
        <v>0</v>
      </c>
      <c r="E40" s="6">
        <f>SUM(PACIENTES!E40+COMEDOR!E40+JORNADA!E40+'DIETOLOGÍA(S)'!E40)</f>
        <v>0</v>
      </c>
      <c r="F40" s="6">
        <f>SUM(PACIENTES!F40+COMEDOR!F40+JORNADA!F40+'DIETOLOGÍA(S)'!F40)</f>
        <v>0</v>
      </c>
      <c r="G40" s="6">
        <f>SUM(PACIENTES!G40+COMEDOR!G40+JORNADA!G40+'DIETOLOGÍA(S)'!G40)</f>
        <v>0</v>
      </c>
      <c r="H40" s="6">
        <f>SUM(PACIENTES!H40+COMEDOR!H40+JORNADA!H40+'DIETOLOGÍA(S)'!H40)</f>
        <v>0</v>
      </c>
      <c r="I40" s="6">
        <f>SUM(PACIENTES!I40+COMEDOR!I40+JORNADA!I40+'DIETOLOGÍA(S)'!I40)</f>
        <v>0</v>
      </c>
      <c r="J40" s="6">
        <f>SUM(PACIENTES!J40+COMEDOR!J40+JORNADA!J40+'DIETOLOGÍA(S)'!J40)</f>
        <v>1</v>
      </c>
      <c r="K40" s="6">
        <f>SUM(PACIENTES!K40+COMEDOR!K40+JORNADA!K40+'DIETOLOGÍA(S)'!K40)</f>
        <v>0</v>
      </c>
      <c r="L40" s="6">
        <f>SUM(PACIENTES!L40+COMEDOR!L40+JORNADA!L40+'DIETOLOGÍA(S)'!L40)</f>
        <v>0</v>
      </c>
      <c r="M40" s="6">
        <f>SUM(PACIENTES!M40+COMEDOR!M40+JORNADA!M40+'DIETOLOGÍA(S)'!M40)</f>
        <v>0</v>
      </c>
      <c r="N40" s="6">
        <f>SUM(PACIENTES!N40+COMEDOR!N40+JORNADA!N40+'DIETOLOGÍA(S)'!N40)</f>
        <v>0</v>
      </c>
      <c r="O40" s="6">
        <f>SUM(PACIENTES!O40+COMEDOR!O40+JORNADA!O40+'DIETOLOGÍA(S)'!O40)</f>
        <v>0</v>
      </c>
      <c r="P40" s="6">
        <f>SUM(PACIENTES!P40+COMEDOR!P40+JORNADA!P40+'DIETOLOGÍA(S)'!P40)</f>
        <v>0</v>
      </c>
      <c r="Q40" s="6">
        <f>SUM(PACIENTES!Q40+COMEDOR!Q40+JORNADA!Q40+'DIETOLOGÍA(S)'!Q40)</f>
        <v>1</v>
      </c>
      <c r="R40" s="6">
        <f>SUM(PACIENTES!R40+COMEDOR!R40+JORNADA!R40+'DIETOLOGÍA(S)'!R40)</f>
        <v>0</v>
      </c>
      <c r="S40" s="6">
        <f>SUM(PACIENTES!S40+COMEDOR!S40+JORNADA!S40+'DIETOLOGÍA(S)'!S40)</f>
        <v>0</v>
      </c>
      <c r="T40" s="6">
        <f>SUM(PACIENTES!T40+COMEDOR!T40+JORNADA!T40+'DIETOLOGÍA(S)'!T40)</f>
        <v>0</v>
      </c>
      <c r="U40" s="6">
        <f>SUM(PACIENTES!U40+COMEDOR!U40+JORNADA!U40+'DIETOLOGÍA(S)'!U40)</f>
        <v>0</v>
      </c>
      <c r="V40" s="6">
        <f>SUM(PACIENTES!V40+COMEDOR!V40+JORNADA!V40+'DIETOLOGÍA(S)'!V40)</f>
        <v>0</v>
      </c>
      <c r="W40" s="6">
        <f>SUM(PACIENTES!W40+COMEDOR!W40+JORNADA!W40+'DIETOLOGÍA(S)'!W40)</f>
        <v>0</v>
      </c>
      <c r="X40" s="6">
        <f>SUM(PACIENTES!X40+COMEDOR!X40+JORNADA!X40+'DIETOLOGÍA(S)'!X40)</f>
        <v>1</v>
      </c>
      <c r="Y40" s="6">
        <f>SUM(PACIENTES!Y40+COMEDOR!Y40+JORNADA!Y40+'DIETOLOGÍA(S)'!Y40)</f>
        <v>0</v>
      </c>
      <c r="Z40" s="6">
        <f>SUM(PACIENTES!Z40+COMEDOR!Z40+JORNADA!Z40+'DIETOLOGÍA(S)'!Z40)</f>
        <v>0</v>
      </c>
      <c r="AA40" s="6">
        <f>SUM(PACIENTES!AA40+COMEDOR!AA40+JORNADA!AA40+'DIETOLOGÍA(S)'!AA40)</f>
        <v>0</v>
      </c>
      <c r="AB40" s="6">
        <f>SUM(PACIENTES!AB40+COMEDOR!AB40+JORNADA!AB40+'DIETOLOGÍA(S)'!AB40)</f>
        <v>0</v>
      </c>
      <c r="AC40" s="6">
        <f>SUM(PACIENTES!AC40+COMEDOR!AC40+JORNADA!AC40+'DIETOLOGÍA(S)'!AC40)</f>
        <v>0</v>
      </c>
      <c r="AD40" s="6">
        <f>SUM(PACIENTES!AD40+COMEDOR!AD40+JORNADA!AD40+'DIETOLOGÍA(S)'!AD40)</f>
        <v>0</v>
      </c>
      <c r="AE40" s="6">
        <f>SUM(PACIENTES!AE40+COMEDOR!AE40+JORNADA!AE40+'DIETOLOGÍA(S)'!AE40)</f>
        <v>1</v>
      </c>
      <c r="AF40" s="6">
        <f>SUM(PACIENTES!AF40+COMEDOR!AF40+JORNADA!AF40+'DIETOLOGÍA(S)'!AF40)</f>
        <v>0</v>
      </c>
      <c r="AG40" s="6">
        <f>SUM(PACIENTES!AG40+COMEDOR!AG40+JORNADA!AG40+'DIETOLOGÍA(S)'!AG40)</f>
        <v>0</v>
      </c>
      <c r="AH40" s="6">
        <f>SUM(PACIENTES!AH40+COMEDOR!AH40+JORNADA!AH40+'DIETOLOGÍA(S)'!AH40)</f>
        <v>0</v>
      </c>
      <c r="AI40" s="9">
        <f t="shared" si="1"/>
        <v>4</v>
      </c>
    </row>
    <row r="41" spans="1:35" ht="15.75" customHeight="1">
      <c r="A41" s="49">
        <v>2212010008</v>
      </c>
      <c r="B41" s="50" t="s">
        <v>45</v>
      </c>
      <c r="C41" s="51" t="s">
        <v>6</v>
      </c>
      <c r="D41" s="6">
        <f>SUM(PACIENTES!D41+COMEDOR!D41+JORNADA!D41+'DIETOLOGÍA(S)'!D41)</f>
        <v>25</v>
      </c>
      <c r="E41" s="6">
        <f>SUM(PACIENTES!E41+COMEDOR!E41+JORNADA!E41+'DIETOLOGÍA(S)'!E41)</f>
        <v>0</v>
      </c>
      <c r="F41" s="6">
        <f>SUM(PACIENTES!F41+COMEDOR!F41+JORNADA!F41+'DIETOLOGÍA(S)'!F41)</f>
        <v>10</v>
      </c>
      <c r="G41" s="6">
        <f>SUM(PACIENTES!G41+COMEDOR!G41+JORNADA!G41+'DIETOLOGÍA(S)'!G41)</f>
        <v>10</v>
      </c>
      <c r="H41" s="6">
        <f>SUM(PACIENTES!H41+COMEDOR!H41+JORNADA!H41+'DIETOLOGÍA(S)'!H41)</f>
        <v>0</v>
      </c>
      <c r="I41" s="6">
        <f>SUM(PACIENTES!I41+COMEDOR!I41+JORNADA!I41+'DIETOLOGÍA(S)'!I41)</f>
        <v>13</v>
      </c>
      <c r="J41" s="6">
        <f>SUM(PACIENTES!J41+COMEDOR!J41+JORNADA!J41+'DIETOLOGÍA(S)'!J41)</f>
        <v>2</v>
      </c>
      <c r="K41" s="6">
        <f>SUM(PACIENTES!K41+COMEDOR!K41+JORNADA!K41+'DIETOLOGÍA(S)'!K41)</f>
        <v>0</v>
      </c>
      <c r="L41" s="6">
        <f>SUM(PACIENTES!L41+COMEDOR!L41+JORNADA!L41+'DIETOLOGÍA(S)'!L41)</f>
        <v>25</v>
      </c>
      <c r="M41" s="6">
        <f>SUM(PACIENTES!M41+COMEDOR!M41+JORNADA!M41+'DIETOLOGÍA(S)'!M41)</f>
        <v>0</v>
      </c>
      <c r="N41" s="6">
        <f>SUM(PACIENTES!N41+COMEDOR!N41+JORNADA!N41+'DIETOLOGÍA(S)'!N41)</f>
        <v>0</v>
      </c>
      <c r="O41" s="6">
        <f>SUM(PACIENTES!O41+COMEDOR!O41+JORNADA!O41+'DIETOLOGÍA(S)'!O41)</f>
        <v>0</v>
      </c>
      <c r="P41" s="6">
        <f>SUM(PACIENTES!P41+COMEDOR!P41+JORNADA!P41+'DIETOLOGÍA(S)'!P41)</f>
        <v>2</v>
      </c>
      <c r="Q41" s="6">
        <f>SUM(PACIENTES!Q41+COMEDOR!Q41+JORNADA!Q41+'DIETOLOGÍA(S)'!Q41)</f>
        <v>2</v>
      </c>
      <c r="R41" s="6">
        <f>SUM(PACIENTES!R41+COMEDOR!R41+JORNADA!R41+'DIETOLOGÍA(S)'!R41)</f>
        <v>10</v>
      </c>
      <c r="S41" s="6">
        <f>SUM(PACIENTES!S41+COMEDOR!S41+JORNADA!S41+'DIETOLOGÍA(S)'!S41)</f>
        <v>15</v>
      </c>
      <c r="T41" s="6">
        <f>SUM(PACIENTES!T41+COMEDOR!T41+JORNADA!T41+'DIETOLOGÍA(S)'!T41)</f>
        <v>0</v>
      </c>
      <c r="U41" s="6">
        <f>SUM(PACIENTES!U41+COMEDOR!U41+JORNADA!U41+'DIETOLOGÍA(S)'!U41)</f>
        <v>5</v>
      </c>
      <c r="V41" s="6">
        <f>SUM(PACIENTES!V41+COMEDOR!V41+JORNADA!V41+'DIETOLOGÍA(S)'!V41)</f>
        <v>0</v>
      </c>
      <c r="W41" s="6">
        <f>SUM(PACIENTES!W41+COMEDOR!W41+JORNADA!W41+'DIETOLOGÍA(S)'!W41)</f>
        <v>12</v>
      </c>
      <c r="X41" s="6">
        <f>SUM(PACIENTES!X41+COMEDOR!X41+JORNADA!X41+'DIETOLOGÍA(S)'!X41)</f>
        <v>12</v>
      </c>
      <c r="Y41" s="6">
        <f>SUM(PACIENTES!Y41+COMEDOR!Y41+JORNADA!Y41+'DIETOLOGÍA(S)'!Y41)</f>
        <v>0</v>
      </c>
      <c r="Z41" s="6">
        <f>SUM(PACIENTES!Z41+COMEDOR!Z41+JORNADA!Z41+'DIETOLOGÍA(S)'!Z41)</f>
        <v>0</v>
      </c>
      <c r="AA41" s="6">
        <f>SUM(PACIENTES!AA41+COMEDOR!AA41+JORNADA!AA41+'DIETOLOGÍA(S)'!AA41)</f>
        <v>0</v>
      </c>
      <c r="AB41" s="6">
        <f>SUM(PACIENTES!AB41+COMEDOR!AB41+JORNADA!AB41+'DIETOLOGÍA(S)'!AB41)</f>
        <v>0</v>
      </c>
      <c r="AC41" s="6">
        <f>SUM(PACIENTES!AC41+COMEDOR!AC41+JORNADA!AC41+'DIETOLOGÍA(S)'!AC41)</f>
        <v>0</v>
      </c>
      <c r="AD41" s="6">
        <f>SUM(PACIENTES!AD41+COMEDOR!AD41+JORNADA!AD41+'DIETOLOGÍA(S)'!AD41)</f>
        <v>17</v>
      </c>
      <c r="AE41" s="6">
        <f>SUM(PACIENTES!AE41+COMEDOR!AE41+JORNADA!AE41+'DIETOLOGÍA(S)'!AE41)</f>
        <v>2</v>
      </c>
      <c r="AF41" s="6">
        <f>SUM(PACIENTES!AF41+COMEDOR!AF41+JORNADA!AF41+'DIETOLOGÍA(S)'!AF41)</f>
        <v>0</v>
      </c>
      <c r="AG41" s="6">
        <f>SUM(PACIENTES!AG41+COMEDOR!AG41+JORNADA!AG41+'DIETOLOGÍA(S)'!AG41)</f>
        <v>10</v>
      </c>
      <c r="AH41" s="6">
        <f>SUM(PACIENTES!AH41+COMEDOR!AH41+JORNADA!AH41+'DIETOLOGÍA(S)'!AH41)</f>
        <v>0</v>
      </c>
      <c r="AI41" s="9">
        <f t="shared" si="1"/>
        <v>172</v>
      </c>
    </row>
    <row r="42" spans="1:35" ht="15.75" customHeight="1">
      <c r="A42" s="49">
        <v>2212010009</v>
      </c>
      <c r="B42" s="50" t="s">
        <v>46</v>
      </c>
      <c r="C42" s="51" t="s">
        <v>6</v>
      </c>
      <c r="D42" s="6">
        <f>SUM(PACIENTES!D42+COMEDOR!D42+JORNADA!D42+'DIETOLOGÍA(S)'!D42)</f>
        <v>0</v>
      </c>
      <c r="E42" s="6">
        <f>SUM(PACIENTES!E42+COMEDOR!E42+JORNADA!E42+'DIETOLOGÍA(S)'!E42)</f>
        <v>0</v>
      </c>
      <c r="F42" s="6">
        <f>SUM(PACIENTES!F42+COMEDOR!F42+JORNADA!F42+'DIETOLOGÍA(S)'!F42)</f>
        <v>0</v>
      </c>
      <c r="G42" s="6">
        <f>SUM(PACIENTES!G42+COMEDOR!G42+JORNADA!G42+'DIETOLOGÍA(S)'!G42)</f>
        <v>0</v>
      </c>
      <c r="H42" s="6">
        <f>SUM(PACIENTES!H42+COMEDOR!H42+JORNADA!H42+'DIETOLOGÍA(S)'!H42)</f>
        <v>1</v>
      </c>
      <c r="I42" s="6">
        <f>SUM(PACIENTES!I42+COMEDOR!I42+JORNADA!I42+'DIETOLOGÍA(S)'!I42)</f>
        <v>0</v>
      </c>
      <c r="J42" s="6">
        <f>SUM(PACIENTES!J42+COMEDOR!J42+JORNADA!J42+'DIETOLOGÍA(S)'!J42)</f>
        <v>1</v>
      </c>
      <c r="K42" s="6">
        <f>SUM(PACIENTES!K42+COMEDOR!K42+JORNADA!K42+'DIETOLOGÍA(S)'!K42)</f>
        <v>0</v>
      </c>
      <c r="L42" s="6">
        <f>SUM(PACIENTES!L42+COMEDOR!L42+JORNADA!L42+'DIETOLOGÍA(S)'!L42)</f>
        <v>0</v>
      </c>
      <c r="M42" s="6">
        <f>SUM(PACIENTES!M42+COMEDOR!M42+JORNADA!M42+'DIETOLOGÍA(S)'!M42)</f>
        <v>0</v>
      </c>
      <c r="N42" s="6">
        <f>SUM(PACIENTES!N42+COMEDOR!N42+JORNADA!N42+'DIETOLOGÍA(S)'!N42)</f>
        <v>1</v>
      </c>
      <c r="O42" s="6">
        <f>SUM(PACIENTES!O42+COMEDOR!O42+JORNADA!O42+'DIETOLOGÍA(S)'!O42)</f>
        <v>0</v>
      </c>
      <c r="P42" s="6">
        <f>SUM(PACIENTES!P42+COMEDOR!P42+JORNADA!P42+'DIETOLOGÍA(S)'!P42)</f>
        <v>0</v>
      </c>
      <c r="Q42" s="6">
        <f>SUM(PACIENTES!Q42+COMEDOR!Q42+JORNADA!Q42+'DIETOLOGÍA(S)'!Q42)</f>
        <v>0</v>
      </c>
      <c r="R42" s="6">
        <f>SUM(PACIENTES!R42+COMEDOR!R42+JORNADA!R42+'DIETOLOGÍA(S)'!R42)</f>
        <v>0</v>
      </c>
      <c r="S42" s="6">
        <f>SUM(PACIENTES!S42+COMEDOR!S42+JORNADA!S42+'DIETOLOGÍA(S)'!S42)</f>
        <v>0</v>
      </c>
      <c r="T42" s="6">
        <f>SUM(PACIENTES!T42+COMEDOR!T42+JORNADA!T42+'DIETOLOGÍA(S)'!T42)</f>
        <v>0</v>
      </c>
      <c r="U42" s="6">
        <f>SUM(PACIENTES!U42+COMEDOR!U42+JORNADA!U42+'DIETOLOGÍA(S)'!U42)</f>
        <v>0</v>
      </c>
      <c r="V42" s="6">
        <f>SUM(PACIENTES!V42+COMEDOR!V42+JORNADA!V42+'DIETOLOGÍA(S)'!V42)</f>
        <v>0</v>
      </c>
      <c r="W42" s="6">
        <f>SUM(PACIENTES!W42+COMEDOR!W42+JORNADA!W42+'DIETOLOGÍA(S)'!W42)</f>
        <v>1</v>
      </c>
      <c r="X42" s="6">
        <f>SUM(PACIENTES!X42+COMEDOR!X42+JORNADA!X42+'DIETOLOGÍA(S)'!X42)</f>
        <v>0</v>
      </c>
      <c r="Y42" s="6">
        <f>SUM(PACIENTES!Y42+COMEDOR!Y42+JORNADA!Y42+'DIETOLOGÍA(S)'!Y42)</f>
        <v>0</v>
      </c>
      <c r="Z42" s="6">
        <f>SUM(PACIENTES!Z42+COMEDOR!Z42+JORNADA!Z42+'DIETOLOGÍA(S)'!Z42)</f>
        <v>0</v>
      </c>
      <c r="AA42" s="6">
        <f>SUM(PACIENTES!AA42+COMEDOR!AA42+JORNADA!AA42+'DIETOLOGÍA(S)'!AA42)</f>
        <v>0</v>
      </c>
      <c r="AB42" s="6">
        <f>SUM(PACIENTES!AB42+COMEDOR!AB42+JORNADA!AB42+'DIETOLOGÍA(S)'!AB42)</f>
        <v>0</v>
      </c>
      <c r="AC42" s="6">
        <f>SUM(PACIENTES!AC42+COMEDOR!AC42+JORNADA!AC42+'DIETOLOGÍA(S)'!AC42)</f>
        <v>0</v>
      </c>
      <c r="AD42" s="6">
        <f>SUM(PACIENTES!AD42+COMEDOR!AD42+JORNADA!AD42+'DIETOLOGÍA(S)'!AD42)</f>
        <v>0</v>
      </c>
      <c r="AE42" s="6">
        <f>SUM(PACIENTES!AE42+COMEDOR!AE42+JORNADA!AE42+'DIETOLOGÍA(S)'!AE42)</f>
        <v>1</v>
      </c>
      <c r="AF42" s="6">
        <f>SUM(PACIENTES!AF42+COMEDOR!AF42+JORNADA!AF42+'DIETOLOGÍA(S)'!AF42)</f>
        <v>0</v>
      </c>
      <c r="AG42" s="6">
        <f>SUM(PACIENTES!AG42+COMEDOR!AG42+JORNADA!AG42+'DIETOLOGÍA(S)'!AG42)</f>
        <v>0</v>
      </c>
      <c r="AH42" s="6">
        <f>SUM(PACIENTES!AH42+COMEDOR!AH42+JORNADA!AH42+'DIETOLOGÍA(S)'!AH42)</f>
        <v>0</v>
      </c>
      <c r="AI42" s="9">
        <f t="shared" si="1"/>
        <v>5</v>
      </c>
    </row>
    <row r="43" spans="1:35" ht="15.75" customHeight="1">
      <c r="A43" s="49">
        <v>2212010010</v>
      </c>
      <c r="B43" s="50" t="s">
        <v>47</v>
      </c>
      <c r="C43" s="51" t="s">
        <v>42</v>
      </c>
      <c r="D43" s="6">
        <f>SUM(PACIENTES!D43+COMEDOR!D43+JORNADA!D43+'DIETOLOGÍA(S)'!D43)</f>
        <v>0</v>
      </c>
      <c r="E43" s="6">
        <f>SUM(PACIENTES!E43+COMEDOR!E43+JORNADA!E43+'DIETOLOGÍA(S)'!E43)</f>
        <v>0</v>
      </c>
      <c r="F43" s="6">
        <f>SUM(PACIENTES!F43+COMEDOR!F43+JORNADA!F43+'DIETOLOGÍA(S)'!F43)</f>
        <v>0</v>
      </c>
      <c r="G43" s="6">
        <f>SUM(PACIENTES!G43+COMEDOR!G43+JORNADA!G43+'DIETOLOGÍA(S)'!G43)</f>
        <v>0</v>
      </c>
      <c r="H43" s="6">
        <f>SUM(PACIENTES!H43+COMEDOR!H43+JORNADA!H43+'DIETOLOGÍA(S)'!H43)</f>
        <v>0</v>
      </c>
      <c r="I43" s="6">
        <f>SUM(PACIENTES!I43+COMEDOR!I43+JORNADA!I43+'DIETOLOGÍA(S)'!I43)</f>
        <v>0</v>
      </c>
      <c r="J43" s="6">
        <f>SUM(PACIENTES!J43+COMEDOR!J43+JORNADA!J43+'DIETOLOGÍA(S)'!J43)</f>
        <v>1</v>
      </c>
      <c r="K43" s="6">
        <f>SUM(PACIENTES!K43+COMEDOR!K43+JORNADA!K43+'DIETOLOGÍA(S)'!K43)</f>
        <v>0</v>
      </c>
      <c r="L43" s="6">
        <f>SUM(PACIENTES!L43+COMEDOR!L43+JORNADA!L43+'DIETOLOGÍA(S)'!L43)</f>
        <v>0</v>
      </c>
      <c r="M43" s="6">
        <f>SUM(PACIENTES!M43+COMEDOR!M43+JORNADA!M43+'DIETOLOGÍA(S)'!M43)</f>
        <v>0</v>
      </c>
      <c r="N43" s="6">
        <f>SUM(PACIENTES!N43+COMEDOR!N43+JORNADA!N43+'DIETOLOGÍA(S)'!N43)</f>
        <v>0</v>
      </c>
      <c r="O43" s="6">
        <f>SUM(PACIENTES!O43+COMEDOR!O43+JORNADA!O43+'DIETOLOGÍA(S)'!O43)</f>
        <v>0</v>
      </c>
      <c r="P43" s="6">
        <f>SUM(PACIENTES!P43+COMEDOR!P43+JORNADA!P43+'DIETOLOGÍA(S)'!P43)</f>
        <v>0</v>
      </c>
      <c r="Q43" s="6">
        <f>SUM(PACIENTES!Q43+COMEDOR!Q43+JORNADA!Q43+'DIETOLOGÍA(S)'!Q43)</f>
        <v>30</v>
      </c>
      <c r="R43" s="6">
        <f>SUM(PACIENTES!R43+COMEDOR!R43+JORNADA!R43+'DIETOLOGÍA(S)'!R43)</f>
        <v>0</v>
      </c>
      <c r="S43" s="6">
        <f>SUM(PACIENTES!S43+COMEDOR!S43+JORNADA!S43+'DIETOLOGÍA(S)'!S43)</f>
        <v>0</v>
      </c>
      <c r="T43" s="6">
        <f>SUM(PACIENTES!T43+COMEDOR!T43+JORNADA!T43+'DIETOLOGÍA(S)'!T43)</f>
        <v>0</v>
      </c>
      <c r="U43" s="6">
        <f>SUM(PACIENTES!U43+COMEDOR!U43+JORNADA!U43+'DIETOLOGÍA(S)'!U43)</f>
        <v>0</v>
      </c>
      <c r="V43" s="6">
        <f>SUM(PACIENTES!V43+COMEDOR!V43+JORNADA!V43+'DIETOLOGÍA(S)'!V43)</f>
        <v>0</v>
      </c>
      <c r="W43" s="6">
        <f>SUM(PACIENTES!W43+COMEDOR!W43+JORNADA!W43+'DIETOLOGÍA(S)'!W43)</f>
        <v>0</v>
      </c>
      <c r="X43" s="6">
        <f>SUM(PACIENTES!X43+COMEDOR!X43+JORNADA!X43+'DIETOLOGÍA(S)'!X43)</f>
        <v>1</v>
      </c>
      <c r="Y43" s="6">
        <f>SUM(PACIENTES!Y43+COMEDOR!Y43+JORNADA!Y43+'DIETOLOGÍA(S)'!Y43)</f>
        <v>0</v>
      </c>
      <c r="Z43" s="6">
        <f>SUM(PACIENTES!Z43+COMEDOR!Z43+JORNADA!Z43+'DIETOLOGÍA(S)'!Z43)</f>
        <v>0</v>
      </c>
      <c r="AA43" s="6">
        <f>SUM(PACIENTES!AA43+COMEDOR!AA43+JORNADA!AA43+'DIETOLOGÍA(S)'!AA43)</f>
        <v>0</v>
      </c>
      <c r="AB43" s="6">
        <f>SUM(PACIENTES!AB43+COMEDOR!AB43+JORNADA!AB43+'DIETOLOGÍA(S)'!AB43)</f>
        <v>0</v>
      </c>
      <c r="AC43" s="6">
        <f>SUM(PACIENTES!AC43+COMEDOR!AC43+JORNADA!AC43+'DIETOLOGÍA(S)'!AC43)</f>
        <v>0</v>
      </c>
      <c r="AD43" s="6">
        <f>SUM(PACIENTES!AD43+COMEDOR!AD43+JORNADA!AD43+'DIETOLOGÍA(S)'!AD43)</f>
        <v>1</v>
      </c>
      <c r="AE43" s="6">
        <f>SUM(PACIENTES!AE43+COMEDOR!AE43+JORNADA!AE43+'DIETOLOGÍA(S)'!AE43)</f>
        <v>0</v>
      </c>
      <c r="AF43" s="6">
        <f>SUM(PACIENTES!AF43+COMEDOR!AF43+JORNADA!AF43+'DIETOLOGÍA(S)'!AF43)</f>
        <v>30</v>
      </c>
      <c r="AG43" s="6">
        <f>SUM(PACIENTES!AG43+COMEDOR!AG43+JORNADA!AG43+'DIETOLOGÍA(S)'!AG43)</f>
        <v>0</v>
      </c>
      <c r="AH43" s="6">
        <f>SUM(PACIENTES!AH43+COMEDOR!AH43+JORNADA!AH43+'DIETOLOGÍA(S)'!AH43)</f>
        <v>0</v>
      </c>
      <c r="AI43" s="9">
        <f t="shared" si="1"/>
        <v>63</v>
      </c>
    </row>
    <row r="44" spans="1:35" ht="15.75" customHeight="1">
      <c r="A44" s="49">
        <v>2212010011</v>
      </c>
      <c r="B44" s="50" t="s">
        <v>48</v>
      </c>
      <c r="C44" s="51" t="s">
        <v>6</v>
      </c>
      <c r="D44" s="6">
        <f>SUM(PACIENTES!D44+COMEDOR!D44+JORNADA!D44+'DIETOLOGÍA(S)'!D44)</f>
        <v>0</v>
      </c>
      <c r="E44" s="6">
        <f>SUM(PACIENTES!E44+COMEDOR!E44+JORNADA!E44+'DIETOLOGÍA(S)'!E44)</f>
        <v>0</v>
      </c>
      <c r="F44" s="6">
        <f>SUM(PACIENTES!F44+COMEDOR!F44+JORNADA!F44+'DIETOLOGÍA(S)'!F44)</f>
        <v>0</v>
      </c>
      <c r="G44" s="6">
        <f>SUM(PACIENTES!G44+COMEDOR!G44+JORNADA!G44+'DIETOLOGÍA(S)'!G44)</f>
        <v>0</v>
      </c>
      <c r="H44" s="6">
        <f>SUM(PACIENTES!H44+COMEDOR!H44+JORNADA!H44+'DIETOLOGÍA(S)'!H44)</f>
        <v>0</v>
      </c>
      <c r="I44" s="6">
        <f>SUM(PACIENTES!I44+COMEDOR!I44+JORNADA!I44+'DIETOLOGÍA(S)'!I44)</f>
        <v>1</v>
      </c>
      <c r="J44" s="6">
        <f>SUM(PACIENTES!J44+COMEDOR!J44+JORNADA!J44+'DIETOLOGÍA(S)'!J44)</f>
        <v>2</v>
      </c>
      <c r="K44" s="6">
        <f>SUM(PACIENTES!K44+COMEDOR!K44+JORNADA!K44+'DIETOLOGÍA(S)'!K44)</f>
        <v>0</v>
      </c>
      <c r="L44" s="6">
        <f>SUM(PACIENTES!L44+COMEDOR!L44+JORNADA!L44+'DIETOLOGÍA(S)'!L44)</f>
        <v>0</v>
      </c>
      <c r="M44" s="6">
        <f>SUM(PACIENTES!M44+COMEDOR!M44+JORNADA!M44+'DIETOLOGÍA(S)'!M44)</f>
        <v>0</v>
      </c>
      <c r="N44" s="6">
        <f>SUM(PACIENTES!N44+COMEDOR!N44+JORNADA!N44+'DIETOLOGÍA(S)'!N44)</f>
        <v>0</v>
      </c>
      <c r="O44" s="6">
        <f>SUM(PACIENTES!O44+COMEDOR!O44+JORNADA!O44+'DIETOLOGÍA(S)'!O44)</f>
        <v>0</v>
      </c>
      <c r="P44" s="6">
        <f>SUM(PACIENTES!P44+COMEDOR!P44+JORNADA!P44+'DIETOLOGÍA(S)'!P44)</f>
        <v>0</v>
      </c>
      <c r="Q44" s="6">
        <f>SUM(PACIENTES!Q44+COMEDOR!Q44+JORNADA!Q44+'DIETOLOGÍA(S)'!Q44)</f>
        <v>2</v>
      </c>
      <c r="R44" s="6">
        <f>SUM(PACIENTES!R44+COMEDOR!R44+JORNADA!R44+'DIETOLOGÍA(S)'!R44)</f>
        <v>0</v>
      </c>
      <c r="S44" s="6">
        <f>SUM(PACIENTES!S44+COMEDOR!S44+JORNADA!S44+'DIETOLOGÍA(S)'!S44)</f>
        <v>0</v>
      </c>
      <c r="T44" s="6">
        <f>SUM(PACIENTES!T44+COMEDOR!T44+JORNADA!T44+'DIETOLOGÍA(S)'!T44)</f>
        <v>0</v>
      </c>
      <c r="U44" s="6">
        <f>SUM(PACIENTES!U44+COMEDOR!U44+JORNADA!U44+'DIETOLOGÍA(S)'!U44)</f>
        <v>0</v>
      </c>
      <c r="V44" s="6">
        <f>SUM(PACIENTES!V44+COMEDOR!V44+JORNADA!V44+'DIETOLOGÍA(S)'!V44)</f>
        <v>0</v>
      </c>
      <c r="W44" s="6">
        <f>SUM(PACIENTES!W44+COMEDOR!W44+JORNADA!W44+'DIETOLOGÍA(S)'!W44)</f>
        <v>0</v>
      </c>
      <c r="X44" s="6">
        <f>SUM(PACIENTES!X44+COMEDOR!X44+JORNADA!X44+'DIETOLOGÍA(S)'!X44)</f>
        <v>2</v>
      </c>
      <c r="Y44" s="6">
        <f>SUM(PACIENTES!Y44+COMEDOR!Y44+JORNADA!Y44+'DIETOLOGÍA(S)'!Y44)</f>
        <v>0</v>
      </c>
      <c r="Z44" s="6">
        <f>SUM(PACIENTES!Z44+COMEDOR!Z44+JORNADA!Z44+'DIETOLOGÍA(S)'!Z44)</f>
        <v>0</v>
      </c>
      <c r="AA44" s="6">
        <f>SUM(PACIENTES!AA44+COMEDOR!AA44+JORNADA!AA44+'DIETOLOGÍA(S)'!AA44)</f>
        <v>0</v>
      </c>
      <c r="AB44" s="6">
        <f>SUM(PACIENTES!AB44+COMEDOR!AB44+JORNADA!AB44+'DIETOLOGÍA(S)'!AB44)</f>
        <v>0</v>
      </c>
      <c r="AC44" s="6">
        <f>SUM(PACIENTES!AC44+COMEDOR!AC44+JORNADA!AC44+'DIETOLOGÍA(S)'!AC44)</f>
        <v>0</v>
      </c>
      <c r="AD44" s="6">
        <f>SUM(PACIENTES!AD44+COMEDOR!AD44+JORNADA!AD44+'DIETOLOGÍA(S)'!AD44)</f>
        <v>1</v>
      </c>
      <c r="AE44" s="6">
        <f>SUM(PACIENTES!AE44+COMEDOR!AE44+JORNADA!AE44+'DIETOLOGÍA(S)'!AE44)</f>
        <v>2</v>
      </c>
      <c r="AF44" s="6">
        <f>SUM(PACIENTES!AF44+COMEDOR!AF44+JORNADA!AF44+'DIETOLOGÍA(S)'!AF44)</f>
        <v>0</v>
      </c>
      <c r="AG44" s="6">
        <f>SUM(PACIENTES!AG44+COMEDOR!AG44+JORNADA!AG44+'DIETOLOGÍA(S)'!AG44)</f>
        <v>0</v>
      </c>
      <c r="AH44" s="6">
        <f>SUM(PACIENTES!AH44+COMEDOR!AH44+JORNADA!AH44+'DIETOLOGÍA(S)'!AH44)</f>
        <v>0</v>
      </c>
      <c r="AI44" s="9">
        <f t="shared" si="1"/>
        <v>10</v>
      </c>
    </row>
    <row r="45" spans="1:35" ht="15.75" customHeight="1">
      <c r="A45" s="49">
        <v>2212010012</v>
      </c>
      <c r="B45" s="50" t="s">
        <v>49</v>
      </c>
      <c r="C45" s="51" t="s">
        <v>6</v>
      </c>
      <c r="D45" s="6">
        <f>SUM(PACIENTES!D45+COMEDOR!D45+JORNADA!D45+'DIETOLOGÍA(S)'!D45)</f>
        <v>107</v>
      </c>
      <c r="E45" s="6">
        <f>SUM(PACIENTES!E45+COMEDOR!E45+JORNADA!E45+'DIETOLOGÍA(S)'!E45)</f>
        <v>72</v>
      </c>
      <c r="F45" s="6">
        <f>SUM(PACIENTES!F45+COMEDOR!F45+JORNADA!F45+'DIETOLOGÍA(S)'!F45)</f>
        <v>73</v>
      </c>
      <c r="G45" s="6">
        <f>SUM(PACIENTES!G45+COMEDOR!G45+JORNADA!G45+'DIETOLOGÍA(S)'!G45)</f>
        <v>72</v>
      </c>
      <c r="H45" s="6">
        <f>SUM(PACIENTES!H45+COMEDOR!H45+JORNADA!H45+'DIETOLOGÍA(S)'!H45)</f>
        <v>27</v>
      </c>
      <c r="I45" s="6">
        <f>SUM(PACIENTES!I45+COMEDOR!I45+JORNADA!I45+'DIETOLOGÍA(S)'!I45)</f>
        <v>77</v>
      </c>
      <c r="J45" s="6">
        <f>SUM(PACIENTES!J45+COMEDOR!J45+JORNADA!J45+'DIETOLOGÍA(S)'!J45)</f>
        <v>38</v>
      </c>
      <c r="K45" s="6">
        <f>SUM(PACIENTES!K45+COMEDOR!K45+JORNADA!K45+'DIETOLOGÍA(S)'!K45)</f>
        <v>30</v>
      </c>
      <c r="L45" s="6">
        <f>SUM(PACIENTES!L45+COMEDOR!L45+JORNADA!L45+'DIETOLOGÍA(S)'!L45)</f>
        <v>65</v>
      </c>
      <c r="M45" s="6">
        <f>SUM(PACIENTES!M45+COMEDOR!M45+JORNADA!M45+'DIETOLOGÍA(S)'!M45)</f>
        <v>50</v>
      </c>
      <c r="N45" s="6">
        <f>SUM(PACIENTES!N45+COMEDOR!N45+JORNADA!N45+'DIETOLOGÍA(S)'!N45)</f>
        <v>35</v>
      </c>
      <c r="O45" s="6">
        <f>SUM(PACIENTES!O45+COMEDOR!O45+JORNADA!O45+'DIETOLOGÍA(S)'!O45)</f>
        <v>65</v>
      </c>
      <c r="P45" s="6">
        <f>SUM(PACIENTES!P45+COMEDOR!P45+JORNADA!P45+'DIETOLOGÍA(S)'!P45)</f>
        <v>41</v>
      </c>
      <c r="Q45" s="6">
        <f>SUM(PACIENTES!Q45+COMEDOR!Q45+JORNADA!Q45+'DIETOLOGÍA(S)'!Q45)</f>
        <v>26</v>
      </c>
      <c r="R45" s="6">
        <f>SUM(PACIENTES!R45+COMEDOR!R45+JORNADA!R45+'DIETOLOGÍA(S)'!R45)</f>
        <v>72</v>
      </c>
      <c r="S45" s="6">
        <f>SUM(PACIENTES!S45+COMEDOR!S45+JORNADA!S45+'DIETOLOGÍA(S)'!S45)</f>
        <v>95</v>
      </c>
      <c r="T45" s="6">
        <f>SUM(PACIENTES!T45+COMEDOR!T45+JORNADA!T45+'DIETOLOGÍA(S)'!T45)</f>
        <v>55</v>
      </c>
      <c r="U45" s="6">
        <f>SUM(PACIENTES!U45+COMEDOR!U45+JORNADA!U45+'DIETOLOGÍA(S)'!U45)</f>
        <v>63</v>
      </c>
      <c r="V45" s="6">
        <f>SUM(PACIENTES!V45+COMEDOR!V45+JORNADA!V45+'DIETOLOGÍA(S)'!V45)</f>
        <v>82</v>
      </c>
      <c r="W45" s="6">
        <f>SUM(PACIENTES!W45+COMEDOR!W45+JORNADA!W45+'DIETOLOGÍA(S)'!W45)</f>
        <v>28</v>
      </c>
      <c r="X45" s="6">
        <f>SUM(PACIENTES!X45+COMEDOR!X45+JORNADA!X45+'DIETOLOGÍA(S)'!X45)</f>
        <v>96</v>
      </c>
      <c r="Y45" s="6">
        <f>SUM(PACIENTES!Y45+COMEDOR!Y45+JORNADA!Y45+'DIETOLOGÍA(S)'!Y45)</f>
        <v>25</v>
      </c>
      <c r="Z45" s="6">
        <f>SUM(PACIENTES!Z45+COMEDOR!Z45+JORNADA!Z45+'DIETOLOGÍA(S)'!Z45)</f>
        <v>30</v>
      </c>
      <c r="AA45" s="6">
        <f>SUM(PACIENTES!AA45+COMEDOR!AA45+JORNADA!AA45+'DIETOLOGÍA(S)'!AA45)</f>
        <v>25</v>
      </c>
      <c r="AB45" s="6">
        <f>SUM(PACIENTES!AB45+COMEDOR!AB45+JORNADA!AB45+'DIETOLOGÍA(S)'!AB45)</f>
        <v>62</v>
      </c>
      <c r="AC45" s="6">
        <f>SUM(PACIENTES!AC45+COMEDOR!AC45+JORNADA!AC45+'DIETOLOGÍA(S)'!AC45)</f>
        <v>100</v>
      </c>
      <c r="AD45" s="6">
        <f>SUM(PACIENTES!AD45+COMEDOR!AD45+JORNADA!AD45+'DIETOLOGÍA(S)'!AD45)</f>
        <v>42</v>
      </c>
      <c r="AE45" s="6">
        <f>SUM(PACIENTES!AE45+COMEDOR!AE45+JORNADA!AE45+'DIETOLOGÍA(S)'!AE45)</f>
        <v>41</v>
      </c>
      <c r="AF45" s="6">
        <f>SUM(PACIENTES!AF45+COMEDOR!AF45+JORNADA!AF45+'DIETOLOGÍA(S)'!AF45)</f>
        <v>27</v>
      </c>
      <c r="AG45" s="6">
        <f>SUM(PACIENTES!AG45+COMEDOR!AG45+JORNADA!AG45+'DIETOLOGÍA(S)'!AG45)</f>
        <v>82</v>
      </c>
      <c r="AH45" s="6">
        <f>SUM(PACIENTES!AH45+COMEDOR!AH45+JORNADA!AH45+'DIETOLOGÍA(S)'!AH45)</f>
        <v>30</v>
      </c>
      <c r="AI45" s="9">
        <f t="shared" si="1"/>
        <v>1733</v>
      </c>
    </row>
    <row r="46" spans="1:35" ht="15.75" customHeight="1">
      <c r="A46" s="49">
        <v>2212010013</v>
      </c>
      <c r="B46" s="50" t="s">
        <v>50</v>
      </c>
      <c r="C46" s="51" t="s">
        <v>6</v>
      </c>
      <c r="D46" s="6">
        <f>SUM(PACIENTES!D46+COMEDOR!D46+JORNADA!D46+'DIETOLOGÍA(S)'!D46)</f>
        <v>0</v>
      </c>
      <c r="E46" s="6">
        <f>SUM(PACIENTES!E46+COMEDOR!E46+JORNADA!E46+'DIETOLOGÍA(S)'!E46)</f>
        <v>0</v>
      </c>
      <c r="F46" s="6">
        <f>SUM(PACIENTES!F46+COMEDOR!F46+JORNADA!F46+'DIETOLOGÍA(S)'!F46)</f>
        <v>15</v>
      </c>
      <c r="G46" s="6">
        <f>SUM(PACIENTES!G46+COMEDOR!G46+JORNADA!G46+'DIETOLOGÍA(S)'!G46)</f>
        <v>0</v>
      </c>
      <c r="H46" s="6">
        <f>SUM(PACIENTES!H46+COMEDOR!H46+JORNADA!H46+'DIETOLOGÍA(S)'!H46)</f>
        <v>0</v>
      </c>
      <c r="I46" s="6">
        <f>SUM(PACIENTES!I46+COMEDOR!I46+JORNADA!I46+'DIETOLOGÍA(S)'!I46)</f>
        <v>0</v>
      </c>
      <c r="J46" s="6">
        <f>SUM(PACIENTES!J46+COMEDOR!J46+JORNADA!J46+'DIETOLOGÍA(S)'!J46)</f>
        <v>0</v>
      </c>
      <c r="K46" s="6">
        <f>SUM(PACIENTES!K46+COMEDOR!K46+JORNADA!K46+'DIETOLOGÍA(S)'!K46)</f>
        <v>0</v>
      </c>
      <c r="L46" s="6">
        <f>SUM(PACIENTES!L46+COMEDOR!L46+JORNADA!L46+'DIETOLOGÍA(S)'!L46)</f>
        <v>0</v>
      </c>
      <c r="M46" s="6">
        <f>SUM(PACIENTES!M46+COMEDOR!M46+JORNADA!M46+'DIETOLOGÍA(S)'!M46)</f>
        <v>0</v>
      </c>
      <c r="N46" s="6">
        <f>SUM(PACIENTES!N46+COMEDOR!N46+JORNADA!N46+'DIETOLOGÍA(S)'!N46)</f>
        <v>0</v>
      </c>
      <c r="O46" s="6">
        <f>SUM(PACIENTES!O46+COMEDOR!O46+JORNADA!O46+'DIETOLOGÍA(S)'!O46)</f>
        <v>0</v>
      </c>
      <c r="P46" s="6">
        <f>SUM(PACIENTES!P46+COMEDOR!P46+JORNADA!P46+'DIETOLOGÍA(S)'!P46)</f>
        <v>0</v>
      </c>
      <c r="Q46" s="6">
        <f>SUM(PACIENTES!Q46+COMEDOR!Q46+JORNADA!Q46+'DIETOLOGÍA(S)'!Q46)</f>
        <v>0</v>
      </c>
      <c r="R46" s="6">
        <f>SUM(PACIENTES!R46+COMEDOR!R46+JORNADA!R46+'DIETOLOGÍA(S)'!R46)</f>
        <v>0</v>
      </c>
      <c r="S46" s="6">
        <f>SUM(PACIENTES!S46+COMEDOR!S46+JORNADA!S46+'DIETOLOGÍA(S)'!S46)</f>
        <v>0</v>
      </c>
      <c r="T46" s="6">
        <f>SUM(PACIENTES!T46+COMEDOR!T46+JORNADA!T46+'DIETOLOGÍA(S)'!T46)</f>
        <v>0</v>
      </c>
      <c r="U46" s="6">
        <f>SUM(PACIENTES!U46+COMEDOR!U46+JORNADA!U46+'DIETOLOGÍA(S)'!U46)</f>
        <v>0</v>
      </c>
      <c r="V46" s="6">
        <f>SUM(PACIENTES!V46+COMEDOR!V46+JORNADA!V46+'DIETOLOGÍA(S)'!V46)</f>
        <v>0</v>
      </c>
      <c r="W46" s="6">
        <f>SUM(PACIENTES!W46+COMEDOR!W46+JORNADA!W46+'DIETOLOGÍA(S)'!W46)</f>
        <v>0</v>
      </c>
      <c r="X46" s="6">
        <f>SUM(PACIENTES!X46+COMEDOR!X46+JORNADA!X46+'DIETOLOGÍA(S)'!X46)</f>
        <v>0</v>
      </c>
      <c r="Y46" s="6">
        <f>SUM(PACIENTES!Y46+COMEDOR!Y46+JORNADA!Y46+'DIETOLOGÍA(S)'!Y46)</f>
        <v>0</v>
      </c>
      <c r="Z46" s="6">
        <f>SUM(PACIENTES!Z46+COMEDOR!Z46+JORNADA!Z46+'DIETOLOGÍA(S)'!Z46)</f>
        <v>0</v>
      </c>
      <c r="AA46" s="6">
        <f>SUM(PACIENTES!AA46+COMEDOR!AA46+JORNADA!AA46+'DIETOLOGÍA(S)'!AA46)</f>
        <v>0</v>
      </c>
      <c r="AB46" s="6">
        <f>SUM(PACIENTES!AB46+COMEDOR!AB46+JORNADA!AB46+'DIETOLOGÍA(S)'!AB46)</f>
        <v>0</v>
      </c>
      <c r="AC46" s="6">
        <f>SUM(PACIENTES!AC46+COMEDOR!AC46+JORNADA!AC46+'DIETOLOGÍA(S)'!AC46)</f>
        <v>0</v>
      </c>
      <c r="AD46" s="6">
        <f>SUM(PACIENTES!AD46+COMEDOR!AD46+JORNADA!AD46+'DIETOLOGÍA(S)'!AD46)</f>
        <v>0</v>
      </c>
      <c r="AE46" s="6">
        <f>SUM(PACIENTES!AE46+COMEDOR!AE46+JORNADA!AE46+'DIETOLOGÍA(S)'!AE46)</f>
        <v>0</v>
      </c>
      <c r="AF46" s="6">
        <f>SUM(PACIENTES!AF46+COMEDOR!AF46+JORNADA!AF46+'DIETOLOGÍA(S)'!AF46)</f>
        <v>0</v>
      </c>
      <c r="AG46" s="6">
        <f>SUM(PACIENTES!AG46+COMEDOR!AG46+JORNADA!AG46+'DIETOLOGÍA(S)'!AG46)</f>
        <v>0</v>
      </c>
      <c r="AH46" s="6">
        <f>SUM(PACIENTES!AH46+COMEDOR!AH46+JORNADA!AH46+'DIETOLOGÍA(S)'!AH46)</f>
        <v>0</v>
      </c>
      <c r="AI46" s="9">
        <f t="shared" si="1"/>
        <v>15</v>
      </c>
    </row>
    <row r="47" spans="1:35" ht="15.75" customHeight="1">
      <c r="A47" s="49">
        <v>2212010014</v>
      </c>
      <c r="B47" s="50" t="s">
        <v>51</v>
      </c>
      <c r="C47" s="51" t="s">
        <v>6</v>
      </c>
      <c r="D47" s="6">
        <f>SUM(PACIENTES!D47+COMEDOR!D47+JORNADA!D47+'DIETOLOGÍA(S)'!D47)</f>
        <v>0</v>
      </c>
      <c r="E47" s="6">
        <f>SUM(PACIENTES!E47+COMEDOR!E47+JORNADA!E47+'DIETOLOGÍA(S)'!E47)</f>
        <v>0</v>
      </c>
      <c r="F47" s="6">
        <f>SUM(PACIENTES!F47+COMEDOR!F47+JORNADA!F47+'DIETOLOGÍA(S)'!F47)</f>
        <v>20</v>
      </c>
      <c r="G47" s="6">
        <f>SUM(PACIENTES!G47+COMEDOR!G47+JORNADA!G47+'DIETOLOGÍA(S)'!G47)</f>
        <v>0</v>
      </c>
      <c r="H47" s="6">
        <f>SUM(PACIENTES!H47+COMEDOR!H47+JORNADA!H47+'DIETOLOGÍA(S)'!H47)</f>
        <v>0</v>
      </c>
      <c r="I47" s="6">
        <f>SUM(PACIENTES!I47+COMEDOR!I47+JORNADA!I47+'DIETOLOGÍA(S)'!I47)</f>
        <v>0</v>
      </c>
      <c r="J47" s="6">
        <f>SUM(PACIENTES!J47+COMEDOR!J47+JORNADA!J47+'DIETOLOGÍA(S)'!J47)</f>
        <v>0</v>
      </c>
      <c r="K47" s="6">
        <f>SUM(PACIENTES!K47+COMEDOR!K47+JORNADA!K47+'DIETOLOGÍA(S)'!K47)</f>
        <v>0</v>
      </c>
      <c r="L47" s="6">
        <f>SUM(PACIENTES!L47+COMEDOR!L47+JORNADA!L47+'DIETOLOGÍA(S)'!L47)</f>
        <v>0</v>
      </c>
      <c r="M47" s="6">
        <f>SUM(PACIENTES!M47+COMEDOR!M47+JORNADA!M47+'DIETOLOGÍA(S)'!M47)</f>
        <v>0</v>
      </c>
      <c r="N47" s="6">
        <f>SUM(PACIENTES!N47+COMEDOR!N47+JORNADA!N47+'DIETOLOGÍA(S)'!N47)</f>
        <v>0</v>
      </c>
      <c r="O47" s="6">
        <f>SUM(PACIENTES!O47+COMEDOR!O47+JORNADA!O47+'DIETOLOGÍA(S)'!O47)</f>
        <v>0</v>
      </c>
      <c r="P47" s="6">
        <f>SUM(PACIENTES!P47+COMEDOR!P47+JORNADA!P47+'DIETOLOGÍA(S)'!P47)</f>
        <v>0</v>
      </c>
      <c r="Q47" s="6">
        <f>SUM(PACIENTES!Q47+COMEDOR!Q47+JORNADA!Q47+'DIETOLOGÍA(S)'!Q47)</f>
        <v>2</v>
      </c>
      <c r="R47" s="6">
        <f>SUM(PACIENTES!R47+COMEDOR!R47+JORNADA!R47+'DIETOLOGÍA(S)'!R47)</f>
        <v>0</v>
      </c>
      <c r="S47" s="6">
        <f>SUM(PACIENTES!S47+COMEDOR!S47+JORNADA!S47+'DIETOLOGÍA(S)'!S47)</f>
        <v>0</v>
      </c>
      <c r="T47" s="6">
        <f>SUM(PACIENTES!T47+COMEDOR!T47+JORNADA!T47+'DIETOLOGÍA(S)'!T47)</f>
        <v>0</v>
      </c>
      <c r="U47" s="6">
        <f>SUM(PACIENTES!U47+COMEDOR!U47+JORNADA!U47+'DIETOLOGÍA(S)'!U47)</f>
        <v>0</v>
      </c>
      <c r="V47" s="6">
        <f>SUM(PACIENTES!V47+COMEDOR!V47+JORNADA!V47+'DIETOLOGÍA(S)'!V47)</f>
        <v>0</v>
      </c>
      <c r="W47" s="6">
        <f>SUM(PACIENTES!W47+COMEDOR!W47+JORNADA!W47+'DIETOLOGÍA(S)'!W47)</f>
        <v>0</v>
      </c>
      <c r="X47" s="6">
        <f>SUM(PACIENTES!X47+COMEDOR!X47+JORNADA!X47+'DIETOLOGÍA(S)'!X47)</f>
        <v>0</v>
      </c>
      <c r="Y47" s="6">
        <f>SUM(PACIENTES!Y47+COMEDOR!Y47+JORNADA!Y47+'DIETOLOGÍA(S)'!Y47)</f>
        <v>0</v>
      </c>
      <c r="Z47" s="6">
        <f>SUM(PACIENTES!Z47+COMEDOR!Z47+JORNADA!Z47+'DIETOLOGÍA(S)'!Z47)</f>
        <v>0</v>
      </c>
      <c r="AA47" s="6">
        <f>SUM(PACIENTES!AA47+COMEDOR!AA47+JORNADA!AA47+'DIETOLOGÍA(S)'!AA47)</f>
        <v>20</v>
      </c>
      <c r="AB47" s="6">
        <f>SUM(PACIENTES!AB47+COMEDOR!AB47+JORNADA!AB47+'DIETOLOGÍA(S)'!AB47)</f>
        <v>0</v>
      </c>
      <c r="AC47" s="6">
        <f>SUM(PACIENTES!AC47+COMEDOR!AC47+JORNADA!AC47+'DIETOLOGÍA(S)'!AC47)</f>
        <v>0</v>
      </c>
      <c r="AD47" s="6">
        <f>SUM(PACIENTES!AD47+COMEDOR!AD47+JORNADA!AD47+'DIETOLOGÍA(S)'!AD47)</f>
        <v>0</v>
      </c>
      <c r="AE47" s="6">
        <f>SUM(PACIENTES!AE47+COMEDOR!AE47+JORNADA!AE47+'DIETOLOGÍA(S)'!AE47)</f>
        <v>2</v>
      </c>
      <c r="AF47" s="6">
        <f>SUM(PACIENTES!AF47+COMEDOR!AF47+JORNADA!AF47+'DIETOLOGÍA(S)'!AF47)</f>
        <v>0</v>
      </c>
      <c r="AG47" s="6">
        <f>SUM(PACIENTES!AG47+COMEDOR!AG47+JORNADA!AG47+'DIETOLOGÍA(S)'!AG47)</f>
        <v>0</v>
      </c>
      <c r="AH47" s="6">
        <f>SUM(PACIENTES!AH47+COMEDOR!AH47+JORNADA!AH47+'DIETOLOGÍA(S)'!AH47)</f>
        <v>0</v>
      </c>
      <c r="AI47" s="9">
        <f t="shared" si="1"/>
        <v>44</v>
      </c>
    </row>
    <row r="48" spans="1:35" ht="15.75" customHeight="1">
      <c r="A48" s="49">
        <v>2212010015</v>
      </c>
      <c r="B48" s="50" t="s">
        <v>52</v>
      </c>
      <c r="C48" s="51" t="s">
        <v>6</v>
      </c>
      <c r="D48" s="6">
        <f>SUM(PACIENTES!D48+COMEDOR!D48+JORNADA!D48+'DIETOLOGÍA(S)'!D48)</f>
        <v>32</v>
      </c>
      <c r="E48" s="6">
        <f>SUM(PACIENTES!E48+COMEDOR!E48+JORNADA!E48+'DIETOLOGÍA(S)'!E48)</f>
        <v>24</v>
      </c>
      <c r="F48" s="6">
        <f>SUM(PACIENTES!F48+COMEDOR!F48+JORNADA!F48+'DIETOLOGÍA(S)'!F48)</f>
        <v>22</v>
      </c>
      <c r="G48" s="6">
        <f>SUM(PACIENTES!G48+COMEDOR!G48+JORNADA!G48+'DIETOLOGÍA(S)'!G48)</f>
        <v>29</v>
      </c>
      <c r="H48" s="6">
        <f>SUM(PACIENTES!H48+COMEDOR!H48+JORNADA!H48+'DIETOLOGÍA(S)'!H48)</f>
        <v>29</v>
      </c>
      <c r="I48" s="6">
        <f>SUM(PACIENTES!I48+COMEDOR!I48+JORNADA!I48+'DIETOLOGÍA(S)'!I48)</f>
        <v>31</v>
      </c>
      <c r="J48" s="6">
        <f>SUM(PACIENTES!J48+COMEDOR!J48+JORNADA!J48+'DIETOLOGÍA(S)'!J48)</f>
        <v>33</v>
      </c>
      <c r="K48" s="6">
        <f>SUM(PACIENTES!K48+COMEDOR!K48+JORNADA!K48+'DIETOLOGÍA(S)'!K48)</f>
        <v>31</v>
      </c>
      <c r="L48" s="6">
        <f>SUM(PACIENTES!L48+COMEDOR!L48+JORNADA!L48+'DIETOLOGÍA(S)'!L48)</f>
        <v>28</v>
      </c>
      <c r="M48" s="6">
        <f>SUM(PACIENTES!M48+COMEDOR!M48+JORNADA!M48+'DIETOLOGÍA(S)'!M48)</f>
        <v>23</v>
      </c>
      <c r="N48" s="6">
        <f>SUM(PACIENTES!N48+COMEDOR!N48+JORNADA!N48+'DIETOLOGÍA(S)'!N48)</f>
        <v>24</v>
      </c>
      <c r="O48" s="6">
        <f>SUM(PACIENTES!O48+COMEDOR!O48+JORNADA!O48+'DIETOLOGÍA(S)'!O48)</f>
        <v>30</v>
      </c>
      <c r="P48" s="6">
        <f>SUM(PACIENTES!P48+COMEDOR!P48+JORNADA!P48+'DIETOLOGÍA(S)'!P48)</f>
        <v>31</v>
      </c>
      <c r="Q48" s="6">
        <f>SUM(PACIENTES!Q48+COMEDOR!Q48+JORNADA!Q48+'DIETOLOGÍA(S)'!Q48)</f>
        <v>32</v>
      </c>
      <c r="R48" s="6">
        <f>SUM(PACIENTES!R48+COMEDOR!R48+JORNADA!R48+'DIETOLOGÍA(S)'!R48)</f>
        <v>26</v>
      </c>
      <c r="S48" s="6">
        <f>SUM(PACIENTES!S48+COMEDOR!S48+JORNADA!S48+'DIETOLOGÍA(S)'!S48)</f>
        <v>24</v>
      </c>
      <c r="T48" s="6">
        <f>SUM(PACIENTES!T48+COMEDOR!T48+JORNADA!T48+'DIETOLOGÍA(S)'!T48)</f>
        <v>28</v>
      </c>
      <c r="U48" s="6">
        <f>SUM(PACIENTES!U48+COMEDOR!U48+JORNADA!U48+'DIETOLOGÍA(S)'!U48)</f>
        <v>27</v>
      </c>
      <c r="V48" s="6">
        <f>SUM(PACIENTES!V48+COMEDOR!V48+JORNADA!V48+'DIETOLOGÍA(S)'!V48)</f>
        <v>35</v>
      </c>
      <c r="W48" s="6">
        <f>SUM(PACIENTES!W48+COMEDOR!W48+JORNADA!W48+'DIETOLOGÍA(S)'!W48)</f>
        <v>36</v>
      </c>
      <c r="X48" s="6">
        <f>SUM(PACIENTES!X48+COMEDOR!X48+JORNADA!X48+'DIETOLOGÍA(S)'!X48)</f>
        <v>35</v>
      </c>
      <c r="Y48" s="6">
        <f>SUM(PACIENTES!Y48+COMEDOR!Y48+JORNADA!Y48+'DIETOLOGÍA(S)'!Y48)</f>
        <v>31</v>
      </c>
      <c r="Z48" s="6">
        <f>SUM(PACIENTES!Z48+COMEDOR!Z48+JORNADA!Z48+'DIETOLOGÍA(S)'!Z48)</f>
        <v>34</v>
      </c>
      <c r="AA48" s="6">
        <f>SUM(PACIENTES!AA48+COMEDOR!AA48+JORNADA!AA48+'DIETOLOGÍA(S)'!AA48)</f>
        <v>29</v>
      </c>
      <c r="AB48" s="6">
        <f>SUM(PACIENTES!AB48+COMEDOR!AB48+JORNADA!AB48+'DIETOLOGÍA(S)'!AB48)</f>
        <v>26</v>
      </c>
      <c r="AC48" s="6">
        <f>SUM(PACIENTES!AC48+COMEDOR!AC48+JORNADA!AC48+'DIETOLOGÍA(S)'!AC48)</f>
        <v>24</v>
      </c>
      <c r="AD48" s="6">
        <f>SUM(PACIENTES!AD48+COMEDOR!AD48+JORNADA!AD48+'DIETOLOGÍA(S)'!AD48)</f>
        <v>30</v>
      </c>
      <c r="AE48" s="6">
        <f>SUM(PACIENTES!AE48+COMEDOR!AE48+JORNADA!AE48+'DIETOLOGÍA(S)'!AE48)</f>
        <v>41</v>
      </c>
      <c r="AF48" s="6">
        <f>SUM(PACIENTES!AF48+COMEDOR!AF48+JORNADA!AF48+'DIETOLOGÍA(S)'!AF48)</f>
        <v>33</v>
      </c>
      <c r="AG48" s="6">
        <f>SUM(PACIENTES!AG48+COMEDOR!AG48+JORNADA!AG48+'DIETOLOGÍA(S)'!AG48)</f>
        <v>34</v>
      </c>
      <c r="AH48" s="6">
        <f>SUM(PACIENTES!AH48+COMEDOR!AH48+JORNADA!AH48+'DIETOLOGÍA(S)'!AH48)</f>
        <v>32</v>
      </c>
      <c r="AI48" s="9">
        <f t="shared" si="1"/>
        <v>924</v>
      </c>
    </row>
    <row r="49" spans="1:35" ht="15.75" customHeight="1">
      <c r="A49" s="49">
        <v>2212010016</v>
      </c>
      <c r="B49" s="50" t="s">
        <v>53</v>
      </c>
      <c r="C49" s="51" t="s">
        <v>42</v>
      </c>
      <c r="D49" s="6">
        <f>SUM(PACIENTES!D49+COMEDOR!D49+JORNADA!D49+'DIETOLOGÍA(S)'!D49)</f>
        <v>0</v>
      </c>
      <c r="E49" s="6">
        <f>SUM(PACIENTES!E49+COMEDOR!E49+JORNADA!E49+'DIETOLOGÍA(S)'!E49)</f>
        <v>0</v>
      </c>
      <c r="F49" s="6">
        <f>SUM(PACIENTES!F49+COMEDOR!F49+JORNADA!F49+'DIETOLOGÍA(S)'!F49)</f>
        <v>0</v>
      </c>
      <c r="G49" s="6">
        <f>SUM(PACIENTES!G49+COMEDOR!G49+JORNADA!G49+'DIETOLOGÍA(S)'!G49)</f>
        <v>0</v>
      </c>
      <c r="H49" s="6">
        <f>SUM(PACIENTES!H49+COMEDOR!H49+JORNADA!H49+'DIETOLOGÍA(S)'!H49)</f>
        <v>0</v>
      </c>
      <c r="I49" s="6">
        <f>SUM(PACIENTES!I49+COMEDOR!I49+JORNADA!I49+'DIETOLOGÍA(S)'!I49)</f>
        <v>0</v>
      </c>
      <c r="J49" s="6">
        <f>SUM(PACIENTES!J49+COMEDOR!J49+JORNADA!J49+'DIETOLOGÍA(S)'!J49)</f>
        <v>1</v>
      </c>
      <c r="K49" s="6">
        <f>SUM(PACIENTES!K49+COMEDOR!K49+JORNADA!K49+'DIETOLOGÍA(S)'!K49)</f>
        <v>0</v>
      </c>
      <c r="L49" s="6">
        <f>SUM(PACIENTES!L49+COMEDOR!L49+JORNADA!L49+'DIETOLOGÍA(S)'!L49)</f>
        <v>0</v>
      </c>
      <c r="M49" s="6">
        <f>SUM(PACIENTES!M49+COMEDOR!M49+JORNADA!M49+'DIETOLOGÍA(S)'!M49)</f>
        <v>0</v>
      </c>
      <c r="N49" s="6">
        <f>SUM(PACIENTES!N49+COMEDOR!N49+JORNADA!N49+'DIETOLOGÍA(S)'!N49)</f>
        <v>0</v>
      </c>
      <c r="O49" s="6">
        <f>SUM(PACIENTES!O49+COMEDOR!O49+JORNADA!O49+'DIETOLOGÍA(S)'!O49)</f>
        <v>0</v>
      </c>
      <c r="P49" s="6">
        <f>SUM(PACIENTES!P49+COMEDOR!P49+JORNADA!P49+'DIETOLOGÍA(S)'!P49)</f>
        <v>0</v>
      </c>
      <c r="Q49" s="6">
        <f>SUM(PACIENTES!Q49+COMEDOR!Q49+JORNADA!Q49+'DIETOLOGÍA(S)'!Q49)</f>
        <v>0</v>
      </c>
      <c r="R49" s="6">
        <f>SUM(PACIENTES!R49+COMEDOR!R49+JORNADA!R49+'DIETOLOGÍA(S)'!R49)</f>
        <v>0</v>
      </c>
      <c r="S49" s="6">
        <f>SUM(PACIENTES!S49+COMEDOR!S49+JORNADA!S49+'DIETOLOGÍA(S)'!S49)</f>
        <v>0</v>
      </c>
      <c r="T49" s="6">
        <f>SUM(PACIENTES!T49+COMEDOR!T49+JORNADA!T49+'DIETOLOGÍA(S)'!T49)</f>
        <v>0</v>
      </c>
      <c r="U49" s="6">
        <f>SUM(PACIENTES!U49+COMEDOR!U49+JORNADA!U49+'DIETOLOGÍA(S)'!U49)</f>
        <v>0</v>
      </c>
      <c r="V49" s="6">
        <f>SUM(PACIENTES!V49+COMEDOR!V49+JORNADA!V49+'DIETOLOGÍA(S)'!V49)</f>
        <v>0</v>
      </c>
      <c r="W49" s="6">
        <f>SUM(PACIENTES!W49+COMEDOR!W49+JORNADA!W49+'DIETOLOGÍA(S)'!W49)</f>
        <v>0</v>
      </c>
      <c r="X49" s="6">
        <f>SUM(PACIENTES!X49+COMEDOR!X49+JORNADA!X49+'DIETOLOGÍA(S)'!X49)</f>
        <v>0</v>
      </c>
      <c r="Y49" s="6">
        <f>SUM(PACIENTES!Y49+COMEDOR!Y49+JORNADA!Y49+'DIETOLOGÍA(S)'!Y49)</f>
        <v>0</v>
      </c>
      <c r="Z49" s="6">
        <f>SUM(PACIENTES!Z49+COMEDOR!Z49+JORNADA!Z49+'DIETOLOGÍA(S)'!Z49)</f>
        <v>0</v>
      </c>
      <c r="AA49" s="6">
        <f>SUM(PACIENTES!AA49+COMEDOR!AA49+JORNADA!AA49+'DIETOLOGÍA(S)'!AA49)</f>
        <v>0</v>
      </c>
      <c r="AB49" s="6">
        <f>SUM(PACIENTES!AB49+COMEDOR!AB49+JORNADA!AB49+'DIETOLOGÍA(S)'!AB49)</f>
        <v>0</v>
      </c>
      <c r="AC49" s="6">
        <f>SUM(PACIENTES!AC49+COMEDOR!AC49+JORNADA!AC49+'DIETOLOGÍA(S)'!AC49)</f>
        <v>0</v>
      </c>
      <c r="AD49" s="6">
        <f>SUM(PACIENTES!AD49+COMEDOR!AD49+JORNADA!AD49+'DIETOLOGÍA(S)'!AD49)</f>
        <v>3</v>
      </c>
      <c r="AE49" s="6">
        <f>SUM(PACIENTES!AE49+COMEDOR!AE49+JORNADA!AE49+'DIETOLOGÍA(S)'!AE49)</f>
        <v>0</v>
      </c>
      <c r="AF49" s="6">
        <f>SUM(PACIENTES!AF49+COMEDOR!AF49+JORNADA!AF49+'DIETOLOGÍA(S)'!AF49)</f>
        <v>0</v>
      </c>
      <c r="AG49" s="6">
        <f>SUM(PACIENTES!AG49+COMEDOR!AG49+JORNADA!AG49+'DIETOLOGÍA(S)'!AG49)</f>
        <v>0</v>
      </c>
      <c r="AH49" s="6">
        <f>SUM(PACIENTES!AH49+COMEDOR!AH49+JORNADA!AH49+'DIETOLOGÍA(S)'!AH49)</f>
        <v>0</v>
      </c>
      <c r="AI49" s="9">
        <f t="shared" si="1"/>
        <v>4</v>
      </c>
    </row>
    <row r="50" spans="1:35" ht="15.75" customHeight="1">
      <c r="A50" s="49">
        <v>2212010017</v>
      </c>
      <c r="B50" s="50" t="s">
        <v>54</v>
      </c>
      <c r="C50" s="51" t="s">
        <v>6</v>
      </c>
      <c r="D50" s="6">
        <f>SUM(PACIENTES!D50+COMEDOR!D50+JORNADA!D50+'DIETOLOGÍA(S)'!D50)</f>
        <v>0</v>
      </c>
      <c r="E50" s="6">
        <f>SUM(PACIENTES!E50+COMEDOR!E50+JORNADA!E50+'DIETOLOGÍA(S)'!E50)</f>
        <v>0</v>
      </c>
      <c r="F50" s="6">
        <f>SUM(PACIENTES!F50+COMEDOR!F50+JORNADA!F50+'DIETOLOGÍA(S)'!F50)</f>
        <v>0</v>
      </c>
      <c r="G50" s="6">
        <f>SUM(PACIENTES!G50+COMEDOR!G50+JORNADA!G50+'DIETOLOGÍA(S)'!G50)</f>
        <v>0</v>
      </c>
      <c r="H50" s="6">
        <f>SUM(PACIENTES!H50+COMEDOR!H50+JORNADA!H50+'DIETOLOGÍA(S)'!H50)</f>
        <v>0</v>
      </c>
      <c r="I50" s="6">
        <f>SUM(PACIENTES!I50+COMEDOR!I50+JORNADA!I50+'DIETOLOGÍA(S)'!I50)</f>
        <v>0</v>
      </c>
      <c r="J50" s="6">
        <f>SUM(PACIENTES!J50+COMEDOR!J50+JORNADA!J50+'DIETOLOGÍA(S)'!J50)</f>
        <v>1</v>
      </c>
      <c r="K50" s="6">
        <f>SUM(PACIENTES!K50+COMEDOR!K50+JORNADA!K50+'DIETOLOGÍA(S)'!K50)</f>
        <v>0</v>
      </c>
      <c r="L50" s="6">
        <f>SUM(PACIENTES!L50+COMEDOR!L50+JORNADA!L50+'DIETOLOGÍA(S)'!L50)</f>
        <v>0</v>
      </c>
      <c r="M50" s="6">
        <f>SUM(PACIENTES!M50+COMEDOR!M50+JORNADA!M50+'DIETOLOGÍA(S)'!M50)</f>
        <v>0</v>
      </c>
      <c r="N50" s="6">
        <f>SUM(PACIENTES!N50+COMEDOR!N50+JORNADA!N50+'DIETOLOGÍA(S)'!N50)</f>
        <v>0</v>
      </c>
      <c r="O50" s="6">
        <f>SUM(PACIENTES!O50+COMEDOR!O50+JORNADA!O50+'DIETOLOGÍA(S)'!O50)</f>
        <v>0</v>
      </c>
      <c r="P50" s="6">
        <f>SUM(PACIENTES!P50+COMEDOR!P50+JORNADA!P50+'DIETOLOGÍA(S)'!P50)</f>
        <v>7</v>
      </c>
      <c r="Q50" s="6">
        <f>SUM(PACIENTES!Q50+COMEDOR!Q50+JORNADA!Q50+'DIETOLOGÍA(S)'!Q50)</f>
        <v>0</v>
      </c>
      <c r="R50" s="6">
        <f>SUM(PACIENTES!R50+COMEDOR!R50+JORNADA!R50+'DIETOLOGÍA(S)'!R50)</f>
        <v>0</v>
      </c>
      <c r="S50" s="6">
        <f>SUM(PACIENTES!S50+COMEDOR!S50+JORNADA!S50+'DIETOLOGÍA(S)'!S50)</f>
        <v>0</v>
      </c>
      <c r="T50" s="6">
        <f>SUM(PACIENTES!T50+COMEDOR!T50+JORNADA!T50+'DIETOLOGÍA(S)'!T50)</f>
        <v>0</v>
      </c>
      <c r="U50" s="6">
        <f>SUM(PACIENTES!U50+COMEDOR!U50+JORNADA!U50+'DIETOLOGÍA(S)'!U50)</f>
        <v>0</v>
      </c>
      <c r="V50" s="6">
        <f>SUM(PACIENTES!V50+COMEDOR!V50+JORNADA!V50+'DIETOLOGÍA(S)'!V50)</f>
        <v>0</v>
      </c>
      <c r="W50" s="6">
        <f>SUM(PACIENTES!W50+COMEDOR!W50+JORNADA!W50+'DIETOLOGÍA(S)'!W50)</f>
        <v>0</v>
      </c>
      <c r="X50" s="6">
        <f>SUM(PACIENTES!X50+COMEDOR!X50+JORNADA!X50+'DIETOLOGÍA(S)'!X50)</f>
        <v>1</v>
      </c>
      <c r="Y50" s="6">
        <f>SUM(PACIENTES!Y50+COMEDOR!Y50+JORNADA!Y50+'DIETOLOGÍA(S)'!Y50)</f>
        <v>0</v>
      </c>
      <c r="Z50" s="6">
        <f>SUM(PACIENTES!Z50+COMEDOR!Z50+JORNADA!Z50+'DIETOLOGÍA(S)'!Z50)</f>
        <v>0</v>
      </c>
      <c r="AA50" s="6">
        <f>SUM(PACIENTES!AA50+COMEDOR!AA50+JORNADA!AA50+'DIETOLOGÍA(S)'!AA50)</f>
        <v>0</v>
      </c>
      <c r="AB50" s="6">
        <f>SUM(PACIENTES!AB50+COMEDOR!AB50+JORNADA!AB50+'DIETOLOGÍA(S)'!AB50)</f>
        <v>0</v>
      </c>
      <c r="AC50" s="6">
        <f>SUM(PACIENTES!AC50+COMEDOR!AC50+JORNADA!AC50+'DIETOLOGÍA(S)'!AC50)</f>
        <v>7</v>
      </c>
      <c r="AD50" s="6">
        <f>SUM(PACIENTES!AD50+COMEDOR!AD50+JORNADA!AD50+'DIETOLOGÍA(S)'!AD50)</f>
        <v>0</v>
      </c>
      <c r="AE50" s="6">
        <f>SUM(PACIENTES!AE50+COMEDOR!AE50+JORNADA!AE50+'DIETOLOGÍA(S)'!AE50)</f>
        <v>0</v>
      </c>
      <c r="AF50" s="6">
        <f>SUM(PACIENTES!AF50+COMEDOR!AF50+JORNADA!AF50+'DIETOLOGÍA(S)'!AF50)</f>
        <v>0</v>
      </c>
      <c r="AG50" s="6">
        <f>SUM(PACIENTES!AG50+COMEDOR!AG50+JORNADA!AG50+'DIETOLOGÍA(S)'!AG50)</f>
        <v>0</v>
      </c>
      <c r="AH50" s="6">
        <f>SUM(PACIENTES!AH50+COMEDOR!AH50+JORNADA!AH50+'DIETOLOGÍA(S)'!AH50)</f>
        <v>0</v>
      </c>
      <c r="AI50" s="9">
        <f t="shared" si="1"/>
        <v>16</v>
      </c>
    </row>
    <row r="51" spans="1:35" ht="15.75" customHeight="1">
      <c r="A51" s="49">
        <v>2212010019</v>
      </c>
      <c r="B51" s="50" t="s">
        <v>55</v>
      </c>
      <c r="C51" s="51" t="s">
        <v>6</v>
      </c>
      <c r="D51" s="6">
        <f>SUM(PACIENTES!D51+COMEDOR!D51+JORNADA!D51+'DIETOLOGÍA(S)'!D51)</f>
        <v>47</v>
      </c>
      <c r="E51" s="6">
        <f>SUM(PACIENTES!E51+COMEDOR!E51+JORNADA!E51+'DIETOLOGÍA(S)'!E51)</f>
        <v>77</v>
      </c>
      <c r="F51" s="6">
        <f>SUM(PACIENTES!F51+COMEDOR!F51+JORNADA!F51+'DIETOLOGÍA(S)'!F51)</f>
        <v>53</v>
      </c>
      <c r="G51" s="6">
        <f>SUM(PACIENTES!G51+COMEDOR!G51+JORNADA!G51+'DIETOLOGÍA(S)'!G51)</f>
        <v>32</v>
      </c>
      <c r="H51" s="6">
        <f>SUM(PACIENTES!H51+COMEDOR!H51+JORNADA!H51+'DIETOLOGÍA(S)'!H51)</f>
        <v>77</v>
      </c>
      <c r="I51" s="6">
        <f>SUM(PACIENTES!I51+COMEDOR!I51+JORNADA!I51+'DIETOLOGÍA(S)'!I51)</f>
        <v>107</v>
      </c>
      <c r="J51" s="6">
        <f>SUM(PACIENTES!J51+COMEDOR!J51+JORNADA!J51+'DIETOLOGÍA(S)'!J51)</f>
        <v>132</v>
      </c>
      <c r="K51" s="6">
        <f>SUM(PACIENTES!K51+COMEDOR!K51+JORNADA!K51+'DIETOLOGÍA(S)'!K51)</f>
        <v>115</v>
      </c>
      <c r="L51" s="6">
        <f>SUM(PACIENTES!L51+COMEDOR!L51+JORNADA!L51+'DIETOLOGÍA(S)'!L51)</f>
        <v>50</v>
      </c>
      <c r="M51" s="6">
        <f>SUM(PACIENTES!M51+COMEDOR!M51+JORNADA!M51+'DIETOLOGÍA(S)'!M51)</f>
        <v>30</v>
      </c>
      <c r="N51" s="6">
        <f>SUM(PACIENTES!N51+COMEDOR!N51+JORNADA!N51+'DIETOLOGÍA(S)'!N51)</f>
        <v>60</v>
      </c>
      <c r="O51" s="6">
        <f>SUM(PACIENTES!O51+COMEDOR!O51+JORNADA!O51+'DIETOLOGÍA(S)'!O51)</f>
        <v>55</v>
      </c>
      <c r="P51" s="6">
        <f>SUM(PACIENTES!P51+COMEDOR!P51+JORNADA!P51+'DIETOLOGÍA(S)'!P51)</f>
        <v>116</v>
      </c>
      <c r="Q51" s="6">
        <f>SUM(PACIENTES!Q51+COMEDOR!Q51+JORNADA!Q51+'DIETOLOGÍA(S)'!Q51)</f>
        <v>110</v>
      </c>
      <c r="R51" s="6">
        <f>SUM(PACIENTES!R51+COMEDOR!R51+JORNADA!R51+'DIETOLOGÍA(S)'!R51)</f>
        <v>152</v>
      </c>
      <c r="S51" s="6">
        <f>SUM(PACIENTES!S51+COMEDOR!S51+JORNADA!S51+'DIETOLOGÍA(S)'!S51)</f>
        <v>35</v>
      </c>
      <c r="T51" s="6">
        <f>SUM(PACIENTES!T51+COMEDOR!T51+JORNADA!T51+'DIETOLOGÍA(S)'!T51)</f>
        <v>52</v>
      </c>
      <c r="U51" s="6">
        <f>SUM(PACIENTES!U51+COMEDOR!U51+JORNADA!U51+'DIETOLOGÍA(S)'!U51)</f>
        <v>48</v>
      </c>
      <c r="V51" s="6">
        <f>SUM(PACIENTES!V51+COMEDOR!V51+JORNADA!V51+'DIETOLOGÍA(S)'!V51)</f>
        <v>95</v>
      </c>
      <c r="W51" s="6">
        <f>SUM(PACIENTES!W51+COMEDOR!W51+JORNADA!W51+'DIETOLOGÍA(S)'!W51)</f>
        <v>78</v>
      </c>
      <c r="X51" s="6">
        <f>SUM(PACIENTES!X51+COMEDOR!X51+JORNADA!X51+'DIETOLOGÍA(S)'!X51)</f>
        <v>102</v>
      </c>
      <c r="Y51" s="6">
        <f>SUM(PACIENTES!Y51+COMEDOR!Y51+JORNADA!Y51+'DIETOLOGÍA(S)'!Y51)</f>
        <v>117</v>
      </c>
      <c r="Z51" s="6">
        <f>SUM(PACIENTES!Z51+COMEDOR!Z51+JORNADA!Z51+'DIETOLOGÍA(S)'!Z51)</f>
        <v>115</v>
      </c>
      <c r="AA51" s="6">
        <f>SUM(PACIENTES!AA51+COMEDOR!AA51+JORNADA!AA51+'DIETOLOGÍA(S)'!AA51)</f>
        <v>55</v>
      </c>
      <c r="AB51" s="6">
        <f>SUM(PACIENTES!AB51+COMEDOR!AB51+JORNADA!AB51+'DIETOLOGÍA(S)'!AB51)</f>
        <v>52</v>
      </c>
      <c r="AC51" s="6">
        <f>SUM(PACIENTES!AC51+COMEDOR!AC51+JORNADA!AC51+'DIETOLOGÍA(S)'!AC51)</f>
        <v>67</v>
      </c>
      <c r="AD51" s="6">
        <f>SUM(PACIENTES!AD51+COMEDOR!AD51+JORNADA!AD51+'DIETOLOGÍA(S)'!AD51)</f>
        <v>112</v>
      </c>
      <c r="AE51" s="6">
        <f>SUM(PACIENTES!AE51+COMEDOR!AE51+JORNADA!AE51+'DIETOLOGÍA(S)'!AE51)</f>
        <v>122</v>
      </c>
      <c r="AF51" s="6">
        <f>SUM(PACIENTES!AF51+COMEDOR!AF51+JORNADA!AF51+'DIETOLOGÍA(S)'!AF51)</f>
        <v>107</v>
      </c>
      <c r="AG51" s="6">
        <f>SUM(PACIENTES!AG51+COMEDOR!AG51+JORNADA!AG51+'DIETOLOGÍA(S)'!AG51)</f>
        <v>162</v>
      </c>
      <c r="AH51" s="6">
        <f>SUM(PACIENTES!AH51+COMEDOR!AH51+JORNADA!AH51+'DIETOLOGÍA(S)'!AH51)</f>
        <v>50</v>
      </c>
      <c r="AI51" s="9">
        <f t="shared" si="1"/>
        <v>2582</v>
      </c>
    </row>
    <row r="52" spans="1:35" ht="15.75" customHeight="1">
      <c r="A52" s="49">
        <v>2212010020</v>
      </c>
      <c r="B52" s="50" t="s">
        <v>56</v>
      </c>
      <c r="C52" s="51" t="s">
        <v>6</v>
      </c>
      <c r="D52" s="6">
        <f>SUM(PACIENTES!D52+COMEDOR!D52+JORNADA!D52+'DIETOLOGÍA(S)'!D52)</f>
        <v>0</v>
      </c>
      <c r="E52" s="6">
        <f>SUM(PACIENTES!E52+COMEDOR!E52+JORNADA!E52+'DIETOLOGÍA(S)'!E52)</f>
        <v>0</v>
      </c>
      <c r="F52" s="6">
        <f>SUM(PACIENTES!F52+COMEDOR!F52+JORNADA!F52+'DIETOLOGÍA(S)'!F52)</f>
        <v>0</v>
      </c>
      <c r="G52" s="6">
        <f>SUM(PACIENTES!G52+COMEDOR!G52+JORNADA!G52+'DIETOLOGÍA(S)'!G52)</f>
        <v>0</v>
      </c>
      <c r="H52" s="6">
        <f>SUM(PACIENTES!H52+COMEDOR!H52+JORNADA!H52+'DIETOLOGÍA(S)'!H52)</f>
        <v>0</v>
      </c>
      <c r="I52" s="6">
        <f>SUM(PACIENTES!I52+COMEDOR!I52+JORNADA!I52+'DIETOLOGÍA(S)'!I52)</f>
        <v>0</v>
      </c>
      <c r="J52" s="6">
        <f>SUM(PACIENTES!J52+COMEDOR!J52+JORNADA!J52+'DIETOLOGÍA(S)'!J52)</f>
        <v>0</v>
      </c>
      <c r="K52" s="6">
        <f>SUM(PACIENTES!K52+COMEDOR!K52+JORNADA!K52+'DIETOLOGÍA(S)'!K52)</f>
        <v>0</v>
      </c>
      <c r="L52" s="6">
        <f>SUM(PACIENTES!L52+COMEDOR!L52+JORNADA!L52+'DIETOLOGÍA(S)'!L52)</f>
        <v>0</v>
      </c>
      <c r="M52" s="6">
        <f>SUM(PACIENTES!M52+COMEDOR!M52+JORNADA!M52+'DIETOLOGÍA(S)'!M52)</f>
        <v>0</v>
      </c>
      <c r="N52" s="6">
        <f>SUM(PACIENTES!N52+COMEDOR!N52+JORNADA!N52+'DIETOLOGÍA(S)'!N52)</f>
        <v>0</v>
      </c>
      <c r="O52" s="6">
        <f>SUM(PACIENTES!O52+COMEDOR!O52+JORNADA!O52+'DIETOLOGÍA(S)'!O52)</f>
        <v>0</v>
      </c>
      <c r="P52" s="6">
        <f>SUM(PACIENTES!P52+COMEDOR!P52+JORNADA!P52+'DIETOLOGÍA(S)'!P52)</f>
        <v>0</v>
      </c>
      <c r="Q52" s="6">
        <f>SUM(PACIENTES!Q52+COMEDOR!Q52+JORNADA!Q52+'DIETOLOGÍA(S)'!Q52)</f>
        <v>0</v>
      </c>
      <c r="R52" s="6">
        <f>SUM(PACIENTES!R52+COMEDOR!R52+JORNADA!R52+'DIETOLOGÍA(S)'!R52)</f>
        <v>0</v>
      </c>
      <c r="S52" s="6">
        <f>SUM(PACIENTES!S52+COMEDOR!S52+JORNADA!S52+'DIETOLOGÍA(S)'!S52)</f>
        <v>0</v>
      </c>
      <c r="T52" s="6">
        <f>SUM(PACIENTES!T52+COMEDOR!T52+JORNADA!T52+'DIETOLOGÍA(S)'!T52)</f>
        <v>0</v>
      </c>
      <c r="U52" s="6">
        <f>SUM(PACIENTES!U52+COMEDOR!U52+JORNADA!U52+'DIETOLOGÍA(S)'!U52)</f>
        <v>0</v>
      </c>
      <c r="V52" s="6">
        <f>SUM(PACIENTES!V52+COMEDOR!V52+JORNADA!V52+'DIETOLOGÍA(S)'!V52)</f>
        <v>0</v>
      </c>
      <c r="W52" s="6">
        <f>SUM(PACIENTES!W52+COMEDOR!W52+JORNADA!W52+'DIETOLOGÍA(S)'!W52)</f>
        <v>0</v>
      </c>
      <c r="X52" s="6">
        <f>SUM(PACIENTES!X52+COMEDOR!X52+JORNADA!X52+'DIETOLOGÍA(S)'!X52)</f>
        <v>0</v>
      </c>
      <c r="Y52" s="6">
        <f>SUM(PACIENTES!Y52+COMEDOR!Y52+JORNADA!Y52+'DIETOLOGÍA(S)'!Y52)</f>
        <v>0</v>
      </c>
      <c r="Z52" s="6">
        <f>SUM(PACIENTES!Z52+COMEDOR!Z52+JORNADA!Z52+'DIETOLOGÍA(S)'!Z52)</f>
        <v>0</v>
      </c>
      <c r="AA52" s="6">
        <f>SUM(PACIENTES!AA52+COMEDOR!AA52+JORNADA!AA52+'DIETOLOGÍA(S)'!AA52)</f>
        <v>0</v>
      </c>
      <c r="AB52" s="6">
        <f>SUM(PACIENTES!AB52+COMEDOR!AB52+JORNADA!AB52+'DIETOLOGÍA(S)'!AB52)</f>
        <v>0</v>
      </c>
      <c r="AC52" s="6">
        <f>SUM(PACIENTES!AC52+COMEDOR!AC52+JORNADA!AC52+'DIETOLOGÍA(S)'!AC52)</f>
        <v>0</v>
      </c>
      <c r="AD52" s="6">
        <f>SUM(PACIENTES!AD52+COMEDOR!AD52+JORNADA!AD52+'DIETOLOGÍA(S)'!AD52)</f>
        <v>0</v>
      </c>
      <c r="AE52" s="6">
        <f>SUM(PACIENTES!AE52+COMEDOR!AE52+JORNADA!AE52+'DIETOLOGÍA(S)'!AE52)</f>
        <v>0</v>
      </c>
      <c r="AF52" s="6">
        <f>SUM(PACIENTES!AF52+COMEDOR!AF52+JORNADA!AF52+'DIETOLOGÍA(S)'!AF52)</f>
        <v>0</v>
      </c>
      <c r="AG52" s="6">
        <f>SUM(PACIENTES!AG52+COMEDOR!AG52+JORNADA!AG52+'DIETOLOGÍA(S)'!AG52)</f>
        <v>0</v>
      </c>
      <c r="AH52" s="6">
        <f>SUM(PACIENTES!AH52+COMEDOR!AH52+JORNADA!AH52+'DIETOLOGÍA(S)'!AH52)</f>
        <v>0</v>
      </c>
      <c r="AI52" s="9">
        <f t="shared" si="1"/>
        <v>0</v>
      </c>
    </row>
    <row r="53" spans="1:35" ht="15.75" customHeight="1">
      <c r="A53" s="49">
        <v>2212010021</v>
      </c>
      <c r="B53" s="50" t="s">
        <v>57</v>
      </c>
      <c r="C53" s="51" t="s">
        <v>6</v>
      </c>
      <c r="D53" s="6">
        <f>SUM(PACIENTES!D53+COMEDOR!D53+JORNADA!D53+'DIETOLOGÍA(S)'!D53)</f>
        <v>4</v>
      </c>
      <c r="E53" s="6">
        <f>SUM(PACIENTES!E53+COMEDOR!E53+JORNADA!E53+'DIETOLOGÍA(S)'!E53)</f>
        <v>0</v>
      </c>
      <c r="F53" s="6">
        <f>SUM(PACIENTES!F53+COMEDOR!F53+JORNADA!F53+'DIETOLOGÍA(S)'!F53)</f>
        <v>0</v>
      </c>
      <c r="G53" s="6">
        <f>SUM(PACIENTES!G53+COMEDOR!G53+JORNADA!G53+'DIETOLOGÍA(S)'!G53)</f>
        <v>0</v>
      </c>
      <c r="H53" s="6">
        <f>SUM(PACIENTES!H53+COMEDOR!H53+JORNADA!H53+'DIETOLOGÍA(S)'!H53)</f>
        <v>0</v>
      </c>
      <c r="I53" s="6">
        <f>SUM(PACIENTES!I53+COMEDOR!I53+JORNADA!I53+'DIETOLOGÍA(S)'!I53)</f>
        <v>0</v>
      </c>
      <c r="J53" s="6">
        <f>SUM(PACIENTES!J53+COMEDOR!J53+JORNADA!J53+'DIETOLOGÍA(S)'!J53)</f>
        <v>1</v>
      </c>
      <c r="K53" s="6">
        <f>SUM(PACIENTES!K53+COMEDOR!K53+JORNADA!K53+'DIETOLOGÍA(S)'!K53)</f>
        <v>0</v>
      </c>
      <c r="L53" s="6">
        <f>SUM(PACIENTES!L53+COMEDOR!L53+JORNADA!L53+'DIETOLOGÍA(S)'!L53)</f>
        <v>0</v>
      </c>
      <c r="M53" s="6">
        <f>SUM(PACIENTES!M53+COMEDOR!M53+JORNADA!M53+'DIETOLOGÍA(S)'!M53)</f>
        <v>0</v>
      </c>
      <c r="N53" s="6">
        <f>SUM(PACIENTES!N53+COMEDOR!N53+JORNADA!N53+'DIETOLOGÍA(S)'!N53)</f>
        <v>5</v>
      </c>
      <c r="O53" s="6">
        <f>SUM(PACIENTES!O53+COMEDOR!O53+JORNADA!O53+'DIETOLOGÍA(S)'!O53)</f>
        <v>0</v>
      </c>
      <c r="P53" s="6">
        <f>SUM(PACIENTES!P53+COMEDOR!P53+JORNADA!P53+'DIETOLOGÍA(S)'!P53)</f>
        <v>0</v>
      </c>
      <c r="Q53" s="6">
        <f>SUM(PACIENTES!Q53+COMEDOR!Q53+JORNADA!Q53+'DIETOLOGÍA(S)'!Q53)</f>
        <v>0</v>
      </c>
      <c r="R53" s="6">
        <f>SUM(PACIENTES!R53+COMEDOR!R53+JORNADA!R53+'DIETOLOGÍA(S)'!R53)</f>
        <v>3</v>
      </c>
      <c r="S53" s="6">
        <f>SUM(PACIENTES!S53+COMEDOR!S53+JORNADA!S53+'DIETOLOGÍA(S)'!S53)</f>
        <v>0</v>
      </c>
      <c r="T53" s="6">
        <f>SUM(PACIENTES!T53+COMEDOR!T53+JORNADA!T53+'DIETOLOGÍA(S)'!T53)</f>
        <v>0</v>
      </c>
      <c r="U53" s="6">
        <f>SUM(PACIENTES!U53+COMEDOR!U53+JORNADA!U53+'DIETOLOGÍA(S)'!U53)</f>
        <v>0</v>
      </c>
      <c r="V53" s="6">
        <f>SUM(PACIENTES!V53+COMEDOR!V53+JORNADA!V53+'DIETOLOGÍA(S)'!V53)</f>
        <v>0</v>
      </c>
      <c r="W53" s="6">
        <f>SUM(PACIENTES!W53+COMEDOR!W53+JORNADA!W53+'DIETOLOGÍA(S)'!W53)</f>
        <v>0</v>
      </c>
      <c r="X53" s="6">
        <f>SUM(PACIENTES!X53+COMEDOR!X53+JORNADA!X53+'DIETOLOGÍA(S)'!X53)</f>
        <v>0</v>
      </c>
      <c r="Y53" s="6">
        <f>SUM(PACIENTES!Y53+COMEDOR!Y53+JORNADA!Y53+'DIETOLOGÍA(S)'!Y53)</f>
        <v>0</v>
      </c>
      <c r="Z53" s="6">
        <f>SUM(PACIENTES!Z53+COMEDOR!Z53+JORNADA!Z53+'DIETOLOGÍA(S)'!Z53)</f>
        <v>0</v>
      </c>
      <c r="AA53" s="6">
        <f>SUM(PACIENTES!AA53+COMEDOR!AA53+JORNADA!AA53+'DIETOLOGÍA(S)'!AA53)</f>
        <v>0</v>
      </c>
      <c r="AB53" s="6">
        <f>SUM(PACIENTES!AB53+COMEDOR!AB53+JORNADA!AB53+'DIETOLOGÍA(S)'!AB53)</f>
        <v>0</v>
      </c>
      <c r="AC53" s="6">
        <f>SUM(PACIENTES!AC53+COMEDOR!AC53+JORNADA!AC53+'DIETOLOGÍA(S)'!AC53)</f>
        <v>0</v>
      </c>
      <c r="AD53" s="6">
        <f>SUM(PACIENTES!AD53+COMEDOR!AD53+JORNADA!AD53+'DIETOLOGÍA(S)'!AD53)</f>
        <v>1</v>
      </c>
      <c r="AE53" s="6">
        <f>SUM(PACIENTES!AE53+COMEDOR!AE53+JORNADA!AE53+'DIETOLOGÍA(S)'!AE53)</f>
        <v>11</v>
      </c>
      <c r="AF53" s="6">
        <f>SUM(PACIENTES!AF53+COMEDOR!AF53+JORNADA!AF53+'DIETOLOGÍA(S)'!AF53)</f>
        <v>0</v>
      </c>
      <c r="AG53" s="6">
        <f>SUM(PACIENTES!AG53+COMEDOR!AG53+JORNADA!AG53+'DIETOLOGÍA(S)'!AG53)</f>
        <v>3</v>
      </c>
      <c r="AH53" s="6">
        <f>SUM(PACIENTES!AH53+COMEDOR!AH53+JORNADA!AH53+'DIETOLOGÍA(S)'!AH53)</f>
        <v>0</v>
      </c>
      <c r="AI53" s="9">
        <f t="shared" si="1"/>
        <v>28</v>
      </c>
    </row>
    <row r="54" spans="1:35" ht="15.75" customHeight="1">
      <c r="A54" s="49">
        <v>2212010022</v>
      </c>
      <c r="B54" s="50" t="s">
        <v>58</v>
      </c>
      <c r="C54" s="51" t="s">
        <v>6</v>
      </c>
      <c r="D54" s="6">
        <f>SUM(PACIENTES!D54+COMEDOR!D54+JORNADA!D54+'DIETOLOGÍA(S)'!D54)</f>
        <v>4</v>
      </c>
      <c r="E54" s="6">
        <f>SUM(PACIENTES!E54+COMEDOR!E54+JORNADA!E54+'DIETOLOGÍA(S)'!E54)</f>
        <v>3</v>
      </c>
      <c r="F54" s="6">
        <f>SUM(PACIENTES!F54+COMEDOR!F54+JORNADA!F54+'DIETOLOGÍA(S)'!F54)</f>
        <v>2</v>
      </c>
      <c r="G54" s="6">
        <f>SUM(PACIENTES!G54+COMEDOR!G54+JORNADA!G54+'DIETOLOGÍA(S)'!G54)</f>
        <v>0</v>
      </c>
      <c r="H54" s="6">
        <f>SUM(PACIENTES!H54+COMEDOR!H54+JORNADA!H54+'DIETOLOGÍA(S)'!H54)</f>
        <v>0</v>
      </c>
      <c r="I54" s="6">
        <f>SUM(PACIENTES!I54+COMEDOR!I54+JORNADA!I54+'DIETOLOGÍA(S)'!I54)</f>
        <v>2</v>
      </c>
      <c r="J54" s="6">
        <f>SUM(PACIENTES!J54+COMEDOR!J54+JORNADA!J54+'DIETOLOGÍA(S)'!J54)</f>
        <v>0</v>
      </c>
      <c r="K54" s="6">
        <f>SUM(PACIENTES!K54+COMEDOR!K54+JORNADA!K54+'DIETOLOGÍA(S)'!K54)</f>
        <v>0</v>
      </c>
      <c r="L54" s="6">
        <f>SUM(PACIENTES!L54+COMEDOR!L54+JORNADA!L54+'DIETOLOGÍA(S)'!L54)</f>
        <v>0</v>
      </c>
      <c r="M54" s="6">
        <f>SUM(PACIENTES!M54+COMEDOR!M54+JORNADA!M54+'DIETOLOGÍA(S)'!M54)</f>
        <v>2</v>
      </c>
      <c r="N54" s="6">
        <f>SUM(PACIENTES!N54+COMEDOR!N54+JORNADA!N54+'DIETOLOGÍA(S)'!N54)</f>
        <v>5</v>
      </c>
      <c r="O54" s="6">
        <f>SUM(PACIENTES!O54+COMEDOR!O54+JORNADA!O54+'DIETOLOGÍA(S)'!O54)</f>
        <v>2</v>
      </c>
      <c r="P54" s="6">
        <f>SUM(PACIENTES!P54+COMEDOR!P54+JORNADA!P54+'DIETOLOGÍA(S)'!P54)</f>
        <v>0</v>
      </c>
      <c r="Q54" s="6">
        <f>SUM(PACIENTES!Q54+COMEDOR!Q54+JORNADA!Q54+'DIETOLOGÍA(S)'!Q54)</f>
        <v>1</v>
      </c>
      <c r="R54" s="6">
        <f>SUM(PACIENTES!R54+COMEDOR!R54+JORNADA!R54+'DIETOLOGÍA(S)'!R54)</f>
        <v>0</v>
      </c>
      <c r="S54" s="6">
        <f>SUM(PACIENTES!S54+COMEDOR!S54+JORNADA!S54+'DIETOLOGÍA(S)'!S54)</f>
        <v>0</v>
      </c>
      <c r="T54" s="6">
        <f>SUM(PACIENTES!T54+COMEDOR!T54+JORNADA!T54+'DIETOLOGÍA(S)'!T54)</f>
        <v>0</v>
      </c>
      <c r="U54" s="6">
        <f>SUM(PACIENTES!U54+COMEDOR!U54+JORNADA!U54+'DIETOLOGÍA(S)'!U54)</f>
        <v>2</v>
      </c>
      <c r="V54" s="6">
        <f>SUM(PACIENTES!V54+COMEDOR!V54+JORNADA!V54+'DIETOLOGÍA(S)'!V54)</f>
        <v>3</v>
      </c>
      <c r="W54" s="6">
        <f>SUM(PACIENTES!W54+COMEDOR!W54+JORNADA!W54+'DIETOLOGÍA(S)'!W54)</f>
        <v>2</v>
      </c>
      <c r="X54" s="6">
        <f>SUM(PACIENTES!X54+COMEDOR!X54+JORNADA!X54+'DIETOLOGÍA(S)'!X54)</f>
        <v>0</v>
      </c>
      <c r="Y54" s="6">
        <f>SUM(PACIENTES!Y54+COMEDOR!Y54+JORNADA!Y54+'DIETOLOGÍA(S)'!Y54)</f>
        <v>0</v>
      </c>
      <c r="Z54" s="6">
        <f>SUM(PACIENTES!Z54+COMEDOR!Z54+JORNADA!Z54+'DIETOLOGÍA(S)'!Z54)</f>
        <v>0</v>
      </c>
      <c r="AA54" s="6">
        <f>SUM(PACIENTES!AA54+COMEDOR!AA54+JORNADA!AA54+'DIETOLOGÍA(S)'!AA54)</f>
        <v>2</v>
      </c>
      <c r="AB54" s="6">
        <f>SUM(PACIENTES!AB54+COMEDOR!AB54+JORNADA!AB54+'DIETOLOGÍA(S)'!AB54)</f>
        <v>0</v>
      </c>
      <c r="AC54" s="6">
        <f>SUM(PACIENTES!AC54+COMEDOR!AC54+JORNADA!AC54+'DIETOLOGÍA(S)'!AC54)</f>
        <v>0</v>
      </c>
      <c r="AD54" s="6">
        <f>SUM(PACIENTES!AD54+COMEDOR!AD54+JORNADA!AD54+'DIETOLOGÍA(S)'!AD54)</f>
        <v>0</v>
      </c>
      <c r="AE54" s="6">
        <f>SUM(PACIENTES!AE54+COMEDOR!AE54+JORNADA!AE54+'DIETOLOGÍA(S)'!AE54)</f>
        <v>5</v>
      </c>
      <c r="AF54" s="6">
        <f>SUM(PACIENTES!AF54+COMEDOR!AF54+JORNADA!AF54+'DIETOLOGÍA(S)'!AF54)</f>
        <v>0</v>
      </c>
      <c r="AG54" s="6">
        <f>SUM(PACIENTES!AG54+COMEDOR!AG54+JORNADA!AG54+'DIETOLOGÍA(S)'!AG54)</f>
        <v>0</v>
      </c>
      <c r="AH54" s="6">
        <f>SUM(PACIENTES!AH54+COMEDOR!AH54+JORNADA!AH54+'DIETOLOGÍA(S)'!AH54)</f>
        <v>0</v>
      </c>
      <c r="AI54" s="9">
        <f t="shared" si="1"/>
        <v>35</v>
      </c>
    </row>
    <row r="55" spans="1:35" ht="15.75" customHeight="1">
      <c r="A55" s="49">
        <v>2212010023</v>
      </c>
      <c r="B55" s="50" t="s">
        <v>59</v>
      </c>
      <c r="C55" s="51" t="s">
        <v>6</v>
      </c>
      <c r="D55" s="6">
        <f>SUM(PACIENTES!D55+COMEDOR!D55+JORNADA!D55+'DIETOLOGÍA(S)'!D55)</f>
        <v>0</v>
      </c>
      <c r="E55" s="6">
        <f>SUM(PACIENTES!E55+COMEDOR!E55+JORNADA!E55+'DIETOLOGÍA(S)'!E55)</f>
        <v>4</v>
      </c>
      <c r="F55" s="6">
        <f>SUM(PACIENTES!F55+COMEDOR!F55+JORNADA!F55+'DIETOLOGÍA(S)'!F55)</f>
        <v>0</v>
      </c>
      <c r="G55" s="6">
        <f>SUM(PACIENTES!G55+COMEDOR!G55+JORNADA!G55+'DIETOLOGÍA(S)'!G55)</f>
        <v>0</v>
      </c>
      <c r="H55" s="6">
        <f>SUM(PACIENTES!H55+COMEDOR!H55+JORNADA!H55+'DIETOLOGÍA(S)'!H55)</f>
        <v>0</v>
      </c>
      <c r="I55" s="6">
        <f>SUM(PACIENTES!I55+COMEDOR!I55+JORNADA!I55+'DIETOLOGÍA(S)'!I55)</f>
        <v>1</v>
      </c>
      <c r="J55" s="6">
        <f>SUM(PACIENTES!J55+COMEDOR!J55+JORNADA!J55+'DIETOLOGÍA(S)'!J55)</f>
        <v>2</v>
      </c>
      <c r="K55" s="6">
        <f>SUM(PACIENTES!K55+COMEDOR!K55+JORNADA!K55+'DIETOLOGÍA(S)'!K55)</f>
        <v>5</v>
      </c>
      <c r="L55" s="6">
        <f>SUM(PACIENTES!L55+COMEDOR!L55+JORNADA!L55+'DIETOLOGÍA(S)'!L55)</f>
        <v>0</v>
      </c>
      <c r="M55" s="6">
        <f>SUM(PACIENTES!M55+COMEDOR!M55+JORNADA!M55+'DIETOLOGÍA(S)'!M55)</f>
        <v>0</v>
      </c>
      <c r="N55" s="6">
        <f>SUM(PACIENTES!N55+COMEDOR!N55+JORNADA!N55+'DIETOLOGÍA(S)'!N55)</f>
        <v>0</v>
      </c>
      <c r="O55" s="6">
        <f>SUM(PACIENTES!O55+COMEDOR!O55+JORNADA!O55+'DIETOLOGÍA(S)'!O55)</f>
        <v>0</v>
      </c>
      <c r="P55" s="6">
        <f>SUM(PACIENTES!P55+COMEDOR!P55+JORNADA!P55+'DIETOLOGÍA(S)'!P55)</f>
        <v>0</v>
      </c>
      <c r="Q55" s="6">
        <f>SUM(PACIENTES!Q55+COMEDOR!Q55+JORNADA!Q55+'DIETOLOGÍA(S)'!Q55)</f>
        <v>0</v>
      </c>
      <c r="R55" s="6">
        <f>SUM(PACIENTES!R55+COMEDOR!R55+JORNADA!R55+'DIETOLOGÍA(S)'!R55)</f>
        <v>0</v>
      </c>
      <c r="S55" s="6">
        <f>SUM(PACIENTES!S55+COMEDOR!S55+JORNADA!S55+'DIETOLOGÍA(S)'!S55)</f>
        <v>2</v>
      </c>
      <c r="T55" s="6">
        <f>SUM(PACIENTES!T55+COMEDOR!T55+JORNADA!T55+'DIETOLOGÍA(S)'!T55)</f>
        <v>0</v>
      </c>
      <c r="U55" s="6">
        <f>SUM(PACIENTES!U55+COMEDOR!U55+JORNADA!U55+'DIETOLOGÍA(S)'!U55)</f>
        <v>0</v>
      </c>
      <c r="V55" s="6">
        <f>SUM(PACIENTES!V55+COMEDOR!V55+JORNADA!V55+'DIETOLOGÍA(S)'!V55)</f>
        <v>0</v>
      </c>
      <c r="W55" s="6">
        <f>SUM(PACIENTES!W55+COMEDOR!W55+JORNADA!W55+'DIETOLOGÍA(S)'!W55)</f>
        <v>2</v>
      </c>
      <c r="X55" s="6">
        <f>SUM(PACIENTES!X55+COMEDOR!X55+JORNADA!X55+'DIETOLOGÍA(S)'!X55)</f>
        <v>2</v>
      </c>
      <c r="Y55" s="6">
        <f>SUM(PACIENTES!Y55+COMEDOR!Y55+JORNADA!Y55+'DIETOLOGÍA(S)'!Y55)</f>
        <v>0</v>
      </c>
      <c r="Z55" s="6">
        <f>SUM(PACIENTES!Z55+COMEDOR!Z55+JORNADA!Z55+'DIETOLOGÍA(S)'!Z55)</f>
        <v>0</v>
      </c>
      <c r="AA55" s="6">
        <f>SUM(PACIENTES!AA55+COMEDOR!AA55+JORNADA!AA55+'DIETOLOGÍA(S)'!AA55)</f>
        <v>0</v>
      </c>
      <c r="AB55" s="6">
        <f>SUM(PACIENTES!AB55+COMEDOR!AB55+JORNADA!AB55+'DIETOLOGÍA(S)'!AB55)</f>
        <v>0</v>
      </c>
      <c r="AC55" s="6">
        <f>SUM(PACIENTES!AC55+COMEDOR!AC55+JORNADA!AC55+'DIETOLOGÍA(S)'!AC55)</f>
        <v>2</v>
      </c>
      <c r="AD55" s="6">
        <f>SUM(PACIENTES!AD55+COMEDOR!AD55+JORNADA!AD55+'DIETOLOGÍA(S)'!AD55)</f>
        <v>0</v>
      </c>
      <c r="AE55" s="6">
        <f>SUM(PACIENTES!AE55+COMEDOR!AE55+JORNADA!AE55+'DIETOLOGÍA(S)'!AE55)</f>
        <v>4</v>
      </c>
      <c r="AF55" s="6">
        <f>SUM(PACIENTES!AF55+COMEDOR!AF55+JORNADA!AF55+'DIETOLOGÍA(S)'!AF55)</f>
        <v>5</v>
      </c>
      <c r="AG55" s="6">
        <f>SUM(PACIENTES!AG55+COMEDOR!AG55+JORNADA!AG55+'DIETOLOGÍA(S)'!AG55)</f>
        <v>0</v>
      </c>
      <c r="AH55" s="6">
        <f>SUM(PACIENTES!AH55+COMEDOR!AH55+JORNADA!AH55+'DIETOLOGÍA(S)'!AH55)</f>
        <v>0</v>
      </c>
      <c r="AI55" s="9">
        <f t="shared" si="1"/>
        <v>29</v>
      </c>
    </row>
    <row r="56" spans="1:35" ht="15.75" customHeight="1">
      <c r="A56" s="49">
        <v>2212010024</v>
      </c>
      <c r="B56" s="50" t="s">
        <v>60</v>
      </c>
      <c r="C56" s="51" t="s">
        <v>6</v>
      </c>
      <c r="D56" s="6">
        <f>SUM(PACIENTES!D56+COMEDOR!D56+JORNADA!D56+'DIETOLOGÍA(S)'!D56)</f>
        <v>3</v>
      </c>
      <c r="E56" s="6">
        <f>SUM(PACIENTES!E56+COMEDOR!E56+JORNADA!E56+'DIETOLOGÍA(S)'!E56)</f>
        <v>0</v>
      </c>
      <c r="F56" s="6">
        <f>SUM(PACIENTES!F56+COMEDOR!F56+JORNADA!F56+'DIETOLOGÍA(S)'!F56)</f>
        <v>1</v>
      </c>
      <c r="G56" s="6">
        <f>SUM(PACIENTES!G56+COMEDOR!G56+JORNADA!G56+'DIETOLOGÍA(S)'!G56)</f>
        <v>1</v>
      </c>
      <c r="H56" s="6">
        <f>SUM(PACIENTES!H56+COMEDOR!H56+JORNADA!H56+'DIETOLOGÍA(S)'!H56)</f>
        <v>0</v>
      </c>
      <c r="I56" s="6">
        <f>SUM(PACIENTES!I56+COMEDOR!I56+JORNADA!I56+'DIETOLOGÍA(S)'!I56)</f>
        <v>2</v>
      </c>
      <c r="J56" s="6">
        <f>SUM(PACIENTES!J56+COMEDOR!J56+JORNADA!J56+'DIETOLOGÍA(S)'!J56)</f>
        <v>1</v>
      </c>
      <c r="K56" s="6">
        <f>SUM(PACIENTES!K56+COMEDOR!K56+JORNADA!K56+'DIETOLOGÍA(S)'!K56)</f>
        <v>1</v>
      </c>
      <c r="L56" s="6">
        <f>SUM(PACIENTES!L56+COMEDOR!L56+JORNADA!L56+'DIETOLOGÍA(S)'!L56)</f>
        <v>2</v>
      </c>
      <c r="M56" s="6">
        <f>SUM(PACIENTES!M56+COMEDOR!M56+JORNADA!M56+'DIETOLOGÍA(S)'!M56)</f>
        <v>1</v>
      </c>
      <c r="N56" s="6">
        <f>SUM(PACIENTES!N56+COMEDOR!N56+JORNADA!N56+'DIETOLOGÍA(S)'!N56)</f>
        <v>1</v>
      </c>
      <c r="O56" s="6">
        <f>SUM(PACIENTES!O56+COMEDOR!O56+JORNADA!O56+'DIETOLOGÍA(S)'!O56)</f>
        <v>2</v>
      </c>
      <c r="P56" s="6">
        <f>SUM(PACIENTES!P56+COMEDOR!P56+JORNADA!P56+'DIETOLOGÍA(S)'!P56)</f>
        <v>1</v>
      </c>
      <c r="Q56" s="6">
        <f>SUM(PACIENTES!Q56+COMEDOR!Q56+JORNADA!Q56+'DIETOLOGÍA(S)'!Q56)</f>
        <v>2</v>
      </c>
      <c r="R56" s="6">
        <f>SUM(PACIENTES!R56+COMEDOR!R56+JORNADA!R56+'DIETOLOGÍA(S)'!R56)</f>
        <v>0</v>
      </c>
      <c r="S56" s="6">
        <f>SUM(PACIENTES!S56+COMEDOR!S56+JORNADA!S56+'DIETOLOGÍA(S)'!S56)</f>
        <v>0</v>
      </c>
      <c r="T56" s="6">
        <f>SUM(PACIENTES!T56+COMEDOR!T56+JORNADA!T56+'DIETOLOGÍA(S)'!T56)</f>
        <v>2</v>
      </c>
      <c r="U56" s="6">
        <f>SUM(PACIENTES!U56+COMEDOR!U56+JORNADA!U56+'DIETOLOGÍA(S)'!U56)</f>
        <v>1</v>
      </c>
      <c r="V56" s="6">
        <f>SUM(PACIENTES!V56+COMEDOR!V56+JORNADA!V56+'DIETOLOGÍA(S)'!V56)</f>
        <v>1</v>
      </c>
      <c r="W56" s="6">
        <f>SUM(PACIENTES!W56+COMEDOR!W56+JORNADA!W56+'DIETOLOGÍA(S)'!W56)</f>
        <v>2</v>
      </c>
      <c r="X56" s="6">
        <f>SUM(PACIENTES!X56+COMEDOR!X56+JORNADA!X56+'DIETOLOGÍA(S)'!X56)</f>
        <v>1</v>
      </c>
      <c r="Y56" s="6">
        <f>SUM(PACIENTES!Y56+COMEDOR!Y56+JORNADA!Y56+'DIETOLOGÍA(S)'!Y56)</f>
        <v>2</v>
      </c>
      <c r="Z56" s="6">
        <f>SUM(PACIENTES!Z56+COMEDOR!Z56+JORNADA!Z56+'DIETOLOGÍA(S)'!Z56)</f>
        <v>1</v>
      </c>
      <c r="AA56" s="6">
        <f>SUM(PACIENTES!AA56+COMEDOR!AA56+JORNADA!AA56+'DIETOLOGÍA(S)'!AA56)</f>
        <v>1</v>
      </c>
      <c r="AB56" s="6">
        <f>SUM(PACIENTES!AB56+COMEDOR!AB56+JORNADA!AB56+'DIETOLOGÍA(S)'!AB56)</f>
        <v>0</v>
      </c>
      <c r="AC56" s="6">
        <f>SUM(PACIENTES!AC56+COMEDOR!AC56+JORNADA!AC56+'DIETOLOGÍA(S)'!AC56)</f>
        <v>0</v>
      </c>
      <c r="AD56" s="6">
        <f>SUM(PACIENTES!AD56+COMEDOR!AD56+JORNADA!AD56+'DIETOLOGÍA(S)'!AD56)</f>
        <v>1</v>
      </c>
      <c r="AE56" s="6">
        <f>SUM(PACIENTES!AE56+COMEDOR!AE56+JORNADA!AE56+'DIETOLOGÍA(S)'!AE56)</f>
        <v>1</v>
      </c>
      <c r="AF56" s="6">
        <f>SUM(PACIENTES!AF56+COMEDOR!AF56+JORNADA!AF56+'DIETOLOGÍA(S)'!AF56)</f>
        <v>0</v>
      </c>
      <c r="AG56" s="6">
        <f>SUM(PACIENTES!AG56+COMEDOR!AG56+JORNADA!AG56+'DIETOLOGÍA(S)'!AG56)</f>
        <v>0</v>
      </c>
      <c r="AH56" s="6">
        <f>SUM(PACIENTES!AH56+COMEDOR!AH56+JORNADA!AH56+'DIETOLOGÍA(S)'!AH56)</f>
        <v>2</v>
      </c>
      <c r="AI56" s="9">
        <f t="shared" si="1"/>
        <v>33</v>
      </c>
    </row>
    <row r="57" spans="1:35" ht="15.75" customHeight="1">
      <c r="A57" s="49">
        <v>2212010025</v>
      </c>
      <c r="B57" s="50" t="s">
        <v>61</v>
      </c>
      <c r="C57" s="51" t="s">
        <v>42</v>
      </c>
      <c r="D57" s="6">
        <f>SUM(PACIENTES!D57+COMEDOR!D57+JORNADA!D57+'DIETOLOGÍA(S)'!D57)</f>
        <v>4</v>
      </c>
      <c r="E57" s="6">
        <f>SUM(PACIENTES!E57+COMEDOR!E57+JORNADA!E57+'DIETOLOGÍA(S)'!E57)</f>
        <v>1</v>
      </c>
      <c r="F57" s="6">
        <f>SUM(PACIENTES!F57+COMEDOR!F57+JORNADA!F57+'DIETOLOGÍA(S)'!F57)</f>
        <v>1</v>
      </c>
      <c r="G57" s="6">
        <f>SUM(PACIENTES!G57+COMEDOR!G57+JORNADA!G57+'DIETOLOGÍA(S)'!G57)</f>
        <v>2</v>
      </c>
      <c r="H57" s="6">
        <f>SUM(PACIENTES!H57+COMEDOR!H57+JORNADA!H57+'DIETOLOGÍA(S)'!H57)</f>
        <v>1</v>
      </c>
      <c r="I57" s="6">
        <f>SUM(PACIENTES!I57+COMEDOR!I57+JORNADA!I57+'DIETOLOGÍA(S)'!I57)</f>
        <v>1</v>
      </c>
      <c r="J57" s="6">
        <f>SUM(PACIENTES!J57+COMEDOR!J57+JORNADA!J57+'DIETOLOGÍA(S)'!J57)</f>
        <v>1</v>
      </c>
      <c r="K57" s="6">
        <f>SUM(PACIENTES!K57+COMEDOR!K57+JORNADA!K57+'DIETOLOGÍA(S)'!K57)</f>
        <v>1</v>
      </c>
      <c r="L57" s="6">
        <f>SUM(PACIENTES!L57+COMEDOR!L57+JORNADA!L57+'DIETOLOGÍA(S)'!L57)</f>
        <v>3</v>
      </c>
      <c r="M57" s="6">
        <f>SUM(PACIENTES!M57+COMEDOR!M57+JORNADA!M57+'DIETOLOGÍA(S)'!M57)</f>
        <v>1</v>
      </c>
      <c r="N57" s="6">
        <f>SUM(PACIENTES!N57+COMEDOR!N57+JORNADA!N57+'DIETOLOGÍA(S)'!N57)</f>
        <v>2</v>
      </c>
      <c r="O57" s="6">
        <f>SUM(PACIENTES!O57+COMEDOR!O57+JORNADA!O57+'DIETOLOGÍA(S)'!O57)</f>
        <v>3</v>
      </c>
      <c r="P57" s="6">
        <f>SUM(PACIENTES!P57+COMEDOR!P57+JORNADA!P57+'DIETOLOGÍA(S)'!P57)</f>
        <v>1</v>
      </c>
      <c r="Q57" s="6">
        <f>SUM(PACIENTES!Q57+COMEDOR!Q57+JORNADA!Q57+'DIETOLOGÍA(S)'!Q57)</f>
        <v>3</v>
      </c>
      <c r="R57" s="6">
        <f>SUM(PACIENTES!R57+COMEDOR!R57+JORNADA!R57+'DIETOLOGÍA(S)'!R57)</f>
        <v>3</v>
      </c>
      <c r="S57" s="6">
        <f>SUM(PACIENTES!S57+COMEDOR!S57+JORNADA!S57+'DIETOLOGÍA(S)'!S57)</f>
        <v>2</v>
      </c>
      <c r="T57" s="6">
        <f>SUM(PACIENTES!T57+COMEDOR!T57+JORNADA!T57+'DIETOLOGÍA(S)'!T57)</f>
        <v>2</v>
      </c>
      <c r="U57" s="6">
        <f>SUM(PACIENTES!U57+COMEDOR!U57+JORNADA!U57+'DIETOLOGÍA(S)'!U57)</f>
        <v>2</v>
      </c>
      <c r="V57" s="6">
        <f>SUM(PACIENTES!V57+COMEDOR!V57+JORNADA!V57+'DIETOLOGÍA(S)'!V57)</f>
        <v>1</v>
      </c>
      <c r="W57" s="6">
        <f>SUM(PACIENTES!W57+COMEDOR!W57+JORNADA!W57+'DIETOLOGÍA(S)'!W57)</f>
        <v>2</v>
      </c>
      <c r="X57" s="6">
        <f>SUM(PACIENTES!X57+COMEDOR!X57+JORNADA!X57+'DIETOLOGÍA(S)'!X57)</f>
        <v>0</v>
      </c>
      <c r="Y57" s="6">
        <f>SUM(PACIENTES!Y57+COMEDOR!Y57+JORNADA!Y57+'DIETOLOGÍA(S)'!Y57)</f>
        <v>2</v>
      </c>
      <c r="Z57" s="6">
        <f>SUM(PACIENTES!Z57+COMEDOR!Z57+JORNADA!Z57+'DIETOLOGÍA(S)'!Z57)</f>
        <v>0</v>
      </c>
      <c r="AA57" s="6">
        <f>SUM(PACIENTES!AA57+COMEDOR!AA57+JORNADA!AA57+'DIETOLOGÍA(S)'!AA57)</f>
        <v>1</v>
      </c>
      <c r="AB57" s="6">
        <f>SUM(PACIENTES!AB57+COMEDOR!AB57+JORNADA!AB57+'DIETOLOGÍA(S)'!AB57)</f>
        <v>1</v>
      </c>
      <c r="AC57" s="6">
        <f>SUM(PACIENTES!AC57+COMEDOR!AC57+JORNADA!AC57+'DIETOLOGÍA(S)'!AC57)</f>
        <v>1</v>
      </c>
      <c r="AD57" s="6">
        <f>SUM(PACIENTES!AD57+COMEDOR!AD57+JORNADA!AD57+'DIETOLOGÍA(S)'!AD57)</f>
        <v>2</v>
      </c>
      <c r="AE57" s="6">
        <f>SUM(PACIENTES!AE57+COMEDOR!AE57+JORNADA!AE57+'DIETOLOGÍA(S)'!AE57)</f>
        <v>1</v>
      </c>
      <c r="AF57" s="6">
        <f>SUM(PACIENTES!AF57+COMEDOR!AF57+JORNADA!AF57+'DIETOLOGÍA(S)'!AF57)</f>
        <v>2</v>
      </c>
      <c r="AG57" s="6">
        <f>SUM(PACIENTES!AG57+COMEDOR!AG57+JORNADA!AG57+'DIETOLOGÍA(S)'!AG57)</f>
        <v>3</v>
      </c>
      <c r="AH57" s="6">
        <f>SUM(PACIENTES!AH57+COMEDOR!AH57+JORNADA!AH57+'DIETOLOGÍA(S)'!AH57)</f>
        <v>3</v>
      </c>
      <c r="AI57" s="9">
        <f t="shared" si="1"/>
        <v>53</v>
      </c>
    </row>
    <row r="58" spans="1:35" ht="15.75" customHeight="1">
      <c r="A58" s="49">
        <v>2212010026</v>
      </c>
      <c r="B58" s="50" t="s">
        <v>62</v>
      </c>
      <c r="C58" s="51" t="s">
        <v>6</v>
      </c>
      <c r="D58" s="6">
        <f>SUM(PACIENTES!D58+COMEDOR!D58+JORNADA!D58+'DIETOLOGÍA(S)'!D58)</f>
        <v>4</v>
      </c>
      <c r="E58" s="6">
        <f>SUM(PACIENTES!E58+COMEDOR!E58+JORNADA!E58+'DIETOLOGÍA(S)'!E58)</f>
        <v>0</v>
      </c>
      <c r="F58" s="6">
        <f>SUM(PACIENTES!F58+COMEDOR!F58+JORNADA!F58+'DIETOLOGÍA(S)'!F58)</f>
        <v>0</v>
      </c>
      <c r="G58" s="6">
        <f>SUM(PACIENTES!G58+COMEDOR!G58+JORNADA!G58+'DIETOLOGÍA(S)'!G58)</f>
        <v>0</v>
      </c>
      <c r="H58" s="6">
        <f>SUM(PACIENTES!H58+COMEDOR!H58+JORNADA!H58+'DIETOLOGÍA(S)'!H58)</f>
        <v>0</v>
      </c>
      <c r="I58" s="6">
        <f>SUM(PACIENTES!I58+COMEDOR!I58+JORNADA!I58+'DIETOLOGÍA(S)'!I58)</f>
        <v>0</v>
      </c>
      <c r="J58" s="6">
        <f>SUM(PACIENTES!J58+COMEDOR!J58+JORNADA!J58+'DIETOLOGÍA(S)'!J58)</f>
        <v>0</v>
      </c>
      <c r="K58" s="6">
        <f>SUM(PACIENTES!K58+COMEDOR!K58+JORNADA!K58+'DIETOLOGÍA(S)'!K58)</f>
        <v>0</v>
      </c>
      <c r="L58" s="6">
        <f>SUM(PACIENTES!L58+COMEDOR!L58+JORNADA!L58+'DIETOLOGÍA(S)'!L58)</f>
        <v>0</v>
      </c>
      <c r="M58" s="6">
        <f>SUM(PACIENTES!M58+COMEDOR!M58+JORNADA!M58+'DIETOLOGÍA(S)'!M58)</f>
        <v>0</v>
      </c>
      <c r="N58" s="6">
        <f>SUM(PACIENTES!N58+COMEDOR!N58+JORNADA!N58+'DIETOLOGÍA(S)'!N58)</f>
        <v>0</v>
      </c>
      <c r="O58" s="6">
        <f>SUM(PACIENTES!O58+COMEDOR!O58+JORNADA!O58+'DIETOLOGÍA(S)'!O58)</f>
        <v>0</v>
      </c>
      <c r="P58" s="6">
        <f>SUM(PACIENTES!P58+COMEDOR!P58+JORNADA!P58+'DIETOLOGÍA(S)'!P58)</f>
        <v>0</v>
      </c>
      <c r="Q58" s="6">
        <f>SUM(PACIENTES!Q58+COMEDOR!Q58+JORNADA!Q58+'DIETOLOGÍA(S)'!Q58)</f>
        <v>1</v>
      </c>
      <c r="R58" s="6">
        <f>SUM(PACIENTES!R58+COMEDOR!R58+JORNADA!R58+'DIETOLOGÍA(S)'!R58)</f>
        <v>0</v>
      </c>
      <c r="S58" s="6">
        <f>SUM(PACIENTES!S58+COMEDOR!S58+JORNADA!S58+'DIETOLOGÍA(S)'!S58)</f>
        <v>0</v>
      </c>
      <c r="T58" s="6">
        <f>SUM(PACIENTES!T58+COMEDOR!T58+JORNADA!T58+'DIETOLOGÍA(S)'!T58)</f>
        <v>0</v>
      </c>
      <c r="U58" s="6">
        <f>SUM(PACIENTES!U58+COMEDOR!U58+JORNADA!U58+'DIETOLOGÍA(S)'!U58)</f>
        <v>0</v>
      </c>
      <c r="V58" s="6">
        <f>SUM(PACIENTES!V58+COMEDOR!V58+JORNADA!V58+'DIETOLOGÍA(S)'!V58)</f>
        <v>0</v>
      </c>
      <c r="W58" s="6">
        <f>SUM(PACIENTES!W58+COMEDOR!W58+JORNADA!W58+'DIETOLOGÍA(S)'!W58)</f>
        <v>0</v>
      </c>
      <c r="X58" s="6">
        <f>SUM(PACIENTES!X58+COMEDOR!X58+JORNADA!X58+'DIETOLOGÍA(S)'!X58)</f>
        <v>0</v>
      </c>
      <c r="Y58" s="6">
        <f>SUM(PACIENTES!Y58+COMEDOR!Y58+JORNADA!Y58+'DIETOLOGÍA(S)'!Y58)</f>
        <v>0</v>
      </c>
      <c r="Z58" s="6">
        <f>SUM(PACIENTES!Z58+COMEDOR!Z58+JORNADA!Z58+'DIETOLOGÍA(S)'!Z58)</f>
        <v>0</v>
      </c>
      <c r="AA58" s="6">
        <f>SUM(PACIENTES!AA58+COMEDOR!AA58+JORNADA!AA58+'DIETOLOGÍA(S)'!AA58)</f>
        <v>0</v>
      </c>
      <c r="AB58" s="6">
        <f>SUM(PACIENTES!AB58+COMEDOR!AB58+JORNADA!AB58+'DIETOLOGÍA(S)'!AB58)</f>
        <v>0</v>
      </c>
      <c r="AC58" s="6">
        <f>SUM(PACIENTES!AC58+COMEDOR!AC58+JORNADA!AC58+'DIETOLOGÍA(S)'!AC58)</f>
        <v>0</v>
      </c>
      <c r="AD58" s="6">
        <f>SUM(PACIENTES!AD58+COMEDOR!AD58+JORNADA!AD58+'DIETOLOGÍA(S)'!AD58)</f>
        <v>0</v>
      </c>
      <c r="AE58" s="6">
        <f>SUM(PACIENTES!AE58+COMEDOR!AE58+JORNADA!AE58+'DIETOLOGÍA(S)'!AE58)</f>
        <v>0</v>
      </c>
      <c r="AF58" s="6">
        <f>SUM(PACIENTES!AF58+COMEDOR!AF58+JORNADA!AF58+'DIETOLOGÍA(S)'!AF58)</f>
        <v>0</v>
      </c>
      <c r="AG58" s="6">
        <f>SUM(PACIENTES!AG58+COMEDOR!AG58+JORNADA!AG58+'DIETOLOGÍA(S)'!AG58)</f>
        <v>0</v>
      </c>
      <c r="AH58" s="6">
        <f>SUM(PACIENTES!AH58+COMEDOR!AH58+JORNADA!AH58+'DIETOLOGÍA(S)'!AH58)</f>
        <v>0</v>
      </c>
      <c r="AI58" s="9">
        <f t="shared" si="1"/>
        <v>5</v>
      </c>
    </row>
    <row r="59" spans="1:35" ht="15.75" customHeight="1">
      <c r="A59" s="49">
        <v>2212010027</v>
      </c>
      <c r="B59" s="50" t="s">
        <v>63</v>
      </c>
      <c r="C59" s="51" t="s">
        <v>6</v>
      </c>
      <c r="D59" s="6">
        <f>SUM(PACIENTES!D59+COMEDOR!D59+JORNADA!D59+'DIETOLOGÍA(S)'!D59)</f>
        <v>0</v>
      </c>
      <c r="E59" s="6">
        <f>SUM(PACIENTES!E59+COMEDOR!E59+JORNADA!E59+'DIETOLOGÍA(S)'!E59)</f>
        <v>0</v>
      </c>
      <c r="F59" s="6">
        <f>SUM(PACIENTES!F59+COMEDOR!F59+JORNADA!F59+'DIETOLOGÍA(S)'!F59)</f>
        <v>0</v>
      </c>
      <c r="G59" s="6">
        <f>SUM(PACIENTES!G59+COMEDOR!G59+JORNADA!G59+'DIETOLOGÍA(S)'!G59)</f>
        <v>0</v>
      </c>
      <c r="H59" s="6">
        <f>SUM(PACIENTES!H59+COMEDOR!H59+JORNADA!H59+'DIETOLOGÍA(S)'!H59)</f>
        <v>0</v>
      </c>
      <c r="I59" s="6">
        <f>SUM(PACIENTES!I59+COMEDOR!I59+JORNADA!I59+'DIETOLOGÍA(S)'!I59)</f>
        <v>0</v>
      </c>
      <c r="J59" s="6">
        <f>SUM(PACIENTES!J59+COMEDOR!J59+JORNADA!J59+'DIETOLOGÍA(S)'!J59)</f>
        <v>0</v>
      </c>
      <c r="K59" s="6">
        <f>SUM(PACIENTES!K59+COMEDOR!K59+JORNADA!K59+'DIETOLOGÍA(S)'!K59)</f>
        <v>0</v>
      </c>
      <c r="L59" s="6">
        <f>SUM(PACIENTES!L59+COMEDOR!L59+JORNADA!L59+'DIETOLOGÍA(S)'!L59)</f>
        <v>0</v>
      </c>
      <c r="M59" s="6">
        <f>SUM(PACIENTES!M59+COMEDOR!M59+JORNADA!M59+'DIETOLOGÍA(S)'!M59)</f>
        <v>0</v>
      </c>
      <c r="N59" s="6">
        <f>SUM(PACIENTES!N59+COMEDOR!N59+JORNADA!N59+'DIETOLOGÍA(S)'!N59)</f>
        <v>0</v>
      </c>
      <c r="O59" s="6">
        <f>SUM(PACIENTES!O59+COMEDOR!O59+JORNADA!O59+'DIETOLOGÍA(S)'!O59)</f>
        <v>0</v>
      </c>
      <c r="P59" s="6">
        <f>SUM(PACIENTES!P59+COMEDOR!P59+JORNADA!P59+'DIETOLOGÍA(S)'!P59)</f>
        <v>0</v>
      </c>
      <c r="Q59" s="6">
        <f>SUM(PACIENTES!Q59+COMEDOR!Q59+JORNADA!Q59+'DIETOLOGÍA(S)'!Q59)</f>
        <v>0</v>
      </c>
      <c r="R59" s="6">
        <f>SUM(PACIENTES!R59+COMEDOR!R59+JORNADA!R59+'DIETOLOGÍA(S)'!R59)</f>
        <v>0</v>
      </c>
      <c r="S59" s="6">
        <f>SUM(PACIENTES!S59+COMEDOR!S59+JORNADA!S59+'DIETOLOGÍA(S)'!S59)</f>
        <v>0</v>
      </c>
      <c r="T59" s="6">
        <f>SUM(PACIENTES!T59+COMEDOR!T59+JORNADA!T59+'DIETOLOGÍA(S)'!T59)</f>
        <v>0</v>
      </c>
      <c r="U59" s="6">
        <f>SUM(PACIENTES!U59+COMEDOR!U59+JORNADA!U59+'DIETOLOGÍA(S)'!U59)</f>
        <v>0</v>
      </c>
      <c r="V59" s="6">
        <f>SUM(PACIENTES!V59+COMEDOR!V59+JORNADA!V59+'DIETOLOGÍA(S)'!V59)</f>
        <v>0</v>
      </c>
      <c r="W59" s="6">
        <f>SUM(PACIENTES!W59+COMEDOR!W59+JORNADA!W59+'DIETOLOGÍA(S)'!W59)</f>
        <v>0</v>
      </c>
      <c r="X59" s="6">
        <f>SUM(PACIENTES!X59+COMEDOR!X59+JORNADA!X59+'DIETOLOGÍA(S)'!X59)</f>
        <v>0</v>
      </c>
      <c r="Y59" s="6">
        <f>SUM(PACIENTES!Y59+COMEDOR!Y59+JORNADA!Y59+'DIETOLOGÍA(S)'!Y59)</f>
        <v>0</v>
      </c>
      <c r="Z59" s="6">
        <f>SUM(PACIENTES!Z59+COMEDOR!Z59+JORNADA!Z59+'DIETOLOGÍA(S)'!Z59)</f>
        <v>0</v>
      </c>
      <c r="AA59" s="6">
        <f>SUM(PACIENTES!AA59+COMEDOR!AA59+JORNADA!AA59+'DIETOLOGÍA(S)'!AA59)</f>
        <v>0</v>
      </c>
      <c r="AB59" s="6">
        <f>SUM(PACIENTES!AB59+COMEDOR!AB59+JORNADA!AB59+'DIETOLOGÍA(S)'!AB59)</f>
        <v>0</v>
      </c>
      <c r="AC59" s="6">
        <f>SUM(PACIENTES!AC59+COMEDOR!AC59+JORNADA!AC59+'DIETOLOGÍA(S)'!AC59)</f>
        <v>0</v>
      </c>
      <c r="AD59" s="6">
        <f>SUM(PACIENTES!AD59+COMEDOR!AD59+JORNADA!AD59+'DIETOLOGÍA(S)'!AD59)</f>
        <v>0</v>
      </c>
      <c r="AE59" s="6">
        <f>SUM(PACIENTES!AE59+COMEDOR!AE59+JORNADA!AE59+'DIETOLOGÍA(S)'!AE59)</f>
        <v>0</v>
      </c>
      <c r="AF59" s="6">
        <f>SUM(PACIENTES!AF59+COMEDOR!AF59+JORNADA!AF59+'DIETOLOGÍA(S)'!AF59)</f>
        <v>0</v>
      </c>
      <c r="AG59" s="6">
        <f>SUM(PACIENTES!AG59+COMEDOR!AG59+JORNADA!AG59+'DIETOLOGÍA(S)'!AG59)</f>
        <v>0</v>
      </c>
      <c r="AH59" s="6">
        <f>SUM(PACIENTES!AH59+COMEDOR!AH59+JORNADA!AH59+'DIETOLOGÍA(S)'!AH59)</f>
        <v>0</v>
      </c>
      <c r="AI59" s="9">
        <f t="shared" si="1"/>
        <v>0</v>
      </c>
    </row>
    <row r="60" spans="1:35" ht="15.75" customHeight="1">
      <c r="A60" s="49">
        <v>2212010028</v>
      </c>
      <c r="B60" s="50" t="s">
        <v>64</v>
      </c>
      <c r="C60" s="51" t="s">
        <v>6</v>
      </c>
      <c r="D60" s="6">
        <f>SUM(PACIENTES!D60+COMEDOR!D60+JORNADA!D60+'DIETOLOGÍA(S)'!D60)</f>
        <v>0</v>
      </c>
      <c r="E60" s="6">
        <f>SUM(PACIENTES!E60+COMEDOR!E60+JORNADA!E60+'DIETOLOGÍA(S)'!E60)</f>
        <v>0</v>
      </c>
      <c r="F60" s="6">
        <f>SUM(PACIENTES!F60+COMEDOR!F60+JORNADA!F60+'DIETOLOGÍA(S)'!F60)</f>
        <v>0</v>
      </c>
      <c r="G60" s="6">
        <f>SUM(PACIENTES!G60+COMEDOR!G60+JORNADA!G60+'DIETOLOGÍA(S)'!G60)</f>
        <v>0</v>
      </c>
      <c r="H60" s="6">
        <f>SUM(PACIENTES!H60+COMEDOR!H60+JORNADA!H60+'DIETOLOGÍA(S)'!H60)</f>
        <v>0</v>
      </c>
      <c r="I60" s="6">
        <f>SUM(PACIENTES!I60+COMEDOR!I60+JORNADA!I60+'DIETOLOGÍA(S)'!I60)</f>
        <v>0</v>
      </c>
      <c r="J60" s="6">
        <f>SUM(PACIENTES!J60+COMEDOR!J60+JORNADA!J60+'DIETOLOGÍA(S)'!J60)</f>
        <v>1</v>
      </c>
      <c r="K60" s="6">
        <f>SUM(PACIENTES!K60+COMEDOR!K60+JORNADA!K60+'DIETOLOGÍA(S)'!K60)</f>
        <v>0</v>
      </c>
      <c r="L60" s="6">
        <f>SUM(PACIENTES!L60+COMEDOR!L60+JORNADA!L60+'DIETOLOGÍA(S)'!L60)</f>
        <v>0</v>
      </c>
      <c r="M60" s="6">
        <f>SUM(PACIENTES!M60+COMEDOR!M60+JORNADA!M60+'DIETOLOGÍA(S)'!M60)</f>
        <v>10</v>
      </c>
      <c r="N60" s="6">
        <f>SUM(PACIENTES!N60+COMEDOR!N60+JORNADA!N60+'DIETOLOGÍA(S)'!N60)</f>
        <v>0</v>
      </c>
      <c r="O60" s="6">
        <f>SUM(PACIENTES!O60+COMEDOR!O60+JORNADA!O60+'DIETOLOGÍA(S)'!O60)</f>
        <v>20</v>
      </c>
      <c r="P60" s="6">
        <f>SUM(PACIENTES!P60+COMEDOR!P60+JORNADA!P60+'DIETOLOGÍA(S)'!P60)</f>
        <v>0</v>
      </c>
      <c r="Q60" s="6">
        <f>SUM(PACIENTES!Q60+COMEDOR!Q60+JORNADA!Q60+'DIETOLOGÍA(S)'!Q60)</f>
        <v>0</v>
      </c>
      <c r="R60" s="6">
        <f>SUM(PACIENTES!R60+COMEDOR!R60+JORNADA!R60+'DIETOLOGÍA(S)'!R60)</f>
        <v>0</v>
      </c>
      <c r="S60" s="6">
        <f>SUM(PACIENTES!S60+COMEDOR!S60+JORNADA!S60+'DIETOLOGÍA(S)'!S60)</f>
        <v>0</v>
      </c>
      <c r="T60" s="6">
        <f>SUM(PACIENTES!T60+COMEDOR!T60+JORNADA!T60+'DIETOLOGÍA(S)'!T60)</f>
        <v>0</v>
      </c>
      <c r="U60" s="6">
        <f>SUM(PACIENTES!U60+COMEDOR!U60+JORNADA!U60+'DIETOLOGÍA(S)'!U60)</f>
        <v>20</v>
      </c>
      <c r="V60" s="6">
        <f>SUM(PACIENTES!V60+COMEDOR!V60+JORNADA!V60+'DIETOLOGÍA(S)'!V60)</f>
        <v>0</v>
      </c>
      <c r="W60" s="6">
        <f>SUM(PACIENTES!W60+COMEDOR!W60+JORNADA!W60+'DIETOLOGÍA(S)'!W60)</f>
        <v>1</v>
      </c>
      <c r="X60" s="6">
        <f>SUM(PACIENTES!X60+COMEDOR!X60+JORNADA!X60+'DIETOLOGÍA(S)'!X60)</f>
        <v>1</v>
      </c>
      <c r="Y60" s="6">
        <f>SUM(PACIENTES!Y60+COMEDOR!Y60+JORNADA!Y60+'DIETOLOGÍA(S)'!Y60)</f>
        <v>0</v>
      </c>
      <c r="Z60" s="6">
        <f>SUM(PACIENTES!Z60+COMEDOR!Z60+JORNADA!Z60+'DIETOLOGÍA(S)'!Z60)</f>
        <v>0</v>
      </c>
      <c r="AA60" s="6">
        <f>SUM(PACIENTES!AA60+COMEDOR!AA60+JORNADA!AA60+'DIETOLOGÍA(S)'!AA60)</f>
        <v>0</v>
      </c>
      <c r="AB60" s="6">
        <f>SUM(PACIENTES!AB60+COMEDOR!AB60+JORNADA!AB60+'DIETOLOGÍA(S)'!AB60)</f>
        <v>0</v>
      </c>
      <c r="AC60" s="6">
        <f>SUM(PACIENTES!AC60+COMEDOR!AC60+JORNADA!AC60+'DIETOLOGÍA(S)'!AC60)</f>
        <v>0</v>
      </c>
      <c r="AD60" s="6">
        <f>SUM(PACIENTES!AD60+COMEDOR!AD60+JORNADA!AD60+'DIETOLOGÍA(S)'!AD60)</f>
        <v>0</v>
      </c>
      <c r="AE60" s="6">
        <f>SUM(PACIENTES!AE60+COMEDOR!AE60+JORNADA!AE60+'DIETOLOGÍA(S)'!AE60)</f>
        <v>0</v>
      </c>
      <c r="AF60" s="6">
        <f>SUM(PACIENTES!AF60+COMEDOR!AF60+JORNADA!AF60+'DIETOLOGÍA(S)'!AF60)</f>
        <v>0</v>
      </c>
      <c r="AG60" s="6">
        <f>SUM(PACIENTES!AG60+COMEDOR!AG60+JORNADA!AG60+'DIETOLOGÍA(S)'!AG60)</f>
        <v>0</v>
      </c>
      <c r="AH60" s="6">
        <f>SUM(PACIENTES!AH60+COMEDOR!AH60+JORNADA!AH60+'DIETOLOGÍA(S)'!AH60)</f>
        <v>0</v>
      </c>
      <c r="AI60" s="9">
        <f t="shared" si="1"/>
        <v>53</v>
      </c>
    </row>
    <row r="61" spans="1:35" ht="15.75" customHeight="1">
      <c r="A61" s="49">
        <v>2212010029</v>
      </c>
      <c r="B61" s="50" t="s">
        <v>65</v>
      </c>
      <c r="C61" s="51" t="s">
        <v>6</v>
      </c>
      <c r="D61" s="6">
        <f>SUM(PACIENTES!D61+COMEDOR!D61+JORNADA!D61+'DIETOLOGÍA(S)'!D61)</f>
        <v>0</v>
      </c>
      <c r="E61" s="6">
        <f>SUM(PACIENTES!E61+COMEDOR!E61+JORNADA!E61+'DIETOLOGÍA(S)'!E61)</f>
        <v>0</v>
      </c>
      <c r="F61" s="6">
        <f>SUM(PACIENTES!F61+COMEDOR!F61+JORNADA!F61+'DIETOLOGÍA(S)'!F61)</f>
        <v>0</v>
      </c>
      <c r="G61" s="6">
        <f>SUM(PACIENTES!G61+COMEDOR!G61+JORNADA!G61+'DIETOLOGÍA(S)'!G61)</f>
        <v>0</v>
      </c>
      <c r="H61" s="6">
        <f>SUM(PACIENTES!H61+COMEDOR!H61+JORNADA!H61+'DIETOLOGÍA(S)'!H61)</f>
        <v>35</v>
      </c>
      <c r="I61" s="6">
        <f>SUM(PACIENTES!I61+COMEDOR!I61+JORNADA!I61+'DIETOLOGÍA(S)'!I61)</f>
        <v>0</v>
      </c>
      <c r="J61" s="6">
        <f>SUM(PACIENTES!J61+COMEDOR!J61+JORNADA!J61+'DIETOLOGÍA(S)'!J61)</f>
        <v>1</v>
      </c>
      <c r="K61" s="6">
        <f>SUM(PACIENTES!K61+COMEDOR!K61+JORNADA!K61+'DIETOLOGÍA(S)'!K61)</f>
        <v>0</v>
      </c>
      <c r="L61" s="6">
        <f>SUM(PACIENTES!L61+COMEDOR!L61+JORNADA!L61+'DIETOLOGÍA(S)'!L61)</f>
        <v>5</v>
      </c>
      <c r="M61" s="6">
        <f>SUM(PACIENTES!M61+COMEDOR!M61+JORNADA!M61+'DIETOLOGÍA(S)'!M61)</f>
        <v>0</v>
      </c>
      <c r="N61" s="6">
        <f>SUM(PACIENTES!N61+COMEDOR!N61+JORNADA!N61+'DIETOLOGÍA(S)'!N61)</f>
        <v>10</v>
      </c>
      <c r="O61" s="6">
        <f>SUM(PACIENTES!O61+COMEDOR!O61+JORNADA!O61+'DIETOLOGÍA(S)'!O61)</f>
        <v>0</v>
      </c>
      <c r="P61" s="6">
        <f>SUM(PACIENTES!P61+COMEDOR!P61+JORNADA!P61+'DIETOLOGÍA(S)'!P61)</f>
        <v>0</v>
      </c>
      <c r="Q61" s="6">
        <f>SUM(PACIENTES!Q61+COMEDOR!Q61+JORNADA!Q61+'DIETOLOGÍA(S)'!Q61)</f>
        <v>6</v>
      </c>
      <c r="R61" s="6">
        <f>SUM(PACIENTES!R61+COMEDOR!R61+JORNADA!R61+'DIETOLOGÍA(S)'!R61)</f>
        <v>0</v>
      </c>
      <c r="S61" s="6">
        <f>SUM(PACIENTES!S61+COMEDOR!S61+JORNADA!S61+'DIETOLOGÍA(S)'!S61)</f>
        <v>0</v>
      </c>
      <c r="T61" s="6">
        <f>SUM(PACIENTES!T61+COMEDOR!T61+JORNADA!T61+'DIETOLOGÍA(S)'!T61)</f>
        <v>0</v>
      </c>
      <c r="U61" s="6">
        <f>SUM(PACIENTES!U61+COMEDOR!U61+JORNADA!U61+'DIETOLOGÍA(S)'!U61)</f>
        <v>0</v>
      </c>
      <c r="V61" s="6">
        <f>SUM(PACIENTES!V61+COMEDOR!V61+JORNADA!V61+'DIETOLOGÍA(S)'!V61)</f>
        <v>0</v>
      </c>
      <c r="W61" s="6">
        <f>SUM(PACIENTES!W61+COMEDOR!W61+JORNADA!W61+'DIETOLOGÍA(S)'!W61)</f>
        <v>35</v>
      </c>
      <c r="X61" s="6">
        <f>SUM(PACIENTES!X61+COMEDOR!X61+JORNADA!X61+'DIETOLOGÍA(S)'!X61)</f>
        <v>1</v>
      </c>
      <c r="Y61" s="6">
        <f>SUM(PACIENTES!Y61+COMEDOR!Y61+JORNADA!Y61+'DIETOLOGÍA(S)'!Y61)</f>
        <v>0</v>
      </c>
      <c r="Z61" s="6">
        <f>SUM(PACIENTES!Z61+COMEDOR!Z61+JORNADA!Z61+'DIETOLOGÍA(S)'!Z61)</f>
        <v>0</v>
      </c>
      <c r="AA61" s="6">
        <f>SUM(PACIENTES!AA61+COMEDOR!AA61+JORNADA!AA61+'DIETOLOGÍA(S)'!AA61)</f>
        <v>0</v>
      </c>
      <c r="AB61" s="6">
        <f>SUM(PACIENTES!AB61+COMEDOR!AB61+JORNADA!AB61+'DIETOLOGÍA(S)'!AB61)</f>
        <v>0</v>
      </c>
      <c r="AC61" s="6">
        <f>SUM(PACIENTES!AC61+COMEDOR!AC61+JORNADA!AC61+'DIETOLOGÍA(S)'!AC61)</f>
        <v>0</v>
      </c>
      <c r="AD61" s="6">
        <f>SUM(PACIENTES!AD61+COMEDOR!AD61+JORNADA!AD61+'DIETOLOGÍA(S)'!AD61)</f>
        <v>0</v>
      </c>
      <c r="AE61" s="6">
        <f>SUM(PACIENTES!AE61+COMEDOR!AE61+JORNADA!AE61+'DIETOLOGÍA(S)'!AE61)</f>
        <v>1</v>
      </c>
      <c r="AF61" s="6">
        <f>SUM(PACIENTES!AF61+COMEDOR!AF61+JORNADA!AF61+'DIETOLOGÍA(S)'!AF61)</f>
        <v>5</v>
      </c>
      <c r="AG61" s="6">
        <f>SUM(PACIENTES!AG61+COMEDOR!AG61+JORNADA!AG61+'DIETOLOGÍA(S)'!AG61)</f>
        <v>0</v>
      </c>
      <c r="AH61" s="6">
        <f>SUM(PACIENTES!AH61+COMEDOR!AH61+JORNADA!AH61+'DIETOLOGÍA(S)'!AH61)</f>
        <v>0</v>
      </c>
      <c r="AI61" s="9">
        <f t="shared" si="1"/>
        <v>99</v>
      </c>
    </row>
    <row r="62" spans="1:35" ht="15.75" customHeight="1">
      <c r="A62" s="49">
        <v>2212010030</v>
      </c>
      <c r="B62" s="50" t="s">
        <v>66</v>
      </c>
      <c r="C62" s="51" t="s">
        <v>8</v>
      </c>
      <c r="D62" s="6">
        <f>SUM(PACIENTES!D62+COMEDOR!D62+JORNADA!D62+'DIETOLOGÍA(S)'!D62)</f>
        <v>0</v>
      </c>
      <c r="E62" s="6">
        <f>SUM(PACIENTES!E62+COMEDOR!E62+JORNADA!E62+'DIETOLOGÍA(S)'!E62)</f>
        <v>0</v>
      </c>
      <c r="F62" s="6">
        <f>SUM(PACIENTES!F62+COMEDOR!F62+JORNADA!F62+'DIETOLOGÍA(S)'!F62)</f>
        <v>0</v>
      </c>
      <c r="G62" s="6">
        <f>SUM(PACIENTES!G62+COMEDOR!G62+JORNADA!G62+'DIETOLOGÍA(S)'!G62)</f>
        <v>0</v>
      </c>
      <c r="H62" s="6">
        <f>SUM(PACIENTES!H62+COMEDOR!H62+JORNADA!H62+'DIETOLOGÍA(S)'!H62)</f>
        <v>0</v>
      </c>
      <c r="I62" s="6">
        <f>SUM(PACIENTES!I62+COMEDOR!I62+JORNADA!I62+'DIETOLOGÍA(S)'!I62)</f>
        <v>15</v>
      </c>
      <c r="J62" s="6">
        <f>SUM(PACIENTES!J62+COMEDOR!J62+JORNADA!J62+'DIETOLOGÍA(S)'!J62)</f>
        <v>12</v>
      </c>
      <c r="K62" s="6">
        <f>SUM(PACIENTES!K62+COMEDOR!K62+JORNADA!K62+'DIETOLOGÍA(S)'!K62)</f>
        <v>0</v>
      </c>
      <c r="L62" s="6">
        <f>SUM(PACIENTES!L62+COMEDOR!L62+JORNADA!L62+'DIETOLOGÍA(S)'!L62)</f>
        <v>0</v>
      </c>
      <c r="M62" s="6">
        <f>SUM(PACIENTES!M62+COMEDOR!M62+JORNADA!M62+'DIETOLOGÍA(S)'!M62)</f>
        <v>0</v>
      </c>
      <c r="N62" s="6">
        <f>SUM(PACIENTES!N62+COMEDOR!N62+JORNADA!N62+'DIETOLOGÍA(S)'!N62)</f>
        <v>0</v>
      </c>
      <c r="O62" s="6">
        <f>SUM(PACIENTES!O62+COMEDOR!O62+JORNADA!O62+'DIETOLOGÍA(S)'!O62)</f>
        <v>0</v>
      </c>
      <c r="P62" s="6">
        <f>SUM(PACIENTES!P62+COMEDOR!P62+JORNADA!P62+'DIETOLOGÍA(S)'!P62)</f>
        <v>0</v>
      </c>
      <c r="Q62" s="6">
        <f>SUM(PACIENTES!Q62+COMEDOR!Q62+JORNADA!Q62+'DIETOLOGÍA(S)'!Q62)</f>
        <v>0</v>
      </c>
      <c r="R62" s="6">
        <f>SUM(PACIENTES!R62+COMEDOR!R62+JORNADA!R62+'DIETOLOGÍA(S)'!R62)</f>
        <v>0</v>
      </c>
      <c r="S62" s="6">
        <f>SUM(PACIENTES!S62+COMEDOR!S62+JORNADA!S62+'DIETOLOGÍA(S)'!S62)</f>
        <v>0</v>
      </c>
      <c r="T62" s="6">
        <f>SUM(PACIENTES!T62+COMEDOR!T62+JORNADA!T62+'DIETOLOGÍA(S)'!T62)</f>
        <v>0</v>
      </c>
      <c r="U62" s="6">
        <f>SUM(PACIENTES!U62+COMEDOR!U62+JORNADA!U62+'DIETOLOGÍA(S)'!U62)</f>
        <v>0</v>
      </c>
      <c r="V62" s="6">
        <f>SUM(PACIENTES!V62+COMEDOR!V62+JORNADA!V62+'DIETOLOGÍA(S)'!V62)</f>
        <v>0</v>
      </c>
      <c r="W62" s="6">
        <f>SUM(PACIENTES!W62+COMEDOR!W62+JORNADA!W62+'DIETOLOGÍA(S)'!W62)</f>
        <v>0</v>
      </c>
      <c r="X62" s="6">
        <f>SUM(PACIENTES!X62+COMEDOR!X62+JORNADA!X62+'DIETOLOGÍA(S)'!X62)</f>
        <v>12</v>
      </c>
      <c r="Y62" s="6">
        <f>SUM(PACIENTES!Y62+COMEDOR!Y62+JORNADA!Y62+'DIETOLOGÍA(S)'!Y62)</f>
        <v>0</v>
      </c>
      <c r="Z62" s="6">
        <f>SUM(PACIENTES!Z62+COMEDOR!Z62+JORNADA!Z62+'DIETOLOGÍA(S)'!Z62)</f>
        <v>0</v>
      </c>
      <c r="AA62" s="6">
        <f>SUM(PACIENTES!AA62+COMEDOR!AA62+JORNADA!AA62+'DIETOLOGÍA(S)'!AA62)</f>
        <v>0</v>
      </c>
      <c r="AB62" s="6">
        <f>SUM(PACIENTES!AB62+COMEDOR!AB62+JORNADA!AB62+'DIETOLOGÍA(S)'!AB62)</f>
        <v>0</v>
      </c>
      <c r="AC62" s="6">
        <f>SUM(PACIENTES!AC62+COMEDOR!AC62+JORNADA!AC62+'DIETOLOGÍA(S)'!AC62)</f>
        <v>30</v>
      </c>
      <c r="AD62" s="6">
        <f>SUM(PACIENTES!AD62+COMEDOR!AD62+JORNADA!AD62+'DIETOLOGÍA(S)'!AD62)</f>
        <v>0</v>
      </c>
      <c r="AE62" s="6">
        <f>SUM(PACIENTES!AE62+COMEDOR!AE62+JORNADA!AE62+'DIETOLOGÍA(S)'!AE62)</f>
        <v>0</v>
      </c>
      <c r="AF62" s="6">
        <f>SUM(PACIENTES!AF62+COMEDOR!AF62+JORNADA!AF62+'DIETOLOGÍA(S)'!AF62)</f>
        <v>0</v>
      </c>
      <c r="AG62" s="6">
        <f>SUM(PACIENTES!AG62+COMEDOR!AG62+JORNADA!AG62+'DIETOLOGÍA(S)'!AG62)</f>
        <v>15</v>
      </c>
      <c r="AH62" s="6">
        <f>SUM(PACIENTES!AH62+COMEDOR!AH62+JORNADA!AH62+'DIETOLOGÍA(S)'!AH62)</f>
        <v>0</v>
      </c>
      <c r="AI62" s="9">
        <f t="shared" si="1"/>
        <v>84</v>
      </c>
    </row>
    <row r="63" spans="1:35" ht="15.75" customHeight="1">
      <c r="A63" s="49">
        <v>2212010031</v>
      </c>
      <c r="B63" s="50" t="s">
        <v>67</v>
      </c>
      <c r="C63" s="51" t="s">
        <v>6</v>
      </c>
      <c r="D63" s="6">
        <f>SUM(PACIENTES!D63+COMEDOR!D63+JORNADA!D63+'DIETOLOGÍA(S)'!D63)</f>
        <v>0</v>
      </c>
      <c r="E63" s="6">
        <f>SUM(PACIENTES!E63+COMEDOR!E63+JORNADA!E63+'DIETOLOGÍA(S)'!E63)</f>
        <v>0</v>
      </c>
      <c r="F63" s="6">
        <f>SUM(PACIENTES!F63+COMEDOR!F63+JORNADA!F63+'DIETOLOGÍA(S)'!F63)</f>
        <v>0</v>
      </c>
      <c r="G63" s="6">
        <f>SUM(PACIENTES!G63+COMEDOR!G63+JORNADA!G63+'DIETOLOGÍA(S)'!G63)</f>
        <v>0</v>
      </c>
      <c r="H63" s="6">
        <f>SUM(PACIENTES!H63+COMEDOR!H63+JORNADA!H63+'DIETOLOGÍA(S)'!H63)</f>
        <v>0</v>
      </c>
      <c r="I63" s="6">
        <f>SUM(PACIENTES!I63+COMEDOR!I63+JORNADA!I63+'DIETOLOGÍA(S)'!I63)</f>
        <v>0</v>
      </c>
      <c r="J63" s="6">
        <f>SUM(PACIENTES!J63+COMEDOR!J63+JORNADA!J63+'DIETOLOGÍA(S)'!J63)</f>
        <v>1</v>
      </c>
      <c r="K63" s="6">
        <f>SUM(PACIENTES!K63+COMEDOR!K63+JORNADA!K63+'DIETOLOGÍA(S)'!K63)</f>
        <v>15</v>
      </c>
      <c r="L63" s="6">
        <f>SUM(PACIENTES!L63+COMEDOR!L63+JORNADA!L63+'DIETOLOGÍA(S)'!L63)</f>
        <v>0</v>
      </c>
      <c r="M63" s="6">
        <f>SUM(PACIENTES!M63+COMEDOR!M63+JORNADA!M63+'DIETOLOGÍA(S)'!M63)</f>
        <v>0</v>
      </c>
      <c r="N63" s="6">
        <f>SUM(PACIENTES!N63+COMEDOR!N63+JORNADA!N63+'DIETOLOGÍA(S)'!N63)</f>
        <v>0</v>
      </c>
      <c r="O63" s="6">
        <f>SUM(PACIENTES!O63+COMEDOR!O63+JORNADA!O63+'DIETOLOGÍA(S)'!O63)</f>
        <v>0</v>
      </c>
      <c r="P63" s="6">
        <f>SUM(PACIENTES!P63+COMEDOR!P63+JORNADA!P63+'DIETOLOGÍA(S)'!P63)</f>
        <v>0</v>
      </c>
      <c r="Q63" s="6">
        <f>SUM(PACIENTES!Q63+COMEDOR!Q63+JORNADA!Q63+'DIETOLOGÍA(S)'!Q63)</f>
        <v>1</v>
      </c>
      <c r="R63" s="6">
        <f>SUM(PACIENTES!R63+COMEDOR!R63+JORNADA!R63+'DIETOLOGÍA(S)'!R63)</f>
        <v>0</v>
      </c>
      <c r="S63" s="6">
        <f>SUM(PACIENTES!S63+COMEDOR!S63+JORNADA!S63+'DIETOLOGÍA(S)'!S63)</f>
        <v>0</v>
      </c>
      <c r="T63" s="6">
        <f>SUM(PACIENTES!T63+COMEDOR!T63+JORNADA!T63+'DIETOLOGÍA(S)'!T63)</f>
        <v>0</v>
      </c>
      <c r="U63" s="6">
        <f>SUM(PACIENTES!U63+COMEDOR!U63+JORNADA!U63+'DIETOLOGÍA(S)'!U63)</f>
        <v>0</v>
      </c>
      <c r="V63" s="6">
        <f>SUM(PACIENTES!V63+COMEDOR!V63+JORNADA!V63+'DIETOLOGÍA(S)'!V63)</f>
        <v>0</v>
      </c>
      <c r="W63" s="6">
        <f>SUM(PACIENTES!W63+COMEDOR!W63+JORNADA!W63+'DIETOLOGÍA(S)'!W63)</f>
        <v>0</v>
      </c>
      <c r="X63" s="6">
        <f>SUM(PACIENTES!X63+COMEDOR!X63+JORNADA!X63+'DIETOLOGÍA(S)'!X63)</f>
        <v>1</v>
      </c>
      <c r="Y63" s="6">
        <f>SUM(PACIENTES!Y63+COMEDOR!Y63+JORNADA!Y63+'DIETOLOGÍA(S)'!Y63)</f>
        <v>0</v>
      </c>
      <c r="Z63" s="6">
        <f>SUM(PACIENTES!Z63+COMEDOR!Z63+JORNADA!Z63+'DIETOLOGÍA(S)'!Z63)</f>
        <v>15</v>
      </c>
      <c r="AA63" s="6">
        <f>SUM(PACIENTES!AA63+COMEDOR!AA63+JORNADA!AA63+'DIETOLOGÍA(S)'!AA63)</f>
        <v>0</v>
      </c>
      <c r="AB63" s="6">
        <f>SUM(PACIENTES!AB63+COMEDOR!AB63+JORNADA!AB63+'DIETOLOGÍA(S)'!AB63)</f>
        <v>0</v>
      </c>
      <c r="AC63" s="6">
        <f>SUM(PACIENTES!AC63+COMEDOR!AC63+JORNADA!AC63+'DIETOLOGÍA(S)'!AC63)</f>
        <v>0</v>
      </c>
      <c r="AD63" s="6">
        <f>SUM(PACIENTES!AD63+COMEDOR!AD63+JORNADA!AD63+'DIETOLOGÍA(S)'!AD63)</f>
        <v>0</v>
      </c>
      <c r="AE63" s="6">
        <f>SUM(PACIENTES!AE63+COMEDOR!AE63+JORNADA!AE63+'DIETOLOGÍA(S)'!AE63)</f>
        <v>1</v>
      </c>
      <c r="AF63" s="6">
        <f>SUM(PACIENTES!AF63+COMEDOR!AF63+JORNADA!AF63+'DIETOLOGÍA(S)'!AF63)</f>
        <v>0</v>
      </c>
      <c r="AG63" s="6">
        <f>SUM(PACIENTES!AG63+COMEDOR!AG63+JORNADA!AG63+'DIETOLOGÍA(S)'!AG63)</f>
        <v>0</v>
      </c>
      <c r="AH63" s="6">
        <f>SUM(PACIENTES!AH63+COMEDOR!AH63+JORNADA!AH63+'DIETOLOGÍA(S)'!AH63)</f>
        <v>0</v>
      </c>
      <c r="AI63" s="9">
        <f t="shared" si="1"/>
        <v>34</v>
      </c>
    </row>
    <row r="64" spans="1:35" ht="15.75" customHeight="1">
      <c r="A64" s="49">
        <v>2212010032</v>
      </c>
      <c r="B64" s="50" t="s">
        <v>68</v>
      </c>
      <c r="C64" s="51" t="s">
        <v>6</v>
      </c>
      <c r="D64" s="6">
        <f>SUM(PACIENTES!D64+COMEDOR!D64+JORNADA!D64+'DIETOLOGÍA(S)'!D64)</f>
        <v>0</v>
      </c>
      <c r="E64" s="6">
        <f>SUM(PACIENTES!E64+COMEDOR!E64+JORNADA!E64+'DIETOLOGÍA(S)'!E64)</f>
        <v>0</v>
      </c>
      <c r="F64" s="6">
        <f>SUM(PACIENTES!F64+COMEDOR!F64+JORNADA!F64+'DIETOLOGÍA(S)'!F64)</f>
        <v>0</v>
      </c>
      <c r="G64" s="6">
        <f>SUM(PACIENTES!G64+COMEDOR!G64+JORNADA!G64+'DIETOLOGÍA(S)'!G64)</f>
        <v>0</v>
      </c>
      <c r="H64" s="6">
        <f>SUM(PACIENTES!H64+COMEDOR!H64+JORNADA!H64+'DIETOLOGÍA(S)'!H64)</f>
        <v>0</v>
      </c>
      <c r="I64" s="6">
        <f>SUM(PACIENTES!I64+COMEDOR!I64+JORNADA!I64+'DIETOLOGÍA(S)'!I64)</f>
        <v>0</v>
      </c>
      <c r="J64" s="6">
        <f>SUM(PACIENTES!J64+COMEDOR!J64+JORNADA!J64+'DIETOLOGÍA(S)'!J64)</f>
        <v>0</v>
      </c>
      <c r="K64" s="6">
        <f>SUM(PACIENTES!K64+COMEDOR!K64+JORNADA!K64+'DIETOLOGÍA(S)'!K64)</f>
        <v>0</v>
      </c>
      <c r="L64" s="6">
        <f>SUM(PACIENTES!L64+COMEDOR!L64+JORNADA!L64+'DIETOLOGÍA(S)'!L64)</f>
        <v>0</v>
      </c>
      <c r="M64" s="6">
        <f>SUM(PACIENTES!M64+COMEDOR!M64+JORNADA!M64+'DIETOLOGÍA(S)'!M64)</f>
        <v>0</v>
      </c>
      <c r="N64" s="6">
        <f>SUM(PACIENTES!N64+COMEDOR!N64+JORNADA!N64+'DIETOLOGÍA(S)'!N64)</f>
        <v>0</v>
      </c>
      <c r="O64" s="6">
        <f>SUM(PACIENTES!O64+COMEDOR!O64+JORNADA!O64+'DIETOLOGÍA(S)'!O64)</f>
        <v>0</v>
      </c>
      <c r="P64" s="6">
        <f>SUM(PACIENTES!P64+COMEDOR!P64+JORNADA!P64+'DIETOLOGÍA(S)'!P64)</f>
        <v>10</v>
      </c>
      <c r="Q64" s="6">
        <f>SUM(PACIENTES!Q64+COMEDOR!Q64+JORNADA!Q64+'DIETOLOGÍA(S)'!Q64)</f>
        <v>0</v>
      </c>
      <c r="R64" s="6">
        <f>SUM(PACIENTES!R64+COMEDOR!R64+JORNADA!R64+'DIETOLOGÍA(S)'!R64)</f>
        <v>0</v>
      </c>
      <c r="S64" s="6">
        <f>SUM(PACIENTES!S64+COMEDOR!S64+JORNADA!S64+'DIETOLOGÍA(S)'!S64)</f>
        <v>0</v>
      </c>
      <c r="T64" s="6">
        <f>SUM(PACIENTES!T64+COMEDOR!T64+JORNADA!T64+'DIETOLOGÍA(S)'!T64)</f>
        <v>0</v>
      </c>
      <c r="U64" s="6">
        <f>SUM(PACIENTES!U64+COMEDOR!U64+JORNADA!U64+'DIETOLOGÍA(S)'!U64)</f>
        <v>0</v>
      </c>
      <c r="V64" s="6">
        <f>SUM(PACIENTES!V64+COMEDOR!V64+JORNADA!V64+'DIETOLOGÍA(S)'!V64)</f>
        <v>0</v>
      </c>
      <c r="W64" s="6">
        <f>SUM(PACIENTES!W64+COMEDOR!W64+JORNADA!W64+'DIETOLOGÍA(S)'!W64)</f>
        <v>0</v>
      </c>
      <c r="X64" s="6">
        <f>SUM(PACIENTES!X64+COMEDOR!X64+JORNADA!X64+'DIETOLOGÍA(S)'!X64)</f>
        <v>0</v>
      </c>
      <c r="Y64" s="6">
        <f>SUM(PACIENTES!Y64+COMEDOR!Y64+JORNADA!Y64+'DIETOLOGÍA(S)'!Y64)</f>
        <v>0</v>
      </c>
      <c r="Z64" s="6">
        <f>SUM(PACIENTES!Z64+COMEDOR!Z64+JORNADA!Z64+'DIETOLOGÍA(S)'!Z64)</f>
        <v>0</v>
      </c>
      <c r="AA64" s="6">
        <f>SUM(PACIENTES!AA64+COMEDOR!AA64+JORNADA!AA64+'DIETOLOGÍA(S)'!AA64)</f>
        <v>0</v>
      </c>
      <c r="AB64" s="6">
        <f>SUM(PACIENTES!AB64+COMEDOR!AB64+JORNADA!AB64+'DIETOLOGÍA(S)'!AB64)</f>
        <v>0</v>
      </c>
      <c r="AC64" s="6">
        <f>SUM(PACIENTES!AC64+COMEDOR!AC64+JORNADA!AC64+'DIETOLOGÍA(S)'!AC64)</f>
        <v>0</v>
      </c>
      <c r="AD64" s="6">
        <f>SUM(PACIENTES!AD64+COMEDOR!AD64+JORNADA!AD64+'DIETOLOGÍA(S)'!AD64)</f>
        <v>0</v>
      </c>
      <c r="AE64" s="6">
        <f>SUM(PACIENTES!AE64+COMEDOR!AE64+JORNADA!AE64+'DIETOLOGÍA(S)'!AE64)</f>
        <v>10</v>
      </c>
      <c r="AF64" s="6">
        <f>SUM(PACIENTES!AF64+COMEDOR!AF64+JORNADA!AF64+'DIETOLOGÍA(S)'!AF64)</f>
        <v>0</v>
      </c>
      <c r="AG64" s="6">
        <f>SUM(PACIENTES!AG64+COMEDOR!AG64+JORNADA!AG64+'DIETOLOGÍA(S)'!AG64)</f>
        <v>0</v>
      </c>
      <c r="AH64" s="6">
        <f>SUM(PACIENTES!AH64+COMEDOR!AH64+JORNADA!AH64+'DIETOLOGÍA(S)'!AH64)</f>
        <v>0</v>
      </c>
      <c r="AI64" s="9">
        <f t="shared" si="1"/>
        <v>20</v>
      </c>
    </row>
    <row r="65" spans="1:35" ht="15.75" customHeight="1">
      <c r="A65" s="49">
        <v>2212010033</v>
      </c>
      <c r="B65" s="50" t="s">
        <v>69</v>
      </c>
      <c r="C65" s="51" t="s">
        <v>42</v>
      </c>
      <c r="D65" s="6">
        <f>SUM(PACIENTES!D65+COMEDOR!D65+JORNADA!D65+'DIETOLOGÍA(S)'!D65)</f>
        <v>2</v>
      </c>
      <c r="E65" s="6">
        <f>SUM(PACIENTES!E65+COMEDOR!E65+JORNADA!E65+'DIETOLOGÍA(S)'!E65)</f>
        <v>0</v>
      </c>
      <c r="F65" s="6">
        <f>SUM(PACIENTES!F65+COMEDOR!F65+JORNADA!F65+'DIETOLOGÍA(S)'!F65)</f>
        <v>0</v>
      </c>
      <c r="G65" s="6">
        <f>SUM(PACIENTES!G65+COMEDOR!G65+JORNADA!G65+'DIETOLOGÍA(S)'!G65)</f>
        <v>0</v>
      </c>
      <c r="H65" s="6">
        <f>SUM(PACIENTES!H65+COMEDOR!H65+JORNADA!H65+'DIETOLOGÍA(S)'!H65)</f>
        <v>2</v>
      </c>
      <c r="I65" s="6">
        <f>SUM(PACIENTES!I65+COMEDOR!I65+JORNADA!I65+'DIETOLOGÍA(S)'!I65)</f>
        <v>0</v>
      </c>
      <c r="J65" s="6">
        <f>SUM(PACIENTES!J65+COMEDOR!J65+JORNADA!J65+'DIETOLOGÍA(S)'!J65)</f>
        <v>2</v>
      </c>
      <c r="K65" s="6">
        <f>SUM(PACIENTES!K65+COMEDOR!K65+JORNADA!K65+'DIETOLOGÍA(S)'!K65)</f>
        <v>0</v>
      </c>
      <c r="L65" s="6">
        <f>SUM(PACIENTES!L65+COMEDOR!L65+JORNADA!L65+'DIETOLOGÍA(S)'!L65)</f>
        <v>2</v>
      </c>
      <c r="M65" s="6">
        <f>SUM(PACIENTES!M65+COMEDOR!M65+JORNADA!M65+'DIETOLOGÍA(S)'!M65)</f>
        <v>0</v>
      </c>
      <c r="N65" s="6">
        <f>SUM(PACIENTES!N65+COMEDOR!N65+JORNADA!N65+'DIETOLOGÍA(S)'!N65)</f>
        <v>1</v>
      </c>
      <c r="O65" s="6">
        <f>SUM(PACIENTES!O65+COMEDOR!O65+JORNADA!O65+'DIETOLOGÍA(S)'!O65)</f>
        <v>0</v>
      </c>
      <c r="P65" s="6">
        <f>SUM(PACIENTES!P65+COMEDOR!P65+JORNADA!P65+'DIETOLOGÍA(S)'!P65)</f>
        <v>2</v>
      </c>
      <c r="Q65" s="6">
        <f>SUM(PACIENTES!Q65+COMEDOR!Q65+JORNADA!Q65+'DIETOLOGÍA(S)'!Q65)</f>
        <v>0</v>
      </c>
      <c r="R65" s="6">
        <f>SUM(PACIENTES!R65+COMEDOR!R65+JORNADA!R65+'DIETOLOGÍA(S)'!R65)</f>
        <v>2</v>
      </c>
      <c r="S65" s="6">
        <f>SUM(PACIENTES!S65+COMEDOR!S65+JORNADA!S65+'DIETOLOGÍA(S)'!S65)</f>
        <v>2</v>
      </c>
      <c r="T65" s="6">
        <f>SUM(PACIENTES!T65+COMEDOR!T65+JORNADA!T65+'DIETOLOGÍA(S)'!T65)</f>
        <v>0</v>
      </c>
      <c r="U65" s="6">
        <f>SUM(PACIENTES!U65+COMEDOR!U65+JORNADA!U65+'DIETOLOGÍA(S)'!U65)</f>
        <v>0</v>
      </c>
      <c r="V65" s="6">
        <f>SUM(PACIENTES!V65+COMEDOR!V65+JORNADA!V65+'DIETOLOGÍA(S)'!V65)</f>
        <v>1</v>
      </c>
      <c r="W65" s="6">
        <f>SUM(PACIENTES!W65+COMEDOR!W65+JORNADA!W65+'DIETOLOGÍA(S)'!W65)</f>
        <v>2</v>
      </c>
      <c r="X65" s="6">
        <f>SUM(PACIENTES!X65+COMEDOR!X65+JORNADA!X65+'DIETOLOGÍA(S)'!X65)</f>
        <v>0</v>
      </c>
      <c r="Y65" s="6">
        <f>SUM(PACIENTES!Y65+COMEDOR!Y65+JORNADA!Y65+'DIETOLOGÍA(S)'!Y65)</f>
        <v>2</v>
      </c>
      <c r="Z65" s="6">
        <f>SUM(PACIENTES!Z65+COMEDOR!Z65+JORNADA!Z65+'DIETOLOGÍA(S)'!Z65)</f>
        <v>0</v>
      </c>
      <c r="AA65" s="6">
        <f>SUM(PACIENTES!AA65+COMEDOR!AA65+JORNADA!AA65+'DIETOLOGÍA(S)'!AA65)</f>
        <v>0</v>
      </c>
      <c r="AB65" s="6">
        <f>SUM(PACIENTES!AB65+COMEDOR!AB65+JORNADA!AB65+'DIETOLOGÍA(S)'!AB65)</f>
        <v>0</v>
      </c>
      <c r="AC65" s="6">
        <f>SUM(PACIENTES!AC65+COMEDOR!AC65+JORNADA!AC65+'DIETOLOGÍA(S)'!AC65)</f>
        <v>2</v>
      </c>
      <c r="AD65" s="6">
        <f>SUM(PACIENTES!AD65+COMEDOR!AD65+JORNADA!AD65+'DIETOLOGÍA(S)'!AD65)</f>
        <v>0</v>
      </c>
      <c r="AE65" s="6">
        <f>SUM(PACIENTES!AE65+COMEDOR!AE65+JORNADA!AE65+'DIETOLOGÍA(S)'!AE65)</f>
        <v>2</v>
      </c>
      <c r="AF65" s="6">
        <f>SUM(PACIENTES!AF65+COMEDOR!AF65+JORNADA!AF65+'DIETOLOGÍA(S)'!AF65)</f>
        <v>0</v>
      </c>
      <c r="AG65" s="6">
        <f>SUM(PACIENTES!AG65+COMEDOR!AG65+JORNADA!AG65+'DIETOLOGÍA(S)'!AG65)</f>
        <v>2</v>
      </c>
      <c r="AH65" s="6">
        <f>SUM(PACIENTES!AH65+COMEDOR!AH65+JORNADA!AH65+'DIETOLOGÍA(S)'!AH65)</f>
        <v>0</v>
      </c>
      <c r="AI65" s="9">
        <f t="shared" si="1"/>
        <v>26</v>
      </c>
    </row>
    <row r="66" spans="1:35" ht="15.75" customHeight="1">
      <c r="A66" s="49">
        <v>2212010034</v>
      </c>
      <c r="B66" s="50" t="s">
        <v>70</v>
      </c>
      <c r="C66" s="51" t="s">
        <v>6</v>
      </c>
      <c r="D66" s="6">
        <f>SUM(PACIENTES!D66+COMEDOR!D66+JORNADA!D66+'DIETOLOGÍA(S)'!D66)</f>
        <v>25</v>
      </c>
      <c r="E66" s="6">
        <f>SUM(PACIENTES!E66+COMEDOR!E66+JORNADA!E66+'DIETOLOGÍA(S)'!E66)</f>
        <v>50</v>
      </c>
      <c r="F66" s="6">
        <f>SUM(PACIENTES!F66+COMEDOR!F66+JORNADA!F66+'DIETOLOGÍA(S)'!F66)</f>
        <v>0</v>
      </c>
      <c r="G66" s="6">
        <f>SUM(PACIENTES!G66+COMEDOR!G66+JORNADA!G66+'DIETOLOGÍA(S)'!G66)</f>
        <v>5</v>
      </c>
      <c r="H66" s="6">
        <f>SUM(PACIENTES!H66+COMEDOR!H66+JORNADA!H66+'DIETOLOGÍA(S)'!H66)</f>
        <v>25</v>
      </c>
      <c r="I66" s="6">
        <f>SUM(PACIENTES!I66+COMEDOR!I66+JORNADA!I66+'DIETOLOGÍA(S)'!I66)</f>
        <v>2</v>
      </c>
      <c r="J66" s="6">
        <f>SUM(PACIENTES!J66+COMEDOR!J66+JORNADA!J66+'DIETOLOGÍA(S)'!J66)</f>
        <v>26</v>
      </c>
      <c r="K66" s="6">
        <f>SUM(PACIENTES!K66+COMEDOR!K66+JORNADA!K66+'DIETOLOGÍA(S)'!K66)</f>
        <v>0</v>
      </c>
      <c r="L66" s="6">
        <f>SUM(PACIENTES!L66+COMEDOR!L66+JORNADA!L66+'DIETOLOGÍA(S)'!L66)</f>
        <v>0</v>
      </c>
      <c r="M66" s="6">
        <f>SUM(PACIENTES!M66+COMEDOR!M66+JORNADA!M66+'DIETOLOGÍA(S)'!M66)</f>
        <v>0</v>
      </c>
      <c r="N66" s="6">
        <f>SUM(PACIENTES!N66+COMEDOR!N66+JORNADA!N66+'DIETOLOGÍA(S)'!N66)</f>
        <v>0</v>
      </c>
      <c r="O66" s="6">
        <f>SUM(PACIENTES!O66+COMEDOR!O66+JORNADA!O66+'DIETOLOGÍA(S)'!O66)</f>
        <v>0</v>
      </c>
      <c r="P66" s="6">
        <f>SUM(PACIENTES!P66+COMEDOR!P66+JORNADA!P66+'DIETOLOGÍA(S)'!P66)</f>
        <v>1</v>
      </c>
      <c r="Q66" s="6">
        <f>SUM(PACIENTES!Q66+COMEDOR!Q66+JORNADA!Q66+'DIETOLOGÍA(S)'!Q66)</f>
        <v>1</v>
      </c>
      <c r="R66" s="6">
        <f>SUM(PACIENTES!R66+COMEDOR!R66+JORNADA!R66+'DIETOLOGÍA(S)'!R66)</f>
        <v>25</v>
      </c>
      <c r="S66" s="6">
        <f>SUM(PACIENTES!S66+COMEDOR!S66+JORNADA!S66+'DIETOLOGÍA(S)'!S66)</f>
        <v>25</v>
      </c>
      <c r="T66" s="6">
        <f>SUM(PACIENTES!T66+COMEDOR!T66+JORNADA!T66+'DIETOLOGÍA(S)'!T66)</f>
        <v>0</v>
      </c>
      <c r="U66" s="6">
        <f>SUM(PACIENTES!U66+COMEDOR!U66+JORNADA!U66+'DIETOLOGÍA(S)'!U66)</f>
        <v>0</v>
      </c>
      <c r="V66" s="6">
        <f>SUM(PACIENTES!V66+COMEDOR!V66+JORNADA!V66+'DIETOLOGÍA(S)'!V66)</f>
        <v>0</v>
      </c>
      <c r="W66" s="6">
        <f>SUM(PACIENTES!W66+COMEDOR!W66+JORNADA!W66+'DIETOLOGÍA(S)'!W66)</f>
        <v>34</v>
      </c>
      <c r="X66" s="6">
        <f>SUM(PACIENTES!X66+COMEDOR!X66+JORNADA!X66+'DIETOLOGÍA(S)'!X66)</f>
        <v>1</v>
      </c>
      <c r="Y66" s="6">
        <f>SUM(PACIENTES!Y66+COMEDOR!Y66+JORNADA!Y66+'DIETOLOGÍA(S)'!Y66)</f>
        <v>25</v>
      </c>
      <c r="Z66" s="6">
        <f>SUM(PACIENTES!Z66+COMEDOR!Z66+JORNADA!Z66+'DIETOLOGÍA(S)'!Z66)</f>
        <v>0</v>
      </c>
      <c r="AA66" s="6">
        <f>SUM(PACIENTES!AA66+COMEDOR!AA66+JORNADA!AA66+'DIETOLOGÍA(S)'!AA66)</f>
        <v>0</v>
      </c>
      <c r="AB66" s="6">
        <f>SUM(PACIENTES!AB66+COMEDOR!AB66+JORNADA!AB66+'DIETOLOGÍA(S)'!AB66)</f>
        <v>0</v>
      </c>
      <c r="AC66" s="6">
        <f>SUM(PACIENTES!AC66+COMEDOR!AC66+JORNADA!AC66+'DIETOLOGÍA(S)'!AC66)</f>
        <v>0</v>
      </c>
      <c r="AD66" s="6">
        <f>SUM(PACIENTES!AD66+COMEDOR!AD66+JORNADA!AD66+'DIETOLOGÍA(S)'!AD66)</f>
        <v>26</v>
      </c>
      <c r="AE66" s="6">
        <f>SUM(PACIENTES!AE66+COMEDOR!AE66+JORNADA!AE66+'DIETOLOGÍA(S)'!AE66)</f>
        <v>1</v>
      </c>
      <c r="AF66" s="6">
        <f>SUM(PACIENTES!AF66+COMEDOR!AF66+JORNADA!AF66+'DIETOLOGÍA(S)'!AF66)</f>
        <v>0</v>
      </c>
      <c r="AG66" s="6">
        <f>SUM(PACIENTES!AG66+COMEDOR!AG66+JORNADA!AG66+'DIETOLOGÍA(S)'!AG66)</f>
        <v>25</v>
      </c>
      <c r="AH66" s="6">
        <f>SUM(PACIENTES!AH66+COMEDOR!AH66+JORNADA!AH66+'DIETOLOGÍA(S)'!AH66)</f>
        <v>0</v>
      </c>
      <c r="AI66" s="9">
        <f t="shared" si="1"/>
        <v>297</v>
      </c>
    </row>
    <row r="67" spans="1:35" ht="15.75" customHeight="1">
      <c r="A67" s="49">
        <v>2212010035</v>
      </c>
      <c r="B67" s="50" t="s">
        <v>71</v>
      </c>
      <c r="C67" s="51" t="s">
        <v>6</v>
      </c>
      <c r="D67" s="6">
        <f>SUM(PACIENTES!D67+COMEDOR!D67+JORNADA!D67+'DIETOLOGÍA(S)'!D67)</f>
        <v>87</v>
      </c>
      <c r="E67" s="6">
        <f>SUM(PACIENTES!E67+COMEDOR!E67+JORNADA!E67+'DIETOLOGÍA(S)'!E67)</f>
        <v>57</v>
      </c>
      <c r="F67" s="6">
        <f>SUM(PACIENTES!F67+COMEDOR!F67+JORNADA!F67+'DIETOLOGÍA(S)'!F67)</f>
        <v>80</v>
      </c>
      <c r="G67" s="6">
        <f>SUM(PACIENTES!G67+COMEDOR!G67+JORNADA!G67+'DIETOLOGÍA(S)'!G67)</f>
        <v>65</v>
      </c>
      <c r="H67" s="6">
        <f>SUM(PACIENTES!H67+COMEDOR!H67+JORNADA!H67+'DIETOLOGÍA(S)'!H67)</f>
        <v>52</v>
      </c>
      <c r="I67" s="6">
        <f>SUM(PACIENTES!I67+COMEDOR!I67+JORNADA!I67+'DIETOLOGÍA(S)'!I67)</f>
        <v>83</v>
      </c>
      <c r="J67" s="6">
        <f>SUM(PACIENTES!J67+COMEDOR!J67+JORNADA!J67+'DIETOLOGÍA(S)'!J67)</f>
        <v>90</v>
      </c>
      <c r="K67" s="6">
        <f>SUM(PACIENTES!K67+COMEDOR!K67+JORNADA!K67+'DIETOLOGÍA(S)'!K67)</f>
        <v>55</v>
      </c>
      <c r="L67" s="6">
        <f>SUM(PACIENTES!L67+COMEDOR!L67+JORNADA!L67+'DIETOLOGÍA(S)'!L67)</f>
        <v>52</v>
      </c>
      <c r="M67" s="6">
        <f>SUM(PACIENTES!M67+COMEDOR!M67+JORNADA!M67+'DIETOLOGÍA(S)'!M67)</f>
        <v>27</v>
      </c>
      <c r="N67" s="6">
        <f>SUM(PACIENTES!N67+COMEDOR!N67+JORNADA!N67+'DIETOLOGÍA(S)'!N67)</f>
        <v>32</v>
      </c>
      <c r="O67" s="6">
        <f>SUM(PACIENTES!O67+COMEDOR!O67+JORNADA!O67+'DIETOLOGÍA(S)'!O67)</f>
        <v>76</v>
      </c>
      <c r="P67" s="6">
        <f>SUM(PACIENTES!P67+COMEDOR!P67+JORNADA!P67+'DIETOLOGÍA(S)'!P67)</f>
        <v>64</v>
      </c>
      <c r="Q67" s="6">
        <f>SUM(PACIENTES!Q67+COMEDOR!Q67+JORNADA!Q67+'DIETOLOGÍA(S)'!Q67)</f>
        <v>45</v>
      </c>
      <c r="R67" s="6">
        <f>SUM(PACIENTES!R67+COMEDOR!R67+JORNADA!R67+'DIETOLOGÍA(S)'!R67)</f>
        <v>52</v>
      </c>
      <c r="S67" s="6">
        <f>SUM(PACIENTES!S67+COMEDOR!S67+JORNADA!S67+'DIETOLOGÍA(S)'!S67)</f>
        <v>77</v>
      </c>
      <c r="T67" s="6">
        <f>SUM(PACIENTES!T67+COMEDOR!T67+JORNADA!T67+'DIETOLOGÍA(S)'!T67)</f>
        <v>57</v>
      </c>
      <c r="U67" s="6">
        <f>SUM(PACIENTES!U67+COMEDOR!U67+JORNADA!U67+'DIETOLOGÍA(S)'!U67)</f>
        <v>60</v>
      </c>
      <c r="V67" s="6">
        <f>SUM(PACIENTES!V67+COMEDOR!V67+JORNADA!V67+'DIETOLOGÍA(S)'!V67)</f>
        <v>82</v>
      </c>
      <c r="W67" s="6">
        <f>SUM(PACIENTES!W67+COMEDOR!W67+JORNADA!W67+'DIETOLOGÍA(S)'!W67)</f>
        <v>89</v>
      </c>
      <c r="X67" s="6">
        <f>SUM(PACIENTES!X67+COMEDOR!X67+JORNADA!X67+'DIETOLOGÍA(S)'!X67)</f>
        <v>100</v>
      </c>
      <c r="Y67" s="6">
        <f>SUM(PACIENTES!Y67+COMEDOR!Y67+JORNADA!Y67+'DIETOLOGÍA(S)'!Y67)</f>
        <v>76</v>
      </c>
      <c r="Z67" s="6">
        <f>SUM(PACIENTES!Z67+COMEDOR!Z67+JORNADA!Z67+'DIETOLOGÍA(S)'!Z67)</f>
        <v>60</v>
      </c>
      <c r="AA67" s="6">
        <f>SUM(PACIENTES!AA67+COMEDOR!AA67+JORNADA!AA67+'DIETOLOGÍA(S)'!AA67)</f>
        <v>52</v>
      </c>
      <c r="AB67" s="6">
        <f>SUM(PACIENTES!AB67+COMEDOR!AB67+JORNADA!AB67+'DIETOLOGÍA(S)'!AB67)</f>
        <v>82</v>
      </c>
      <c r="AC67" s="6">
        <f>SUM(PACIENTES!AC67+COMEDOR!AC67+JORNADA!AC67+'DIETOLOGÍA(S)'!AC67)</f>
        <v>32</v>
      </c>
      <c r="AD67" s="6">
        <f>SUM(PACIENTES!AD67+COMEDOR!AD67+JORNADA!AD67+'DIETOLOGÍA(S)'!AD67)</f>
        <v>48</v>
      </c>
      <c r="AE67" s="6">
        <f>SUM(PACIENTES!AE67+COMEDOR!AE67+JORNADA!AE67+'DIETOLOGÍA(S)'!AE67)</f>
        <v>80</v>
      </c>
      <c r="AF67" s="6">
        <f>SUM(PACIENTES!AF67+COMEDOR!AF67+JORNADA!AF67+'DIETOLOGÍA(S)'!AF67)</f>
        <v>67</v>
      </c>
      <c r="AG67" s="6">
        <f>SUM(PACIENTES!AG67+COMEDOR!AG67+JORNADA!AG67+'DIETOLOGÍA(S)'!AG67)</f>
        <v>70</v>
      </c>
      <c r="AH67" s="6">
        <f>SUM(PACIENTES!AH67+COMEDOR!AH67+JORNADA!AH67+'DIETOLOGÍA(S)'!AH67)</f>
        <v>87</v>
      </c>
      <c r="AI67" s="9">
        <f t="shared" si="1"/>
        <v>2036</v>
      </c>
    </row>
    <row r="68" spans="1:35" ht="15.75" customHeight="1">
      <c r="A68" s="49">
        <v>2212010036</v>
      </c>
      <c r="B68" s="50" t="s">
        <v>72</v>
      </c>
      <c r="C68" s="51" t="s">
        <v>8</v>
      </c>
      <c r="D68" s="6">
        <f>SUM(PACIENTES!D68+COMEDOR!D68+JORNADA!D68+'DIETOLOGÍA(S)'!D68)</f>
        <v>0</v>
      </c>
      <c r="E68" s="6">
        <f>SUM(PACIENTES!E68+COMEDOR!E68+JORNADA!E68+'DIETOLOGÍA(S)'!E68)</f>
        <v>0</v>
      </c>
      <c r="F68" s="6">
        <f>SUM(PACIENTES!F68+COMEDOR!F68+JORNADA!F68+'DIETOLOGÍA(S)'!F68)</f>
        <v>5</v>
      </c>
      <c r="G68" s="6">
        <f>SUM(PACIENTES!G68+COMEDOR!G68+JORNADA!G68+'DIETOLOGÍA(S)'!G68)</f>
        <v>0</v>
      </c>
      <c r="H68" s="6">
        <f>SUM(PACIENTES!H68+COMEDOR!H68+JORNADA!H68+'DIETOLOGÍA(S)'!H68)</f>
        <v>4</v>
      </c>
      <c r="I68" s="6">
        <f>SUM(PACIENTES!I68+COMEDOR!I68+JORNADA!I68+'DIETOLOGÍA(S)'!I68)</f>
        <v>1</v>
      </c>
      <c r="J68" s="6">
        <f>SUM(PACIENTES!J68+COMEDOR!J68+JORNADA!J68+'DIETOLOGÍA(S)'!J68)</f>
        <v>4</v>
      </c>
      <c r="K68" s="6">
        <f>SUM(PACIENTES!K68+COMEDOR!K68+JORNADA!K68+'DIETOLOGÍA(S)'!K68)</f>
        <v>0</v>
      </c>
      <c r="L68" s="6">
        <f>SUM(PACIENTES!L68+COMEDOR!L68+JORNADA!L68+'DIETOLOGÍA(S)'!L68)</f>
        <v>0</v>
      </c>
      <c r="M68" s="6">
        <f>SUM(PACIENTES!M68+COMEDOR!M68+JORNADA!M68+'DIETOLOGÍA(S)'!M68)</f>
        <v>0</v>
      </c>
      <c r="N68" s="6">
        <f>SUM(PACIENTES!N68+COMEDOR!N68+JORNADA!N68+'DIETOLOGÍA(S)'!N68)</f>
        <v>0</v>
      </c>
      <c r="O68" s="6">
        <f>SUM(PACIENTES!O68+COMEDOR!O68+JORNADA!O68+'DIETOLOGÍA(S)'!O68)</f>
        <v>0</v>
      </c>
      <c r="P68" s="6">
        <f>SUM(PACIENTES!P68+COMEDOR!P68+JORNADA!P68+'DIETOLOGÍA(S)'!P68)</f>
        <v>1</v>
      </c>
      <c r="Q68" s="6">
        <f>SUM(PACIENTES!Q68+COMEDOR!Q68+JORNADA!Q68+'DIETOLOGÍA(S)'!Q68)</f>
        <v>1</v>
      </c>
      <c r="R68" s="6">
        <f>SUM(PACIENTES!R68+COMEDOR!R68+JORNADA!R68+'DIETOLOGÍA(S)'!R68)</f>
        <v>4</v>
      </c>
      <c r="S68" s="6">
        <f>SUM(PACIENTES!S68+COMEDOR!S68+JORNADA!S68+'DIETOLOGÍA(S)'!S68)</f>
        <v>0</v>
      </c>
      <c r="T68" s="6">
        <f>SUM(PACIENTES!T68+COMEDOR!T68+JORNADA!T68+'DIETOLOGÍA(S)'!T68)</f>
        <v>0</v>
      </c>
      <c r="U68" s="6">
        <f>SUM(PACIENTES!U68+COMEDOR!U68+JORNADA!U68+'DIETOLOGÍA(S)'!U68)</f>
        <v>0</v>
      </c>
      <c r="V68" s="6">
        <f>SUM(PACIENTES!V68+COMEDOR!V68+JORNADA!V68+'DIETOLOGÍA(S)'!V68)</f>
        <v>0</v>
      </c>
      <c r="W68" s="6">
        <f>SUM(PACIENTES!W68+COMEDOR!W68+JORNADA!W68+'DIETOLOGÍA(S)'!W68)</f>
        <v>1</v>
      </c>
      <c r="X68" s="6">
        <f>SUM(PACIENTES!X68+COMEDOR!X68+JORNADA!X68+'DIETOLOGÍA(S)'!X68)</f>
        <v>5</v>
      </c>
      <c r="Y68" s="6">
        <f>SUM(PACIENTES!Y68+COMEDOR!Y68+JORNADA!Y68+'DIETOLOGÍA(S)'!Y68)</f>
        <v>0</v>
      </c>
      <c r="Z68" s="6">
        <f>SUM(PACIENTES!Z68+COMEDOR!Z68+JORNADA!Z68+'DIETOLOGÍA(S)'!Z68)</f>
        <v>0</v>
      </c>
      <c r="AA68" s="6">
        <f>SUM(PACIENTES!AA68+COMEDOR!AA68+JORNADA!AA68+'DIETOLOGÍA(S)'!AA68)</f>
        <v>4</v>
      </c>
      <c r="AB68" s="6">
        <f>SUM(PACIENTES!AB68+COMEDOR!AB68+JORNADA!AB68+'DIETOLOGÍA(S)'!AB68)</f>
        <v>0</v>
      </c>
      <c r="AC68" s="6">
        <f>SUM(PACIENTES!AC68+COMEDOR!AC68+JORNADA!AC68+'DIETOLOGÍA(S)'!AC68)</f>
        <v>2</v>
      </c>
      <c r="AD68" s="6">
        <f>SUM(PACIENTES!AD68+COMEDOR!AD68+JORNADA!AD68+'DIETOLOGÍA(S)'!AD68)</f>
        <v>1</v>
      </c>
      <c r="AE68" s="6">
        <f>SUM(PACIENTES!AE68+COMEDOR!AE68+JORNADA!AE68+'DIETOLOGÍA(S)'!AE68)</f>
        <v>1</v>
      </c>
      <c r="AF68" s="6">
        <f>SUM(PACIENTES!AF68+COMEDOR!AF68+JORNADA!AF68+'DIETOLOGÍA(S)'!AF68)</f>
        <v>0</v>
      </c>
      <c r="AG68" s="6">
        <f>SUM(PACIENTES!AG68+COMEDOR!AG68+JORNADA!AG68+'DIETOLOGÍA(S)'!AG68)</f>
        <v>0</v>
      </c>
      <c r="AH68" s="6">
        <f>SUM(PACIENTES!AH68+COMEDOR!AH68+JORNADA!AH68+'DIETOLOGÍA(S)'!AH68)</f>
        <v>0</v>
      </c>
      <c r="AI68" s="9">
        <f t="shared" si="1"/>
        <v>34</v>
      </c>
    </row>
    <row r="69" spans="1:35" ht="15.75" customHeight="1">
      <c r="A69" s="49">
        <v>2212010037</v>
      </c>
      <c r="B69" s="50" t="s">
        <v>73</v>
      </c>
      <c r="C69" s="51" t="s">
        <v>6</v>
      </c>
      <c r="D69" s="6">
        <f>SUM(PACIENTES!D69+COMEDOR!D69+JORNADA!D69+'DIETOLOGÍA(S)'!D69)</f>
        <v>20</v>
      </c>
      <c r="E69" s="6">
        <f>SUM(PACIENTES!E69+COMEDOR!E69+JORNADA!E69+'DIETOLOGÍA(S)'!E69)</f>
        <v>0</v>
      </c>
      <c r="F69" s="6">
        <f>SUM(PACIENTES!F69+COMEDOR!F69+JORNADA!F69+'DIETOLOGÍA(S)'!F69)</f>
        <v>5</v>
      </c>
      <c r="G69" s="6">
        <f>SUM(PACIENTES!G69+COMEDOR!G69+JORNADA!G69+'DIETOLOGÍA(S)'!G69)</f>
        <v>10</v>
      </c>
      <c r="H69" s="6">
        <f>SUM(PACIENTES!H69+COMEDOR!H69+JORNADA!H69+'DIETOLOGÍA(S)'!H69)</f>
        <v>0</v>
      </c>
      <c r="I69" s="6">
        <f>SUM(PACIENTES!I69+COMEDOR!I69+JORNADA!I69+'DIETOLOGÍA(S)'!I69)</f>
        <v>10</v>
      </c>
      <c r="J69" s="6">
        <f>SUM(PACIENTES!J69+COMEDOR!J69+JORNADA!J69+'DIETOLOGÍA(S)'!J69)</f>
        <v>2</v>
      </c>
      <c r="K69" s="6">
        <f>SUM(PACIENTES!K69+COMEDOR!K69+JORNADA!K69+'DIETOLOGÍA(S)'!K69)</f>
        <v>0</v>
      </c>
      <c r="L69" s="6">
        <f>SUM(PACIENTES!L69+COMEDOR!L69+JORNADA!L69+'DIETOLOGÍA(S)'!L69)</f>
        <v>20</v>
      </c>
      <c r="M69" s="6">
        <f>SUM(PACIENTES!M69+COMEDOR!M69+JORNADA!M69+'DIETOLOGÍA(S)'!M69)</f>
        <v>5</v>
      </c>
      <c r="N69" s="6">
        <f>SUM(PACIENTES!N69+COMEDOR!N69+JORNADA!N69+'DIETOLOGÍA(S)'!N69)</f>
        <v>0</v>
      </c>
      <c r="O69" s="6">
        <f>SUM(PACIENTES!O69+COMEDOR!O69+JORNADA!O69+'DIETOLOGÍA(S)'!O69)</f>
        <v>5</v>
      </c>
      <c r="P69" s="6">
        <f>SUM(PACIENTES!P69+COMEDOR!P69+JORNADA!P69+'DIETOLOGÍA(S)'!P69)</f>
        <v>10</v>
      </c>
      <c r="Q69" s="6">
        <f>SUM(PACIENTES!Q69+COMEDOR!Q69+JORNADA!Q69+'DIETOLOGÍA(S)'!Q69)</f>
        <v>7</v>
      </c>
      <c r="R69" s="6">
        <f>SUM(PACIENTES!R69+COMEDOR!R69+JORNADA!R69+'DIETOLOGÍA(S)'!R69)</f>
        <v>0</v>
      </c>
      <c r="S69" s="6">
        <f>SUM(PACIENTES!S69+COMEDOR!S69+JORNADA!S69+'DIETOLOGÍA(S)'!S69)</f>
        <v>15</v>
      </c>
      <c r="T69" s="6">
        <f>SUM(PACIENTES!T69+COMEDOR!T69+JORNADA!T69+'DIETOLOGÍA(S)'!T69)</f>
        <v>0</v>
      </c>
      <c r="U69" s="6">
        <f>SUM(PACIENTES!U69+COMEDOR!U69+JORNADA!U69+'DIETOLOGÍA(S)'!U69)</f>
        <v>0</v>
      </c>
      <c r="V69" s="6">
        <f>SUM(PACIENTES!V69+COMEDOR!V69+JORNADA!V69+'DIETOLOGÍA(S)'!V69)</f>
        <v>0</v>
      </c>
      <c r="W69" s="6">
        <f>SUM(PACIENTES!W69+COMEDOR!W69+JORNADA!W69+'DIETOLOGÍA(S)'!W69)</f>
        <v>2</v>
      </c>
      <c r="X69" s="6">
        <f>SUM(PACIENTES!X69+COMEDOR!X69+JORNADA!X69+'DIETOLOGÍA(S)'!X69)</f>
        <v>2</v>
      </c>
      <c r="Y69" s="6">
        <f>SUM(PACIENTES!Y69+COMEDOR!Y69+JORNADA!Y69+'DIETOLOGÍA(S)'!Y69)</f>
        <v>0</v>
      </c>
      <c r="Z69" s="6">
        <f>SUM(PACIENTES!Z69+COMEDOR!Z69+JORNADA!Z69+'DIETOLOGÍA(S)'!Z69)</f>
        <v>0</v>
      </c>
      <c r="AA69" s="6">
        <f>SUM(PACIENTES!AA69+COMEDOR!AA69+JORNADA!AA69+'DIETOLOGÍA(S)'!AA69)</f>
        <v>0</v>
      </c>
      <c r="AB69" s="6">
        <f>SUM(PACIENTES!AB69+COMEDOR!AB69+JORNADA!AB69+'DIETOLOGÍA(S)'!AB69)</f>
        <v>0</v>
      </c>
      <c r="AC69" s="6">
        <f>SUM(PACIENTES!AC69+COMEDOR!AC69+JORNADA!AC69+'DIETOLOGÍA(S)'!AC69)</f>
        <v>6</v>
      </c>
      <c r="AD69" s="6">
        <f>SUM(PACIENTES!AD69+COMEDOR!AD69+JORNADA!AD69+'DIETOLOGÍA(S)'!AD69)</f>
        <v>17</v>
      </c>
      <c r="AE69" s="6">
        <f>SUM(PACIENTES!AE69+COMEDOR!AE69+JORNADA!AE69+'DIETOLOGÍA(S)'!AE69)</f>
        <v>2</v>
      </c>
      <c r="AF69" s="6">
        <f>SUM(PACIENTES!AF69+COMEDOR!AF69+JORNADA!AF69+'DIETOLOGÍA(S)'!AF69)</f>
        <v>7</v>
      </c>
      <c r="AG69" s="6">
        <f>SUM(PACIENTES!AG69+COMEDOR!AG69+JORNADA!AG69+'DIETOLOGÍA(S)'!AG69)</f>
        <v>5</v>
      </c>
      <c r="AH69" s="6">
        <f>SUM(PACIENTES!AH69+COMEDOR!AH69+JORNADA!AH69+'DIETOLOGÍA(S)'!AH69)</f>
        <v>0</v>
      </c>
      <c r="AI69" s="9">
        <f t="shared" si="1"/>
        <v>150</v>
      </c>
    </row>
    <row r="70" spans="1:35" ht="15.75" customHeight="1">
      <c r="A70" s="49">
        <v>2212010038</v>
      </c>
      <c r="B70" s="50" t="s">
        <v>74</v>
      </c>
      <c r="C70" s="51" t="s">
        <v>6</v>
      </c>
      <c r="D70" s="6">
        <f>SUM(PACIENTES!D70+COMEDOR!D70+JORNADA!D70+'DIETOLOGÍA(S)'!D70)</f>
        <v>0</v>
      </c>
      <c r="E70" s="6">
        <f>SUM(PACIENTES!E70+COMEDOR!E70+JORNADA!E70+'DIETOLOGÍA(S)'!E70)</f>
        <v>15</v>
      </c>
      <c r="F70" s="6">
        <f>SUM(PACIENTES!F70+COMEDOR!F70+JORNADA!F70+'DIETOLOGÍA(S)'!F70)</f>
        <v>0</v>
      </c>
      <c r="G70" s="6">
        <f>SUM(PACIENTES!G70+COMEDOR!G70+JORNADA!G70+'DIETOLOGÍA(S)'!G70)</f>
        <v>0</v>
      </c>
      <c r="H70" s="6">
        <f>SUM(PACIENTES!H70+COMEDOR!H70+JORNADA!H70+'DIETOLOGÍA(S)'!H70)</f>
        <v>0</v>
      </c>
      <c r="I70" s="6">
        <f>SUM(PACIENTES!I70+COMEDOR!I70+JORNADA!I70+'DIETOLOGÍA(S)'!I70)</f>
        <v>10</v>
      </c>
      <c r="J70" s="6">
        <f>SUM(PACIENTES!J70+COMEDOR!J70+JORNADA!J70+'DIETOLOGÍA(S)'!J70)</f>
        <v>1</v>
      </c>
      <c r="K70" s="6">
        <f>SUM(PACIENTES!K70+COMEDOR!K70+JORNADA!K70+'DIETOLOGÍA(S)'!K70)</f>
        <v>0</v>
      </c>
      <c r="L70" s="6">
        <f>SUM(PACIENTES!L70+COMEDOR!L70+JORNADA!L70+'DIETOLOGÍA(S)'!L70)</f>
        <v>0</v>
      </c>
      <c r="M70" s="6">
        <f>SUM(PACIENTES!M70+COMEDOR!M70+JORNADA!M70+'DIETOLOGÍA(S)'!M70)</f>
        <v>0</v>
      </c>
      <c r="N70" s="6">
        <f>SUM(PACIENTES!N70+COMEDOR!N70+JORNADA!N70+'DIETOLOGÍA(S)'!N70)</f>
        <v>10</v>
      </c>
      <c r="O70" s="6">
        <f>SUM(PACIENTES!O70+COMEDOR!O70+JORNADA!O70+'DIETOLOGÍA(S)'!O70)</f>
        <v>15</v>
      </c>
      <c r="P70" s="6">
        <f>SUM(PACIENTES!P70+COMEDOR!P70+JORNADA!P70+'DIETOLOGÍA(S)'!P70)</f>
        <v>1</v>
      </c>
      <c r="Q70" s="6">
        <f>SUM(PACIENTES!Q70+COMEDOR!Q70+JORNADA!Q70+'DIETOLOGÍA(S)'!Q70)</f>
        <v>16</v>
      </c>
      <c r="R70" s="6">
        <f>SUM(PACIENTES!R70+COMEDOR!R70+JORNADA!R70+'DIETOLOGÍA(S)'!R70)</f>
        <v>0</v>
      </c>
      <c r="S70" s="6">
        <f>SUM(PACIENTES!S70+COMEDOR!S70+JORNADA!S70+'DIETOLOGÍA(S)'!S70)</f>
        <v>0</v>
      </c>
      <c r="T70" s="6">
        <f>SUM(PACIENTES!T70+COMEDOR!T70+JORNADA!T70+'DIETOLOGÍA(S)'!T70)</f>
        <v>10</v>
      </c>
      <c r="U70" s="6">
        <f>SUM(PACIENTES!U70+COMEDOR!U70+JORNADA!U70+'DIETOLOGÍA(S)'!U70)</f>
        <v>0</v>
      </c>
      <c r="V70" s="6">
        <f>SUM(PACIENTES!V70+COMEDOR!V70+JORNADA!V70+'DIETOLOGÍA(S)'!V70)</f>
        <v>0</v>
      </c>
      <c r="W70" s="6">
        <f>SUM(PACIENTES!W70+COMEDOR!W70+JORNADA!W70+'DIETOLOGÍA(S)'!W70)</f>
        <v>0</v>
      </c>
      <c r="X70" s="6">
        <f>SUM(PACIENTES!X70+COMEDOR!X70+JORNADA!X70+'DIETOLOGÍA(S)'!X70)</f>
        <v>11</v>
      </c>
      <c r="Y70" s="6">
        <f>SUM(PACIENTES!Y70+COMEDOR!Y70+JORNADA!Y70+'DIETOLOGÍA(S)'!Y70)</f>
        <v>0</v>
      </c>
      <c r="Z70" s="6">
        <f>SUM(PACIENTES!Z70+COMEDOR!Z70+JORNADA!Z70+'DIETOLOGÍA(S)'!Z70)</f>
        <v>0</v>
      </c>
      <c r="AA70" s="6">
        <f>SUM(PACIENTES!AA70+COMEDOR!AA70+JORNADA!AA70+'DIETOLOGÍA(S)'!AA70)</f>
        <v>10</v>
      </c>
      <c r="AB70" s="6">
        <f>SUM(PACIENTES!AB70+COMEDOR!AB70+JORNADA!AB70+'DIETOLOGÍA(S)'!AB70)</f>
        <v>5</v>
      </c>
      <c r="AC70" s="6">
        <f>SUM(PACIENTES!AC70+COMEDOR!AC70+JORNADA!AC70+'DIETOLOGÍA(S)'!AC70)</f>
        <v>0</v>
      </c>
      <c r="AD70" s="6">
        <f>SUM(PACIENTES!AD70+COMEDOR!AD70+JORNADA!AD70+'DIETOLOGÍA(S)'!AD70)</f>
        <v>1</v>
      </c>
      <c r="AE70" s="6">
        <f>SUM(PACIENTES!AE70+COMEDOR!AE70+JORNADA!AE70+'DIETOLOGÍA(S)'!AE70)</f>
        <v>1</v>
      </c>
      <c r="AF70" s="6">
        <f>SUM(PACIENTES!AF70+COMEDOR!AF70+JORNADA!AF70+'DIETOLOGÍA(S)'!AF70)</f>
        <v>15</v>
      </c>
      <c r="AG70" s="6">
        <f>SUM(PACIENTES!AG70+COMEDOR!AG70+JORNADA!AG70+'DIETOLOGÍA(S)'!AG70)</f>
        <v>10</v>
      </c>
      <c r="AH70" s="6">
        <f>SUM(PACIENTES!AH70+COMEDOR!AH70+JORNADA!AH70+'DIETOLOGÍA(S)'!AH70)</f>
        <v>0</v>
      </c>
      <c r="AI70" s="9">
        <f t="shared" si="1"/>
        <v>131</v>
      </c>
    </row>
    <row r="71" spans="1:35" ht="15.75" customHeight="1">
      <c r="A71" s="49">
        <v>2212010039</v>
      </c>
      <c r="B71" s="50" t="s">
        <v>75</v>
      </c>
      <c r="C71" s="51" t="s">
        <v>42</v>
      </c>
      <c r="D71" s="6">
        <f>SUM(PACIENTES!D71+COMEDOR!D71+JORNADA!D71+'DIETOLOGÍA(S)'!D71)</f>
        <v>1</v>
      </c>
      <c r="E71" s="6">
        <f>SUM(PACIENTES!E71+COMEDOR!E71+JORNADA!E71+'DIETOLOGÍA(S)'!E71)</f>
        <v>0</v>
      </c>
      <c r="F71" s="6">
        <f>SUM(PACIENTES!F71+COMEDOR!F71+JORNADA!F71+'DIETOLOGÍA(S)'!F71)</f>
        <v>0</v>
      </c>
      <c r="G71" s="6">
        <f>SUM(PACIENTES!G71+COMEDOR!G71+JORNADA!G71+'DIETOLOGÍA(S)'!G71)</f>
        <v>1</v>
      </c>
      <c r="H71" s="6">
        <f>SUM(PACIENTES!H71+COMEDOR!H71+JORNADA!H71+'DIETOLOGÍA(S)'!H71)</f>
        <v>0</v>
      </c>
      <c r="I71" s="6">
        <f>SUM(PACIENTES!I71+COMEDOR!I71+JORNADA!I71+'DIETOLOGÍA(S)'!I71)</f>
        <v>1</v>
      </c>
      <c r="J71" s="6">
        <f>SUM(PACIENTES!J71+COMEDOR!J71+JORNADA!J71+'DIETOLOGÍA(S)'!J71)</f>
        <v>1</v>
      </c>
      <c r="K71" s="6">
        <f>SUM(PACIENTES!K71+COMEDOR!K71+JORNADA!K71+'DIETOLOGÍA(S)'!K71)</f>
        <v>0</v>
      </c>
      <c r="L71" s="6">
        <f>SUM(PACIENTES!L71+COMEDOR!L71+JORNADA!L71+'DIETOLOGÍA(S)'!L71)</f>
        <v>1</v>
      </c>
      <c r="M71" s="6">
        <f>SUM(PACIENTES!M71+COMEDOR!M71+JORNADA!M71+'DIETOLOGÍA(S)'!M71)</f>
        <v>1</v>
      </c>
      <c r="N71" s="6">
        <f>SUM(PACIENTES!N71+COMEDOR!N71+JORNADA!N71+'DIETOLOGÍA(S)'!N71)</f>
        <v>0</v>
      </c>
      <c r="O71" s="6">
        <f>SUM(PACIENTES!O71+COMEDOR!O71+JORNADA!O71+'DIETOLOGÍA(S)'!O71)</f>
        <v>0</v>
      </c>
      <c r="P71" s="6">
        <f>SUM(PACIENTES!P71+COMEDOR!P71+JORNADA!P71+'DIETOLOGÍA(S)'!P71)</f>
        <v>1</v>
      </c>
      <c r="Q71" s="6">
        <f>SUM(PACIENTES!Q71+COMEDOR!Q71+JORNADA!Q71+'DIETOLOGÍA(S)'!Q71)</f>
        <v>0</v>
      </c>
      <c r="R71" s="6">
        <f>SUM(PACIENTES!R71+COMEDOR!R71+JORNADA!R71+'DIETOLOGÍA(S)'!R71)</f>
        <v>0</v>
      </c>
      <c r="S71" s="6">
        <f>SUM(PACIENTES!S71+COMEDOR!S71+JORNADA!S71+'DIETOLOGÍA(S)'!S71)</f>
        <v>1</v>
      </c>
      <c r="T71" s="6">
        <f>SUM(PACIENTES!T71+COMEDOR!T71+JORNADA!T71+'DIETOLOGÍA(S)'!T71)</f>
        <v>0</v>
      </c>
      <c r="U71" s="6">
        <f>SUM(PACIENTES!U71+COMEDOR!U71+JORNADA!U71+'DIETOLOGÍA(S)'!U71)</f>
        <v>0</v>
      </c>
      <c r="V71" s="6">
        <f>SUM(PACIENTES!V71+COMEDOR!V71+JORNADA!V71+'DIETOLOGÍA(S)'!V71)</f>
        <v>0</v>
      </c>
      <c r="W71" s="6">
        <f>SUM(PACIENTES!W71+COMEDOR!W71+JORNADA!W71+'DIETOLOGÍA(S)'!W71)</f>
        <v>0</v>
      </c>
      <c r="X71" s="6">
        <f>SUM(PACIENTES!X71+COMEDOR!X71+JORNADA!X71+'DIETOLOGÍA(S)'!X71)</f>
        <v>1</v>
      </c>
      <c r="Y71" s="6">
        <f>SUM(PACIENTES!Y71+COMEDOR!Y71+JORNADA!Y71+'DIETOLOGÍA(S)'!Y71)</f>
        <v>1</v>
      </c>
      <c r="Z71" s="6">
        <f>SUM(PACIENTES!Z71+COMEDOR!Z71+JORNADA!Z71+'DIETOLOGÍA(S)'!Z71)</f>
        <v>0</v>
      </c>
      <c r="AA71" s="6">
        <f>SUM(PACIENTES!AA71+COMEDOR!AA71+JORNADA!AA71+'DIETOLOGÍA(S)'!AA71)</f>
        <v>0</v>
      </c>
      <c r="AB71" s="6">
        <f>SUM(PACIENTES!AB71+COMEDOR!AB71+JORNADA!AB71+'DIETOLOGÍA(S)'!AB71)</f>
        <v>0</v>
      </c>
      <c r="AC71" s="6">
        <f>SUM(PACIENTES!AC71+COMEDOR!AC71+JORNADA!AC71+'DIETOLOGÍA(S)'!AC71)</f>
        <v>0</v>
      </c>
      <c r="AD71" s="6">
        <f>SUM(PACIENTES!AD71+COMEDOR!AD71+JORNADA!AD71+'DIETOLOGÍA(S)'!AD71)</f>
        <v>1</v>
      </c>
      <c r="AE71" s="6">
        <f>SUM(PACIENTES!AE71+COMEDOR!AE71+JORNADA!AE71+'DIETOLOGÍA(S)'!AE71)</f>
        <v>0</v>
      </c>
      <c r="AF71" s="6">
        <f>SUM(PACIENTES!AF71+COMEDOR!AF71+JORNADA!AF71+'DIETOLOGÍA(S)'!AF71)</f>
        <v>0</v>
      </c>
      <c r="AG71" s="6">
        <f>SUM(PACIENTES!AG71+COMEDOR!AG71+JORNADA!AG71+'DIETOLOGÍA(S)'!AG71)</f>
        <v>0</v>
      </c>
      <c r="AH71" s="6">
        <f>SUM(PACIENTES!AH71+COMEDOR!AH71+JORNADA!AH71+'DIETOLOGÍA(S)'!AH71)</f>
        <v>0</v>
      </c>
      <c r="AI71" s="9">
        <f t="shared" si="1"/>
        <v>11</v>
      </c>
    </row>
    <row r="72" spans="1:35" ht="15.75" customHeight="1">
      <c r="A72" s="49">
        <v>2212010040</v>
      </c>
      <c r="B72" s="50" t="s">
        <v>76</v>
      </c>
      <c r="C72" s="51" t="s">
        <v>6</v>
      </c>
      <c r="D72" s="6">
        <f>SUM(PACIENTES!D72+COMEDOR!D72+JORNADA!D72+'DIETOLOGÍA(S)'!D72)</f>
        <v>10</v>
      </c>
      <c r="E72" s="6">
        <f>SUM(PACIENTES!E72+COMEDOR!E72+JORNADA!E72+'DIETOLOGÍA(S)'!E72)</f>
        <v>30</v>
      </c>
      <c r="F72" s="6">
        <f>SUM(PACIENTES!F72+COMEDOR!F72+JORNADA!F72+'DIETOLOGÍA(S)'!F72)</f>
        <v>28</v>
      </c>
      <c r="G72" s="6">
        <f>SUM(PACIENTES!G72+COMEDOR!G72+JORNADA!G72+'DIETOLOGÍA(S)'!G72)</f>
        <v>11</v>
      </c>
      <c r="H72" s="6">
        <f>SUM(PACIENTES!H72+COMEDOR!H72+JORNADA!H72+'DIETOLOGÍA(S)'!H72)</f>
        <v>15</v>
      </c>
      <c r="I72" s="6">
        <f>SUM(PACIENTES!I72+COMEDOR!I72+JORNADA!I72+'DIETOLOGÍA(S)'!I72)</f>
        <v>35</v>
      </c>
      <c r="J72" s="6">
        <f>SUM(PACIENTES!J72+COMEDOR!J72+JORNADA!J72+'DIETOLOGÍA(S)'!J72)</f>
        <v>11</v>
      </c>
      <c r="K72" s="6">
        <f>SUM(PACIENTES!K72+COMEDOR!K72+JORNADA!K72+'DIETOLOGÍA(S)'!K72)</f>
        <v>28</v>
      </c>
      <c r="L72" s="6">
        <f>SUM(PACIENTES!L72+COMEDOR!L72+JORNADA!L72+'DIETOLOGÍA(S)'!L72)</f>
        <v>30</v>
      </c>
      <c r="M72" s="6">
        <f>SUM(PACIENTES!M72+COMEDOR!M72+JORNADA!M72+'DIETOLOGÍA(S)'!M72)</f>
        <v>0</v>
      </c>
      <c r="N72" s="6">
        <f>SUM(PACIENTES!N72+COMEDOR!N72+JORNADA!N72+'DIETOLOGÍA(S)'!N72)</f>
        <v>25</v>
      </c>
      <c r="O72" s="6">
        <f>SUM(PACIENTES!O72+COMEDOR!O72+JORNADA!O72+'DIETOLOGÍA(S)'!O72)</f>
        <v>28</v>
      </c>
      <c r="P72" s="6">
        <f>SUM(PACIENTES!P72+COMEDOR!P72+JORNADA!P72+'DIETOLOGÍA(S)'!P72)</f>
        <v>0</v>
      </c>
      <c r="Q72" s="6">
        <f>SUM(PACIENTES!Q72+COMEDOR!Q72+JORNADA!Q72+'DIETOLOGÍA(S)'!Q72)</f>
        <v>33</v>
      </c>
      <c r="R72" s="6">
        <f>SUM(PACIENTES!R72+COMEDOR!R72+JORNADA!R72+'DIETOLOGÍA(S)'!R72)</f>
        <v>23</v>
      </c>
      <c r="S72" s="6">
        <f>SUM(PACIENTES!S72+COMEDOR!S72+JORNADA!S72+'DIETOLOGÍA(S)'!S72)</f>
        <v>40</v>
      </c>
      <c r="T72" s="6">
        <f>SUM(PACIENTES!T72+COMEDOR!T72+JORNADA!T72+'DIETOLOGÍA(S)'!T72)</f>
        <v>40</v>
      </c>
      <c r="U72" s="6">
        <f>SUM(PACIENTES!U72+COMEDOR!U72+JORNADA!U72+'DIETOLOGÍA(S)'!U72)</f>
        <v>18</v>
      </c>
      <c r="V72" s="6">
        <f>SUM(PACIENTES!V72+COMEDOR!V72+JORNADA!V72+'DIETOLOGÍA(S)'!V72)</f>
        <v>40</v>
      </c>
      <c r="W72" s="6">
        <f>SUM(PACIENTES!W72+COMEDOR!W72+JORNADA!W72+'DIETOLOGÍA(S)'!W72)</f>
        <v>15</v>
      </c>
      <c r="X72" s="6">
        <f>SUM(PACIENTES!X72+COMEDOR!X72+JORNADA!X72+'DIETOLOGÍA(S)'!X72)</f>
        <v>20</v>
      </c>
      <c r="Y72" s="6">
        <f>SUM(PACIENTES!Y72+COMEDOR!Y72+JORNADA!Y72+'DIETOLOGÍA(S)'!Y72)</f>
        <v>7</v>
      </c>
      <c r="Z72" s="6">
        <f>SUM(PACIENTES!Z72+COMEDOR!Z72+JORNADA!Z72+'DIETOLOGÍA(S)'!Z72)</f>
        <v>40</v>
      </c>
      <c r="AA72" s="6">
        <f>SUM(PACIENTES!AA72+COMEDOR!AA72+JORNADA!AA72+'DIETOLOGÍA(S)'!AA72)</f>
        <v>67</v>
      </c>
      <c r="AB72" s="6">
        <f>SUM(PACIENTES!AB72+COMEDOR!AB72+JORNADA!AB72+'DIETOLOGÍA(S)'!AB72)</f>
        <v>42</v>
      </c>
      <c r="AC72" s="6">
        <f>SUM(PACIENTES!AC72+COMEDOR!AC72+JORNADA!AC72+'DIETOLOGÍA(S)'!AC72)</f>
        <v>5</v>
      </c>
      <c r="AD72" s="6">
        <f>SUM(PACIENTES!AD72+COMEDOR!AD72+JORNADA!AD72+'DIETOLOGÍA(S)'!AD72)</f>
        <v>22</v>
      </c>
      <c r="AE72" s="6">
        <f>SUM(PACIENTES!AE72+COMEDOR!AE72+JORNADA!AE72+'DIETOLOGÍA(S)'!AE72)</f>
        <v>21</v>
      </c>
      <c r="AF72" s="6">
        <f>SUM(PACIENTES!AF72+COMEDOR!AF72+JORNADA!AF72+'DIETOLOGÍA(S)'!AF72)</f>
        <v>30</v>
      </c>
      <c r="AG72" s="6">
        <f>SUM(PACIENTES!AG72+COMEDOR!AG72+JORNADA!AG72+'DIETOLOGÍA(S)'!AG72)</f>
        <v>8</v>
      </c>
      <c r="AH72" s="6">
        <f>SUM(PACIENTES!AH72+COMEDOR!AH72+JORNADA!AH72+'DIETOLOGÍA(S)'!AH72)</f>
        <v>0</v>
      </c>
      <c r="AI72" s="9">
        <f t="shared" si="1"/>
        <v>722</v>
      </c>
    </row>
    <row r="73" spans="1:35" ht="15.75" customHeight="1">
      <c r="A73" s="49">
        <v>2212010041</v>
      </c>
      <c r="B73" s="50" t="s">
        <v>77</v>
      </c>
      <c r="C73" s="51" t="s">
        <v>6</v>
      </c>
      <c r="D73" s="6">
        <f>SUM(PACIENTES!D73+COMEDOR!D73+JORNADA!D73+'DIETOLOGÍA(S)'!D73)</f>
        <v>0</v>
      </c>
      <c r="E73" s="6">
        <f>SUM(PACIENTES!E73+COMEDOR!E73+JORNADA!E73+'DIETOLOGÍA(S)'!E73)</f>
        <v>0</v>
      </c>
      <c r="F73" s="6">
        <f>SUM(PACIENTES!F73+COMEDOR!F73+JORNADA!F73+'DIETOLOGÍA(S)'!F73)</f>
        <v>0</v>
      </c>
      <c r="G73" s="6">
        <f>SUM(PACIENTES!G73+COMEDOR!G73+JORNADA!G73+'DIETOLOGÍA(S)'!G73)</f>
        <v>0</v>
      </c>
      <c r="H73" s="6">
        <f>SUM(PACIENTES!H73+COMEDOR!H73+JORNADA!H73+'DIETOLOGÍA(S)'!H73)</f>
        <v>0</v>
      </c>
      <c r="I73" s="6">
        <f>SUM(PACIENTES!I73+COMEDOR!I73+JORNADA!I73+'DIETOLOGÍA(S)'!I73)</f>
        <v>15</v>
      </c>
      <c r="J73" s="6">
        <f>SUM(PACIENTES!J73+COMEDOR!J73+JORNADA!J73+'DIETOLOGÍA(S)'!J73)</f>
        <v>1</v>
      </c>
      <c r="K73" s="6">
        <f>SUM(PACIENTES!K73+COMEDOR!K73+JORNADA!K73+'DIETOLOGÍA(S)'!K73)</f>
        <v>0</v>
      </c>
      <c r="L73" s="6">
        <f>SUM(PACIENTES!L73+COMEDOR!L73+JORNADA!L73+'DIETOLOGÍA(S)'!L73)</f>
        <v>0</v>
      </c>
      <c r="M73" s="6">
        <f>SUM(PACIENTES!M73+COMEDOR!M73+JORNADA!M73+'DIETOLOGÍA(S)'!M73)</f>
        <v>10</v>
      </c>
      <c r="N73" s="6">
        <f>SUM(PACIENTES!N73+COMEDOR!N73+JORNADA!N73+'DIETOLOGÍA(S)'!N73)</f>
        <v>0</v>
      </c>
      <c r="O73" s="6">
        <f>SUM(PACIENTES!O73+COMEDOR!O73+JORNADA!O73+'DIETOLOGÍA(S)'!O73)</f>
        <v>12</v>
      </c>
      <c r="P73" s="6">
        <f>SUM(PACIENTES!P73+COMEDOR!P73+JORNADA!P73+'DIETOLOGÍA(S)'!P73)</f>
        <v>0</v>
      </c>
      <c r="Q73" s="6">
        <f>SUM(PACIENTES!Q73+COMEDOR!Q73+JORNADA!Q73+'DIETOLOGÍA(S)'!Q73)</f>
        <v>1</v>
      </c>
      <c r="R73" s="6">
        <f>SUM(PACIENTES!R73+COMEDOR!R73+JORNADA!R73+'DIETOLOGÍA(S)'!R73)</f>
        <v>0</v>
      </c>
      <c r="S73" s="6">
        <f>SUM(PACIENTES!S73+COMEDOR!S73+JORNADA!S73+'DIETOLOGÍA(S)'!S73)</f>
        <v>0</v>
      </c>
      <c r="T73" s="6">
        <f>SUM(PACIENTES!T73+COMEDOR!T73+JORNADA!T73+'DIETOLOGÍA(S)'!T73)</f>
        <v>0</v>
      </c>
      <c r="U73" s="6">
        <f>SUM(PACIENTES!U73+COMEDOR!U73+JORNADA!U73+'DIETOLOGÍA(S)'!U73)</f>
        <v>0</v>
      </c>
      <c r="V73" s="6">
        <f>SUM(PACIENTES!V73+COMEDOR!V73+JORNADA!V73+'DIETOLOGÍA(S)'!V73)</f>
        <v>0</v>
      </c>
      <c r="W73" s="6">
        <f>SUM(PACIENTES!W73+COMEDOR!W73+JORNADA!W73+'DIETOLOGÍA(S)'!W73)</f>
        <v>0</v>
      </c>
      <c r="X73" s="6">
        <f>SUM(PACIENTES!X73+COMEDOR!X73+JORNADA!X73+'DIETOLOGÍA(S)'!X73)</f>
        <v>1</v>
      </c>
      <c r="Y73" s="6">
        <f>SUM(PACIENTES!Y73+COMEDOR!Y73+JORNADA!Y73+'DIETOLOGÍA(S)'!Y73)</f>
        <v>0</v>
      </c>
      <c r="Z73" s="6">
        <f>SUM(PACIENTES!Z73+COMEDOR!Z73+JORNADA!Z73+'DIETOLOGÍA(S)'!Z73)</f>
        <v>0</v>
      </c>
      <c r="AA73" s="6">
        <f>SUM(PACIENTES!AA73+COMEDOR!AA73+JORNADA!AA73+'DIETOLOGÍA(S)'!AA73)</f>
        <v>0</v>
      </c>
      <c r="AB73" s="6">
        <f>SUM(PACIENTES!AB73+COMEDOR!AB73+JORNADA!AB73+'DIETOLOGÍA(S)'!AB73)</f>
        <v>0</v>
      </c>
      <c r="AC73" s="6">
        <f>SUM(PACIENTES!AC73+COMEDOR!AC73+JORNADA!AC73+'DIETOLOGÍA(S)'!AC73)</f>
        <v>0</v>
      </c>
      <c r="AD73" s="6">
        <f>SUM(PACIENTES!AD73+COMEDOR!AD73+JORNADA!AD73+'DIETOLOGÍA(S)'!AD73)</f>
        <v>0</v>
      </c>
      <c r="AE73" s="6">
        <f>SUM(PACIENTES!AE73+COMEDOR!AE73+JORNADA!AE73+'DIETOLOGÍA(S)'!AE73)</f>
        <v>1</v>
      </c>
      <c r="AF73" s="6">
        <f>SUM(PACIENTES!AF73+COMEDOR!AF73+JORNADA!AF73+'DIETOLOGÍA(S)'!AF73)</f>
        <v>0</v>
      </c>
      <c r="AG73" s="6">
        <f>SUM(PACIENTES!AG73+COMEDOR!AG73+JORNADA!AG73+'DIETOLOGÍA(S)'!AG73)</f>
        <v>0</v>
      </c>
      <c r="AH73" s="6">
        <f>SUM(PACIENTES!AH73+COMEDOR!AH73+JORNADA!AH73+'DIETOLOGÍA(S)'!AH73)</f>
        <v>0</v>
      </c>
      <c r="AI73" s="9">
        <f t="shared" si="1"/>
        <v>41</v>
      </c>
    </row>
    <row r="74" spans="1:35" ht="15.75" customHeight="1">
      <c r="A74" s="49">
        <v>2212010042</v>
      </c>
      <c r="B74" s="50" t="s">
        <v>78</v>
      </c>
      <c r="C74" s="51" t="s">
        <v>6</v>
      </c>
      <c r="D74" s="6">
        <f>SUM(PACIENTES!D74+COMEDOR!D74+JORNADA!D74+'DIETOLOGÍA(S)'!D74)</f>
        <v>0</v>
      </c>
      <c r="E74" s="6">
        <f>SUM(PACIENTES!E74+COMEDOR!E74+JORNADA!E74+'DIETOLOGÍA(S)'!E74)</f>
        <v>0</v>
      </c>
      <c r="F74" s="6">
        <f>SUM(PACIENTES!F74+COMEDOR!F74+JORNADA!F74+'DIETOLOGÍA(S)'!F74)</f>
        <v>0</v>
      </c>
      <c r="G74" s="6">
        <f>SUM(PACIENTES!G74+COMEDOR!G74+JORNADA!G74+'DIETOLOGÍA(S)'!G74)</f>
        <v>5</v>
      </c>
      <c r="H74" s="6">
        <f>SUM(PACIENTES!H74+COMEDOR!H74+JORNADA!H74+'DIETOLOGÍA(S)'!H74)</f>
        <v>0</v>
      </c>
      <c r="I74" s="6">
        <f>SUM(PACIENTES!I74+COMEDOR!I74+JORNADA!I74+'DIETOLOGÍA(S)'!I74)</f>
        <v>0</v>
      </c>
      <c r="J74" s="6">
        <f>SUM(PACIENTES!J74+COMEDOR!J74+JORNADA!J74+'DIETOLOGÍA(S)'!J74)</f>
        <v>2</v>
      </c>
      <c r="K74" s="6">
        <f>SUM(PACIENTES!K74+COMEDOR!K74+JORNADA!K74+'DIETOLOGÍA(S)'!K74)</f>
        <v>0</v>
      </c>
      <c r="L74" s="6">
        <f>SUM(PACIENTES!L74+COMEDOR!L74+JORNADA!L74+'DIETOLOGÍA(S)'!L74)</f>
        <v>0</v>
      </c>
      <c r="M74" s="6">
        <f>SUM(PACIENTES!M74+COMEDOR!M74+JORNADA!M74+'DIETOLOGÍA(S)'!M74)</f>
        <v>0</v>
      </c>
      <c r="N74" s="6">
        <f>SUM(PACIENTES!N74+COMEDOR!N74+JORNADA!N74+'DIETOLOGÍA(S)'!N74)</f>
        <v>0</v>
      </c>
      <c r="O74" s="6">
        <f>SUM(PACIENTES!O74+COMEDOR!O74+JORNADA!O74+'DIETOLOGÍA(S)'!O74)</f>
        <v>0</v>
      </c>
      <c r="P74" s="6">
        <f>SUM(PACIENTES!P74+COMEDOR!P74+JORNADA!P74+'DIETOLOGÍA(S)'!P74)</f>
        <v>1</v>
      </c>
      <c r="Q74" s="6">
        <f>SUM(PACIENTES!Q74+COMEDOR!Q74+JORNADA!Q74+'DIETOLOGÍA(S)'!Q74)</f>
        <v>2</v>
      </c>
      <c r="R74" s="6">
        <f>SUM(PACIENTES!R74+COMEDOR!R74+JORNADA!R74+'DIETOLOGÍA(S)'!R74)</f>
        <v>0</v>
      </c>
      <c r="S74" s="6">
        <f>SUM(PACIENTES!S74+COMEDOR!S74+JORNADA!S74+'DIETOLOGÍA(S)'!S74)</f>
        <v>0</v>
      </c>
      <c r="T74" s="6">
        <f>SUM(PACIENTES!T74+COMEDOR!T74+JORNADA!T74+'DIETOLOGÍA(S)'!T74)</f>
        <v>0</v>
      </c>
      <c r="U74" s="6">
        <f>SUM(PACIENTES!U74+COMEDOR!U74+JORNADA!U74+'DIETOLOGÍA(S)'!U74)</f>
        <v>0</v>
      </c>
      <c r="V74" s="6">
        <f>SUM(PACIENTES!V74+COMEDOR!V74+JORNADA!V74+'DIETOLOGÍA(S)'!V74)</f>
        <v>0</v>
      </c>
      <c r="W74" s="6">
        <f>SUM(PACIENTES!W74+COMEDOR!W74+JORNADA!W74+'DIETOLOGÍA(S)'!W74)</f>
        <v>0</v>
      </c>
      <c r="X74" s="6">
        <f>SUM(PACIENTES!X74+COMEDOR!X74+JORNADA!X74+'DIETOLOGÍA(S)'!X74)</f>
        <v>2</v>
      </c>
      <c r="Y74" s="6">
        <f>SUM(PACIENTES!Y74+COMEDOR!Y74+JORNADA!Y74+'DIETOLOGÍA(S)'!Y74)</f>
        <v>0</v>
      </c>
      <c r="Z74" s="6">
        <f>SUM(PACIENTES!Z74+COMEDOR!Z74+JORNADA!Z74+'DIETOLOGÍA(S)'!Z74)</f>
        <v>0</v>
      </c>
      <c r="AA74" s="6">
        <f>SUM(PACIENTES!AA74+COMEDOR!AA74+JORNADA!AA74+'DIETOLOGÍA(S)'!AA74)</f>
        <v>0</v>
      </c>
      <c r="AB74" s="6">
        <f>SUM(PACIENTES!AB74+COMEDOR!AB74+JORNADA!AB74+'DIETOLOGÍA(S)'!AB74)</f>
        <v>0</v>
      </c>
      <c r="AC74" s="6">
        <f>SUM(PACIENTES!AC74+COMEDOR!AC74+JORNADA!AC74+'DIETOLOGÍA(S)'!AC74)</f>
        <v>0</v>
      </c>
      <c r="AD74" s="6">
        <f>SUM(PACIENTES!AD74+COMEDOR!AD74+JORNADA!AD74+'DIETOLOGÍA(S)'!AD74)</f>
        <v>1</v>
      </c>
      <c r="AE74" s="6">
        <f>SUM(PACIENTES!AE74+COMEDOR!AE74+JORNADA!AE74+'DIETOLOGÍA(S)'!AE74)</f>
        <v>2</v>
      </c>
      <c r="AF74" s="6">
        <f>SUM(PACIENTES!AF74+COMEDOR!AF74+JORNADA!AF74+'DIETOLOGÍA(S)'!AF74)</f>
        <v>0</v>
      </c>
      <c r="AG74" s="6">
        <f>SUM(PACIENTES!AG74+COMEDOR!AG74+JORNADA!AG74+'DIETOLOGÍA(S)'!AG74)</f>
        <v>0</v>
      </c>
      <c r="AH74" s="6">
        <f>SUM(PACIENTES!AH74+COMEDOR!AH74+JORNADA!AH74+'DIETOLOGÍA(S)'!AH74)</f>
        <v>0</v>
      </c>
      <c r="AI74" s="9">
        <f t="shared" si="1"/>
        <v>15</v>
      </c>
    </row>
    <row r="75" spans="1:35" ht="15.75" customHeight="1">
      <c r="A75" s="49">
        <v>2212010043</v>
      </c>
      <c r="B75" s="50" t="s">
        <v>79</v>
      </c>
      <c r="C75" s="51" t="s">
        <v>42</v>
      </c>
      <c r="D75" s="6">
        <f>SUM(PACIENTES!D75+COMEDOR!D75+JORNADA!D75+'DIETOLOGÍA(S)'!D75)</f>
        <v>0</v>
      </c>
      <c r="E75" s="6">
        <f>SUM(PACIENTES!E75+COMEDOR!E75+JORNADA!E75+'DIETOLOGÍA(S)'!E75)</f>
        <v>0</v>
      </c>
      <c r="F75" s="6">
        <f>SUM(PACIENTES!F75+COMEDOR!F75+JORNADA!F75+'DIETOLOGÍA(S)'!F75)</f>
        <v>0</v>
      </c>
      <c r="G75" s="6">
        <f>SUM(PACIENTES!G75+COMEDOR!G75+JORNADA!G75+'DIETOLOGÍA(S)'!G75)</f>
        <v>0</v>
      </c>
      <c r="H75" s="6">
        <f>SUM(PACIENTES!H75+COMEDOR!H75+JORNADA!H75+'DIETOLOGÍA(S)'!H75)</f>
        <v>0</v>
      </c>
      <c r="I75" s="6">
        <f>SUM(PACIENTES!I75+COMEDOR!I75+JORNADA!I75+'DIETOLOGÍA(S)'!I75)</f>
        <v>0</v>
      </c>
      <c r="J75" s="6">
        <f>SUM(PACIENTES!J75+COMEDOR!J75+JORNADA!J75+'DIETOLOGÍA(S)'!J75)</f>
        <v>0</v>
      </c>
      <c r="K75" s="6">
        <f>SUM(PACIENTES!K75+COMEDOR!K75+JORNADA!K75+'DIETOLOGÍA(S)'!K75)</f>
        <v>0</v>
      </c>
      <c r="L75" s="6">
        <f>SUM(PACIENTES!L75+COMEDOR!L75+JORNADA!L75+'DIETOLOGÍA(S)'!L75)</f>
        <v>0</v>
      </c>
      <c r="M75" s="6">
        <f>SUM(PACIENTES!M75+COMEDOR!M75+JORNADA!M75+'DIETOLOGÍA(S)'!M75)</f>
        <v>0</v>
      </c>
      <c r="N75" s="6">
        <f>SUM(PACIENTES!N75+COMEDOR!N75+JORNADA!N75+'DIETOLOGÍA(S)'!N75)</f>
        <v>0</v>
      </c>
      <c r="O75" s="6">
        <f>SUM(PACIENTES!O75+COMEDOR!O75+JORNADA!O75+'DIETOLOGÍA(S)'!O75)</f>
        <v>1</v>
      </c>
      <c r="P75" s="6">
        <f>SUM(PACIENTES!P75+COMEDOR!P75+JORNADA!P75+'DIETOLOGÍA(S)'!P75)</f>
        <v>0</v>
      </c>
      <c r="Q75" s="6">
        <f>SUM(PACIENTES!Q75+COMEDOR!Q75+JORNADA!Q75+'DIETOLOGÍA(S)'!Q75)</f>
        <v>0</v>
      </c>
      <c r="R75" s="6">
        <f>SUM(PACIENTES!R75+COMEDOR!R75+JORNADA!R75+'DIETOLOGÍA(S)'!R75)</f>
        <v>0</v>
      </c>
      <c r="S75" s="6">
        <f>SUM(PACIENTES!S75+COMEDOR!S75+JORNADA!S75+'DIETOLOGÍA(S)'!S75)</f>
        <v>0</v>
      </c>
      <c r="T75" s="6">
        <f>SUM(PACIENTES!T75+COMEDOR!T75+JORNADA!T75+'DIETOLOGÍA(S)'!T75)</f>
        <v>0</v>
      </c>
      <c r="U75" s="6">
        <f>SUM(PACIENTES!U75+COMEDOR!U75+JORNADA!U75+'DIETOLOGÍA(S)'!U75)</f>
        <v>0</v>
      </c>
      <c r="V75" s="6">
        <f>SUM(PACIENTES!V75+COMEDOR!V75+JORNADA!V75+'DIETOLOGÍA(S)'!V75)</f>
        <v>0</v>
      </c>
      <c r="W75" s="6">
        <f>SUM(PACIENTES!W75+COMEDOR!W75+JORNADA!W75+'DIETOLOGÍA(S)'!W75)</f>
        <v>0</v>
      </c>
      <c r="X75" s="6">
        <f>SUM(PACIENTES!X75+COMEDOR!X75+JORNADA!X75+'DIETOLOGÍA(S)'!X75)</f>
        <v>0</v>
      </c>
      <c r="Y75" s="6">
        <f>SUM(PACIENTES!Y75+COMEDOR!Y75+JORNADA!Y75+'DIETOLOGÍA(S)'!Y75)</f>
        <v>0</v>
      </c>
      <c r="Z75" s="6">
        <f>SUM(PACIENTES!Z75+COMEDOR!Z75+JORNADA!Z75+'DIETOLOGÍA(S)'!Z75)</f>
        <v>0</v>
      </c>
      <c r="AA75" s="6">
        <f>SUM(PACIENTES!AA75+COMEDOR!AA75+JORNADA!AA75+'DIETOLOGÍA(S)'!AA75)</f>
        <v>0</v>
      </c>
      <c r="AB75" s="6">
        <f>SUM(PACIENTES!AB75+COMEDOR!AB75+JORNADA!AB75+'DIETOLOGÍA(S)'!AB75)</f>
        <v>0</v>
      </c>
      <c r="AC75" s="6">
        <f>SUM(PACIENTES!AC75+COMEDOR!AC75+JORNADA!AC75+'DIETOLOGÍA(S)'!AC75)</f>
        <v>0</v>
      </c>
      <c r="AD75" s="6">
        <f>SUM(PACIENTES!AD75+COMEDOR!AD75+JORNADA!AD75+'DIETOLOGÍA(S)'!AD75)</f>
        <v>0</v>
      </c>
      <c r="AE75" s="6">
        <f>SUM(PACIENTES!AE75+COMEDOR!AE75+JORNADA!AE75+'DIETOLOGÍA(S)'!AE75)</f>
        <v>0</v>
      </c>
      <c r="AF75" s="6">
        <f>SUM(PACIENTES!AF75+COMEDOR!AF75+JORNADA!AF75+'DIETOLOGÍA(S)'!AF75)</f>
        <v>0</v>
      </c>
      <c r="AG75" s="6">
        <f>SUM(PACIENTES!AG75+COMEDOR!AG75+JORNADA!AG75+'DIETOLOGÍA(S)'!AG75)</f>
        <v>0</v>
      </c>
      <c r="AH75" s="6">
        <f>SUM(PACIENTES!AH75+COMEDOR!AH75+JORNADA!AH75+'DIETOLOGÍA(S)'!AH75)</f>
        <v>0</v>
      </c>
      <c r="AI75" s="9">
        <f t="shared" si="1"/>
        <v>1</v>
      </c>
    </row>
    <row r="76" spans="1:35" ht="15.75" customHeight="1">
      <c r="A76" s="49">
        <v>2212010044</v>
      </c>
      <c r="B76" s="50" t="s">
        <v>80</v>
      </c>
      <c r="C76" s="51" t="s">
        <v>42</v>
      </c>
      <c r="D76" s="6">
        <f>SUM(PACIENTES!D76+COMEDOR!D76+JORNADA!D76+'DIETOLOGÍA(S)'!D76)</f>
        <v>0</v>
      </c>
      <c r="E76" s="6">
        <f>SUM(PACIENTES!E76+COMEDOR!E76+JORNADA!E76+'DIETOLOGÍA(S)'!E76)</f>
        <v>0</v>
      </c>
      <c r="F76" s="6">
        <f>SUM(PACIENTES!F76+COMEDOR!F76+JORNADA!F76+'DIETOLOGÍA(S)'!F76)</f>
        <v>0</v>
      </c>
      <c r="G76" s="6">
        <f>SUM(PACIENTES!G76+COMEDOR!G76+JORNADA!G76+'DIETOLOGÍA(S)'!G76)</f>
        <v>0</v>
      </c>
      <c r="H76" s="6">
        <f>SUM(PACIENTES!H76+COMEDOR!H76+JORNADA!H76+'DIETOLOGÍA(S)'!H76)</f>
        <v>0</v>
      </c>
      <c r="I76" s="6">
        <f>SUM(PACIENTES!I76+COMEDOR!I76+JORNADA!I76+'DIETOLOGÍA(S)'!I76)</f>
        <v>0</v>
      </c>
      <c r="J76" s="6">
        <f>SUM(PACIENTES!J76+COMEDOR!J76+JORNADA!J76+'DIETOLOGÍA(S)'!J76)</f>
        <v>0</v>
      </c>
      <c r="K76" s="6">
        <f>SUM(PACIENTES!K76+COMEDOR!K76+JORNADA!K76+'DIETOLOGÍA(S)'!K76)</f>
        <v>0</v>
      </c>
      <c r="L76" s="6">
        <f>SUM(PACIENTES!L76+COMEDOR!L76+JORNADA!L76+'DIETOLOGÍA(S)'!L76)</f>
        <v>0</v>
      </c>
      <c r="M76" s="6">
        <f>SUM(PACIENTES!M76+COMEDOR!M76+JORNADA!M76+'DIETOLOGÍA(S)'!M76)</f>
        <v>0</v>
      </c>
      <c r="N76" s="6">
        <f>SUM(PACIENTES!N76+COMEDOR!N76+JORNADA!N76+'DIETOLOGÍA(S)'!N76)</f>
        <v>0</v>
      </c>
      <c r="O76" s="6">
        <f>SUM(PACIENTES!O76+COMEDOR!O76+JORNADA!O76+'DIETOLOGÍA(S)'!O76)</f>
        <v>0</v>
      </c>
      <c r="P76" s="6">
        <f>SUM(PACIENTES!P76+COMEDOR!P76+JORNADA!P76+'DIETOLOGÍA(S)'!P76)</f>
        <v>0</v>
      </c>
      <c r="Q76" s="6">
        <f>SUM(PACIENTES!Q76+COMEDOR!Q76+JORNADA!Q76+'DIETOLOGÍA(S)'!Q76)</f>
        <v>0</v>
      </c>
      <c r="R76" s="6">
        <f>SUM(PACIENTES!R76+COMEDOR!R76+JORNADA!R76+'DIETOLOGÍA(S)'!R76)</f>
        <v>0</v>
      </c>
      <c r="S76" s="6">
        <f>SUM(PACIENTES!S76+COMEDOR!S76+JORNADA!S76+'DIETOLOGÍA(S)'!S76)</f>
        <v>0</v>
      </c>
      <c r="T76" s="6">
        <f>SUM(PACIENTES!T76+COMEDOR!T76+JORNADA!T76+'DIETOLOGÍA(S)'!T76)</f>
        <v>0</v>
      </c>
      <c r="U76" s="6">
        <f>SUM(PACIENTES!U76+COMEDOR!U76+JORNADA!U76+'DIETOLOGÍA(S)'!U76)</f>
        <v>0</v>
      </c>
      <c r="V76" s="6">
        <f>SUM(PACIENTES!V76+COMEDOR!V76+JORNADA!V76+'DIETOLOGÍA(S)'!V76)</f>
        <v>0</v>
      </c>
      <c r="W76" s="6">
        <f>SUM(PACIENTES!W76+COMEDOR!W76+JORNADA!W76+'DIETOLOGÍA(S)'!W76)</f>
        <v>0</v>
      </c>
      <c r="X76" s="6">
        <f>SUM(PACIENTES!X76+COMEDOR!X76+JORNADA!X76+'DIETOLOGÍA(S)'!X76)</f>
        <v>0</v>
      </c>
      <c r="Y76" s="6">
        <f>SUM(PACIENTES!Y76+COMEDOR!Y76+JORNADA!Y76+'DIETOLOGÍA(S)'!Y76)</f>
        <v>0</v>
      </c>
      <c r="Z76" s="6">
        <f>SUM(PACIENTES!Z76+COMEDOR!Z76+JORNADA!Z76+'DIETOLOGÍA(S)'!Z76)</f>
        <v>0</v>
      </c>
      <c r="AA76" s="6">
        <f>SUM(PACIENTES!AA76+COMEDOR!AA76+JORNADA!AA76+'DIETOLOGÍA(S)'!AA76)</f>
        <v>0</v>
      </c>
      <c r="AB76" s="6">
        <f>SUM(PACIENTES!AB76+COMEDOR!AB76+JORNADA!AB76+'DIETOLOGÍA(S)'!AB76)</f>
        <v>0</v>
      </c>
      <c r="AC76" s="6">
        <f>SUM(PACIENTES!AC76+COMEDOR!AC76+JORNADA!AC76+'DIETOLOGÍA(S)'!AC76)</f>
        <v>0</v>
      </c>
      <c r="AD76" s="6">
        <f>SUM(PACIENTES!AD76+COMEDOR!AD76+JORNADA!AD76+'DIETOLOGÍA(S)'!AD76)</f>
        <v>0</v>
      </c>
      <c r="AE76" s="6">
        <f>SUM(PACIENTES!AE76+COMEDOR!AE76+JORNADA!AE76+'DIETOLOGÍA(S)'!AE76)</f>
        <v>0</v>
      </c>
      <c r="AF76" s="6">
        <f>SUM(PACIENTES!AF76+COMEDOR!AF76+JORNADA!AF76+'DIETOLOGÍA(S)'!AF76)</f>
        <v>0</v>
      </c>
      <c r="AG76" s="6">
        <f>SUM(PACIENTES!AG76+COMEDOR!AG76+JORNADA!AG76+'DIETOLOGÍA(S)'!AG76)</f>
        <v>0</v>
      </c>
      <c r="AH76" s="6">
        <f>SUM(PACIENTES!AH76+COMEDOR!AH76+JORNADA!AH76+'DIETOLOGÍA(S)'!AH76)</f>
        <v>0</v>
      </c>
      <c r="AI76" s="9">
        <f t="shared" si="1"/>
        <v>0</v>
      </c>
    </row>
    <row r="77" spans="1:35" ht="15.75" customHeight="1">
      <c r="A77" s="49">
        <v>2212010046</v>
      </c>
      <c r="B77" s="50" t="s">
        <v>81</v>
      </c>
      <c r="C77" s="51" t="s">
        <v>42</v>
      </c>
      <c r="D77" s="6">
        <f>SUM(PACIENTES!D77+COMEDOR!D77+JORNADA!D77+'DIETOLOGÍA(S)'!D77)</f>
        <v>0</v>
      </c>
      <c r="E77" s="6">
        <f>SUM(PACIENTES!E77+COMEDOR!E77+JORNADA!E77+'DIETOLOGÍA(S)'!E77)</f>
        <v>2</v>
      </c>
      <c r="F77" s="6">
        <f>SUM(PACIENTES!F77+COMEDOR!F77+JORNADA!F77+'DIETOLOGÍA(S)'!F77)</f>
        <v>0</v>
      </c>
      <c r="G77" s="6">
        <f>SUM(PACIENTES!G77+COMEDOR!G77+JORNADA!G77+'DIETOLOGÍA(S)'!G77)</f>
        <v>0</v>
      </c>
      <c r="H77" s="6">
        <f>SUM(PACIENTES!H77+COMEDOR!H77+JORNADA!H77+'DIETOLOGÍA(S)'!H77)</f>
        <v>0</v>
      </c>
      <c r="I77" s="6">
        <f>SUM(PACIENTES!I77+COMEDOR!I77+JORNADA!I77+'DIETOLOGÍA(S)'!I77)</f>
        <v>2</v>
      </c>
      <c r="J77" s="6">
        <f>SUM(PACIENTES!J77+COMEDOR!J77+JORNADA!J77+'DIETOLOGÍA(S)'!J77)</f>
        <v>0</v>
      </c>
      <c r="K77" s="6">
        <f>SUM(PACIENTES!K77+COMEDOR!K77+JORNADA!K77+'DIETOLOGÍA(S)'!K77)</f>
        <v>2</v>
      </c>
      <c r="L77" s="6">
        <f>SUM(PACIENTES!L77+COMEDOR!L77+JORNADA!L77+'DIETOLOGÍA(S)'!L77)</f>
        <v>0</v>
      </c>
      <c r="M77" s="6">
        <f>SUM(PACIENTES!M77+COMEDOR!M77+JORNADA!M77+'DIETOLOGÍA(S)'!M77)</f>
        <v>2</v>
      </c>
      <c r="N77" s="6">
        <f>SUM(PACIENTES!N77+COMEDOR!N77+JORNADA!N77+'DIETOLOGÍA(S)'!N77)</f>
        <v>2</v>
      </c>
      <c r="O77" s="6">
        <f>SUM(PACIENTES!O77+COMEDOR!O77+JORNADA!O77+'DIETOLOGÍA(S)'!O77)</f>
        <v>2</v>
      </c>
      <c r="P77" s="6">
        <f>SUM(PACIENTES!P77+COMEDOR!P77+JORNADA!P77+'DIETOLOGÍA(S)'!P77)</f>
        <v>0</v>
      </c>
      <c r="Q77" s="6">
        <f>SUM(PACIENTES!Q77+COMEDOR!Q77+JORNADA!Q77+'DIETOLOGÍA(S)'!Q77)</f>
        <v>2</v>
      </c>
      <c r="R77" s="6">
        <f>SUM(PACIENTES!R77+COMEDOR!R77+JORNADA!R77+'DIETOLOGÍA(S)'!R77)</f>
        <v>0</v>
      </c>
      <c r="S77" s="6">
        <f>SUM(PACIENTES!S77+COMEDOR!S77+JORNADA!S77+'DIETOLOGÍA(S)'!S77)</f>
        <v>0</v>
      </c>
      <c r="T77" s="6">
        <f>SUM(PACIENTES!T77+COMEDOR!T77+JORNADA!T77+'DIETOLOGÍA(S)'!T77)</f>
        <v>2</v>
      </c>
      <c r="U77" s="6">
        <f>SUM(PACIENTES!U77+COMEDOR!U77+JORNADA!U77+'DIETOLOGÍA(S)'!U77)</f>
        <v>2</v>
      </c>
      <c r="V77" s="6">
        <f>SUM(PACIENTES!V77+COMEDOR!V77+JORNADA!V77+'DIETOLOGÍA(S)'!V77)</f>
        <v>2</v>
      </c>
      <c r="W77" s="6">
        <f>SUM(PACIENTES!W77+COMEDOR!W77+JORNADA!W77+'DIETOLOGÍA(S)'!W77)</f>
        <v>0</v>
      </c>
      <c r="X77" s="6">
        <f>SUM(PACIENTES!X77+COMEDOR!X77+JORNADA!X77+'DIETOLOGÍA(S)'!X77)</f>
        <v>2</v>
      </c>
      <c r="Y77" s="6">
        <f>SUM(PACIENTES!Y77+COMEDOR!Y77+JORNADA!Y77+'DIETOLOGÍA(S)'!Y77)</f>
        <v>0</v>
      </c>
      <c r="Z77" s="6">
        <f>SUM(PACIENTES!Z77+COMEDOR!Z77+JORNADA!Z77+'DIETOLOGÍA(S)'!Z77)</f>
        <v>2</v>
      </c>
      <c r="AA77" s="6">
        <f>SUM(PACIENTES!AA77+COMEDOR!AA77+JORNADA!AA77+'DIETOLOGÍA(S)'!AA77)</f>
        <v>2</v>
      </c>
      <c r="AB77" s="6">
        <f>SUM(PACIENTES!AB77+COMEDOR!AB77+JORNADA!AB77+'DIETOLOGÍA(S)'!AB77)</f>
        <v>2</v>
      </c>
      <c r="AC77" s="6">
        <f>SUM(PACIENTES!AC77+COMEDOR!AC77+JORNADA!AC77+'DIETOLOGÍA(S)'!AC77)</f>
        <v>0</v>
      </c>
      <c r="AD77" s="6">
        <f>SUM(PACIENTES!AD77+COMEDOR!AD77+JORNADA!AD77+'DIETOLOGÍA(S)'!AD77)</f>
        <v>2</v>
      </c>
      <c r="AE77" s="6">
        <f>SUM(PACIENTES!AE77+COMEDOR!AE77+JORNADA!AE77+'DIETOLOGÍA(S)'!AE77)</f>
        <v>0</v>
      </c>
      <c r="AF77" s="6">
        <f>SUM(PACIENTES!AF77+COMEDOR!AF77+JORNADA!AF77+'DIETOLOGÍA(S)'!AF77)</f>
        <v>2</v>
      </c>
      <c r="AG77" s="6">
        <f>SUM(PACIENTES!AG77+COMEDOR!AG77+JORNADA!AG77+'DIETOLOGÍA(S)'!AG77)</f>
        <v>0</v>
      </c>
      <c r="AH77" s="6">
        <f>SUM(PACIENTES!AH77+COMEDOR!AH77+JORNADA!AH77+'DIETOLOGÍA(S)'!AH77)</f>
        <v>2</v>
      </c>
      <c r="AI77" s="9">
        <f t="shared" si="1"/>
        <v>34</v>
      </c>
    </row>
    <row r="78" spans="1:35" ht="15.75" customHeight="1">
      <c r="A78" s="49">
        <v>2212010047</v>
      </c>
      <c r="B78" s="50" t="s">
        <v>82</v>
      </c>
      <c r="C78" s="51" t="s">
        <v>6</v>
      </c>
      <c r="D78" s="6">
        <f>SUM(PACIENTES!D78+COMEDOR!D78+JORNADA!D78+'DIETOLOGÍA(S)'!D78)</f>
        <v>35</v>
      </c>
      <c r="E78" s="6">
        <f>SUM(PACIENTES!E78+COMEDOR!E78+JORNADA!E78+'DIETOLOGÍA(S)'!E78)</f>
        <v>35</v>
      </c>
      <c r="F78" s="6">
        <f>SUM(PACIENTES!F78+COMEDOR!F78+JORNADA!F78+'DIETOLOGÍA(S)'!F78)</f>
        <v>30</v>
      </c>
      <c r="G78" s="6">
        <f>SUM(PACIENTES!G78+COMEDOR!G78+JORNADA!G78+'DIETOLOGÍA(S)'!G78)</f>
        <v>10</v>
      </c>
      <c r="H78" s="6">
        <f>SUM(PACIENTES!H78+COMEDOR!H78+JORNADA!H78+'DIETOLOGÍA(S)'!H78)</f>
        <v>35</v>
      </c>
      <c r="I78" s="6">
        <f>SUM(PACIENTES!I78+COMEDOR!I78+JORNADA!I78+'DIETOLOGÍA(S)'!I78)</f>
        <v>16</v>
      </c>
      <c r="J78" s="6">
        <f>SUM(PACIENTES!J78+COMEDOR!J78+JORNADA!J78+'DIETOLOGÍA(S)'!J78)</f>
        <v>37</v>
      </c>
      <c r="K78" s="6">
        <f>SUM(PACIENTES!K78+COMEDOR!K78+JORNADA!K78+'DIETOLOGÍA(S)'!K78)</f>
        <v>60</v>
      </c>
      <c r="L78" s="6">
        <f>SUM(PACIENTES!L78+COMEDOR!L78+JORNADA!L78+'DIETOLOGÍA(S)'!L78)</f>
        <v>30</v>
      </c>
      <c r="M78" s="6">
        <f>SUM(PACIENTES!M78+COMEDOR!M78+JORNADA!M78+'DIETOLOGÍA(S)'!M78)</f>
        <v>30</v>
      </c>
      <c r="N78" s="6">
        <f>SUM(PACIENTES!N78+COMEDOR!N78+JORNADA!N78+'DIETOLOGÍA(S)'!N78)</f>
        <v>50</v>
      </c>
      <c r="O78" s="6">
        <f>SUM(PACIENTES!O78+COMEDOR!O78+JORNADA!O78+'DIETOLOGÍA(S)'!O78)</f>
        <v>20</v>
      </c>
      <c r="P78" s="6">
        <f>SUM(PACIENTES!P78+COMEDOR!P78+JORNADA!P78+'DIETOLOGÍA(S)'!P78)</f>
        <v>56</v>
      </c>
      <c r="Q78" s="6">
        <f>SUM(PACIENTES!Q78+COMEDOR!Q78+JORNADA!Q78+'DIETOLOGÍA(S)'!Q78)</f>
        <v>45</v>
      </c>
      <c r="R78" s="6">
        <f>SUM(PACIENTES!R78+COMEDOR!R78+JORNADA!R78+'DIETOLOGÍA(S)'!R78)</f>
        <v>35</v>
      </c>
      <c r="S78" s="6">
        <f>SUM(PACIENTES!S78+COMEDOR!S78+JORNADA!S78+'DIETOLOGÍA(S)'!S78)</f>
        <v>15</v>
      </c>
      <c r="T78" s="6">
        <f>SUM(PACIENTES!T78+COMEDOR!T78+JORNADA!T78+'DIETOLOGÍA(S)'!T78)</f>
        <v>30</v>
      </c>
      <c r="U78" s="6">
        <f>SUM(PACIENTES!U78+COMEDOR!U78+JORNADA!U78+'DIETOLOGÍA(S)'!U78)</f>
        <v>15</v>
      </c>
      <c r="V78" s="6">
        <f>SUM(PACIENTES!V78+COMEDOR!V78+JORNADA!V78+'DIETOLOGÍA(S)'!V78)</f>
        <v>55</v>
      </c>
      <c r="W78" s="6">
        <f>SUM(PACIENTES!W78+COMEDOR!W78+JORNADA!W78+'DIETOLOGÍA(S)'!W78)</f>
        <v>36</v>
      </c>
      <c r="X78" s="6">
        <f>SUM(PACIENTES!X78+COMEDOR!X78+JORNADA!X78+'DIETOLOGÍA(S)'!X78)</f>
        <v>17</v>
      </c>
      <c r="Y78" s="6">
        <f>SUM(PACIENTES!Y78+COMEDOR!Y78+JORNADA!Y78+'DIETOLOGÍA(S)'!Y78)</f>
        <v>80</v>
      </c>
      <c r="Z78" s="6">
        <f>SUM(PACIENTES!Z78+COMEDOR!Z78+JORNADA!Z78+'DIETOLOGÍA(S)'!Z78)</f>
        <v>70</v>
      </c>
      <c r="AA78" s="6">
        <f>SUM(PACIENTES!AA78+COMEDOR!AA78+JORNADA!AA78+'DIETOLOGÍA(S)'!AA78)</f>
        <v>30</v>
      </c>
      <c r="AB78" s="6">
        <f>SUM(PACIENTES!AB78+COMEDOR!AB78+JORNADA!AB78+'DIETOLOGÍA(S)'!AB78)</f>
        <v>30</v>
      </c>
      <c r="AC78" s="6">
        <f>SUM(PACIENTES!AC78+COMEDOR!AC78+JORNADA!AC78+'DIETOLOGÍA(S)'!AC78)</f>
        <v>20</v>
      </c>
      <c r="AD78" s="6">
        <f>SUM(PACIENTES!AD78+COMEDOR!AD78+JORNADA!AD78+'DIETOLOGÍA(S)'!AD78)</f>
        <v>61</v>
      </c>
      <c r="AE78" s="6">
        <f>SUM(PACIENTES!AE78+COMEDOR!AE78+JORNADA!AE78+'DIETOLOGÍA(S)'!AE78)</f>
        <v>45</v>
      </c>
      <c r="AF78" s="6">
        <f>SUM(PACIENTES!AF78+COMEDOR!AF78+JORNADA!AF78+'DIETOLOGÍA(S)'!AF78)</f>
        <v>25</v>
      </c>
      <c r="AG78" s="6">
        <f>SUM(PACIENTES!AG78+COMEDOR!AG78+JORNADA!AG78+'DIETOLOGÍA(S)'!AG78)</f>
        <v>35</v>
      </c>
      <c r="AH78" s="6">
        <f>SUM(PACIENTES!AH78+COMEDOR!AH78+JORNADA!AH78+'DIETOLOGÍA(S)'!AH78)</f>
        <v>30</v>
      </c>
      <c r="AI78" s="9">
        <f t="shared" si="1"/>
        <v>1118</v>
      </c>
    </row>
    <row r="79" spans="1:35" ht="15.75" customHeight="1">
      <c r="A79" s="49">
        <v>2212010048</v>
      </c>
      <c r="B79" s="50" t="s">
        <v>83</v>
      </c>
      <c r="C79" s="51" t="s">
        <v>6</v>
      </c>
      <c r="D79" s="6">
        <f>SUM(PACIENTES!D79+COMEDOR!D79+JORNADA!D79+'DIETOLOGÍA(S)'!D79)</f>
        <v>0</v>
      </c>
      <c r="E79" s="6">
        <f>SUM(PACIENTES!E79+COMEDOR!E79+JORNADA!E79+'DIETOLOGÍA(S)'!E79)</f>
        <v>0</v>
      </c>
      <c r="F79" s="6">
        <f>SUM(PACIENTES!F79+COMEDOR!F79+JORNADA!F79+'DIETOLOGÍA(S)'!F79)</f>
        <v>0</v>
      </c>
      <c r="G79" s="6">
        <f>SUM(PACIENTES!G79+COMEDOR!G79+JORNADA!G79+'DIETOLOGÍA(S)'!G79)</f>
        <v>0</v>
      </c>
      <c r="H79" s="6">
        <f>SUM(PACIENTES!H79+COMEDOR!H79+JORNADA!H79+'DIETOLOGÍA(S)'!H79)</f>
        <v>0</v>
      </c>
      <c r="I79" s="6">
        <f>SUM(PACIENTES!I79+COMEDOR!I79+JORNADA!I79+'DIETOLOGÍA(S)'!I79)</f>
        <v>0</v>
      </c>
      <c r="J79" s="6">
        <f>SUM(PACIENTES!J79+COMEDOR!J79+JORNADA!J79+'DIETOLOGÍA(S)'!J79)</f>
        <v>0</v>
      </c>
      <c r="K79" s="6">
        <f>SUM(PACIENTES!K79+COMEDOR!K79+JORNADA!K79+'DIETOLOGÍA(S)'!K79)</f>
        <v>0</v>
      </c>
      <c r="L79" s="6">
        <f>SUM(PACIENTES!L79+COMEDOR!L79+JORNADA!L79+'DIETOLOGÍA(S)'!L79)</f>
        <v>0</v>
      </c>
      <c r="M79" s="6">
        <f>SUM(PACIENTES!M79+COMEDOR!M79+JORNADA!M79+'DIETOLOGÍA(S)'!M79)</f>
        <v>0</v>
      </c>
      <c r="N79" s="6">
        <f>SUM(PACIENTES!N79+COMEDOR!N79+JORNADA!N79+'DIETOLOGÍA(S)'!N79)</f>
        <v>0</v>
      </c>
      <c r="O79" s="6">
        <f>SUM(PACIENTES!O79+COMEDOR!O79+JORNADA!O79+'DIETOLOGÍA(S)'!O79)</f>
        <v>0</v>
      </c>
      <c r="P79" s="6">
        <f>SUM(PACIENTES!P79+COMEDOR!P79+JORNADA!P79+'DIETOLOGÍA(S)'!P79)</f>
        <v>1</v>
      </c>
      <c r="Q79" s="6">
        <f>SUM(PACIENTES!Q79+COMEDOR!Q79+JORNADA!Q79+'DIETOLOGÍA(S)'!Q79)</f>
        <v>0</v>
      </c>
      <c r="R79" s="6">
        <f>SUM(PACIENTES!R79+COMEDOR!R79+JORNADA!R79+'DIETOLOGÍA(S)'!R79)</f>
        <v>0</v>
      </c>
      <c r="S79" s="6">
        <f>SUM(PACIENTES!S79+COMEDOR!S79+JORNADA!S79+'DIETOLOGÍA(S)'!S79)</f>
        <v>0</v>
      </c>
      <c r="T79" s="6">
        <f>SUM(PACIENTES!T79+COMEDOR!T79+JORNADA!T79+'DIETOLOGÍA(S)'!T79)</f>
        <v>0</v>
      </c>
      <c r="U79" s="6">
        <f>SUM(PACIENTES!U79+COMEDOR!U79+JORNADA!U79+'DIETOLOGÍA(S)'!U79)</f>
        <v>0</v>
      </c>
      <c r="V79" s="6">
        <f>SUM(PACIENTES!V79+COMEDOR!V79+JORNADA!V79+'DIETOLOGÍA(S)'!V79)</f>
        <v>0</v>
      </c>
      <c r="W79" s="6">
        <f>SUM(PACIENTES!W79+COMEDOR!W79+JORNADA!W79+'DIETOLOGÍA(S)'!W79)</f>
        <v>0</v>
      </c>
      <c r="X79" s="6">
        <f>SUM(PACIENTES!X79+COMEDOR!X79+JORNADA!X79+'DIETOLOGÍA(S)'!X79)</f>
        <v>0</v>
      </c>
      <c r="Y79" s="6">
        <f>SUM(PACIENTES!Y79+COMEDOR!Y79+JORNADA!Y79+'DIETOLOGÍA(S)'!Y79)</f>
        <v>0</v>
      </c>
      <c r="Z79" s="6">
        <f>SUM(PACIENTES!Z79+COMEDOR!Z79+JORNADA!Z79+'DIETOLOGÍA(S)'!Z79)</f>
        <v>0</v>
      </c>
      <c r="AA79" s="6">
        <f>SUM(PACIENTES!AA79+COMEDOR!AA79+JORNADA!AA79+'DIETOLOGÍA(S)'!AA79)</f>
        <v>0</v>
      </c>
      <c r="AB79" s="6">
        <f>SUM(PACIENTES!AB79+COMEDOR!AB79+JORNADA!AB79+'DIETOLOGÍA(S)'!AB79)</f>
        <v>0</v>
      </c>
      <c r="AC79" s="6">
        <f>SUM(PACIENTES!AC79+COMEDOR!AC79+JORNADA!AC79+'DIETOLOGÍA(S)'!AC79)</f>
        <v>0</v>
      </c>
      <c r="AD79" s="6">
        <f>SUM(PACIENTES!AD79+COMEDOR!AD79+JORNADA!AD79+'DIETOLOGÍA(S)'!AD79)</f>
        <v>0</v>
      </c>
      <c r="AE79" s="6">
        <f>SUM(PACIENTES!AE79+COMEDOR!AE79+JORNADA!AE79+'DIETOLOGÍA(S)'!AE79)</f>
        <v>0</v>
      </c>
      <c r="AF79" s="6">
        <f>SUM(PACIENTES!AF79+COMEDOR!AF79+JORNADA!AF79+'DIETOLOGÍA(S)'!AF79)</f>
        <v>0</v>
      </c>
      <c r="AG79" s="6">
        <f>SUM(PACIENTES!AG79+COMEDOR!AG79+JORNADA!AG79+'DIETOLOGÍA(S)'!AG79)</f>
        <v>0</v>
      </c>
      <c r="AH79" s="6">
        <f>SUM(PACIENTES!AH79+COMEDOR!AH79+JORNADA!AH79+'DIETOLOGÍA(S)'!AH79)</f>
        <v>0</v>
      </c>
      <c r="AI79" s="9">
        <f t="shared" si="1"/>
        <v>1</v>
      </c>
    </row>
    <row r="80" spans="1:35" ht="15.75" customHeight="1">
      <c r="A80" s="49">
        <v>2212010049</v>
      </c>
      <c r="B80" s="50" t="s">
        <v>84</v>
      </c>
      <c r="C80" s="51" t="s">
        <v>6</v>
      </c>
      <c r="D80" s="6">
        <f>SUM(PACIENTES!D80+COMEDOR!D80+JORNADA!D80+'DIETOLOGÍA(S)'!D80)</f>
        <v>50</v>
      </c>
      <c r="E80" s="6">
        <f>SUM(PACIENTES!E80+COMEDOR!E80+JORNADA!E80+'DIETOLOGÍA(S)'!E80)</f>
        <v>0</v>
      </c>
      <c r="F80" s="6">
        <f>SUM(PACIENTES!F80+COMEDOR!F80+JORNADA!F80+'DIETOLOGÍA(S)'!F80)</f>
        <v>38</v>
      </c>
      <c r="G80" s="6">
        <f>SUM(PACIENTES!G80+COMEDOR!G80+JORNADA!G80+'DIETOLOGÍA(S)'!G80)</f>
        <v>17</v>
      </c>
      <c r="H80" s="6">
        <f>SUM(PACIENTES!H80+COMEDOR!H80+JORNADA!H80+'DIETOLOGÍA(S)'!H80)</f>
        <v>30</v>
      </c>
      <c r="I80" s="6">
        <f>SUM(PACIENTES!I80+COMEDOR!I80+JORNADA!I80+'DIETOLOGÍA(S)'!I80)</f>
        <v>21</v>
      </c>
      <c r="J80" s="6">
        <f>SUM(PACIENTES!J80+COMEDOR!J80+JORNADA!J80+'DIETOLOGÍA(S)'!J80)</f>
        <v>12</v>
      </c>
      <c r="K80" s="6">
        <f>SUM(PACIENTES!K80+COMEDOR!K80+JORNADA!K80+'DIETOLOGÍA(S)'!K80)</f>
        <v>50</v>
      </c>
      <c r="L80" s="6">
        <f>SUM(PACIENTES!L80+COMEDOR!L80+JORNADA!L80+'DIETOLOGÍA(S)'!L80)</f>
        <v>70</v>
      </c>
      <c r="M80" s="6">
        <f>SUM(PACIENTES!M80+COMEDOR!M80+JORNADA!M80+'DIETOLOGÍA(S)'!M80)</f>
        <v>40</v>
      </c>
      <c r="N80" s="6">
        <f>SUM(PACIENTES!N80+COMEDOR!N80+JORNADA!N80+'DIETOLOGÍA(S)'!N80)</f>
        <v>35</v>
      </c>
      <c r="O80" s="6">
        <f>SUM(PACIENTES!O80+COMEDOR!O80+JORNADA!O80+'DIETOLOGÍA(S)'!O80)</f>
        <v>25</v>
      </c>
      <c r="P80" s="6">
        <f>SUM(PACIENTES!P80+COMEDOR!P80+JORNADA!P80+'DIETOLOGÍA(S)'!P80)</f>
        <v>20</v>
      </c>
      <c r="Q80" s="6">
        <f>SUM(PACIENTES!Q80+COMEDOR!Q80+JORNADA!Q80+'DIETOLOGÍA(S)'!Q80)</f>
        <v>9</v>
      </c>
      <c r="R80" s="6">
        <f>SUM(PACIENTES!R80+COMEDOR!R80+JORNADA!R80+'DIETOLOGÍA(S)'!R80)</f>
        <v>20</v>
      </c>
      <c r="S80" s="6">
        <f>SUM(PACIENTES!S80+COMEDOR!S80+JORNADA!S80+'DIETOLOGÍA(S)'!S80)</f>
        <v>40</v>
      </c>
      <c r="T80" s="6">
        <f>SUM(PACIENTES!T80+COMEDOR!T80+JORNADA!T80+'DIETOLOGÍA(S)'!T80)</f>
        <v>15</v>
      </c>
      <c r="U80" s="6">
        <f>SUM(PACIENTES!U80+COMEDOR!U80+JORNADA!U80+'DIETOLOGÍA(S)'!U80)</f>
        <v>20</v>
      </c>
      <c r="V80" s="6">
        <f>SUM(PACIENTES!V80+COMEDOR!V80+JORNADA!V80+'DIETOLOGÍA(S)'!V80)</f>
        <v>15</v>
      </c>
      <c r="W80" s="6">
        <f>SUM(PACIENTES!W80+COMEDOR!W80+JORNADA!W80+'DIETOLOGÍA(S)'!W80)</f>
        <v>25</v>
      </c>
      <c r="X80" s="6">
        <f>SUM(PACIENTES!X80+COMEDOR!X80+JORNADA!X80+'DIETOLOGÍA(S)'!X80)</f>
        <v>9</v>
      </c>
      <c r="Y80" s="6">
        <f>SUM(PACIENTES!Y80+COMEDOR!Y80+JORNADA!Y80+'DIETOLOGÍA(S)'!Y80)</f>
        <v>7</v>
      </c>
      <c r="Z80" s="6">
        <f>SUM(PACIENTES!Z80+COMEDOR!Z80+JORNADA!Z80+'DIETOLOGÍA(S)'!Z80)</f>
        <v>45</v>
      </c>
      <c r="AA80" s="6">
        <f>SUM(PACIENTES!AA80+COMEDOR!AA80+JORNADA!AA80+'DIETOLOGÍA(S)'!AA80)</f>
        <v>40</v>
      </c>
      <c r="AB80" s="6">
        <f>SUM(PACIENTES!AB80+COMEDOR!AB80+JORNADA!AB80+'DIETOLOGÍA(S)'!AB80)</f>
        <v>30</v>
      </c>
      <c r="AC80" s="6">
        <f>SUM(PACIENTES!AC80+COMEDOR!AC80+JORNADA!AC80+'DIETOLOGÍA(S)'!AC80)</f>
        <v>25</v>
      </c>
      <c r="AD80" s="6">
        <f>SUM(PACIENTES!AD80+COMEDOR!AD80+JORNADA!AD80+'DIETOLOGÍA(S)'!AD80)</f>
        <v>1</v>
      </c>
      <c r="AE80" s="6">
        <f>SUM(PACIENTES!AE80+COMEDOR!AE80+JORNADA!AE80+'DIETOLOGÍA(S)'!AE80)</f>
        <v>24</v>
      </c>
      <c r="AF80" s="6">
        <f>SUM(PACIENTES!AF80+COMEDOR!AF80+JORNADA!AF80+'DIETOLOGÍA(S)'!AF80)</f>
        <v>5</v>
      </c>
      <c r="AG80" s="6">
        <f>SUM(PACIENTES!AG80+COMEDOR!AG80+JORNADA!AG80+'DIETOLOGÍA(S)'!AG80)</f>
        <v>28</v>
      </c>
      <c r="AH80" s="6">
        <f>SUM(PACIENTES!AH80+COMEDOR!AH80+JORNADA!AH80+'DIETOLOGÍA(S)'!AH80)</f>
        <v>55</v>
      </c>
      <c r="AI80" s="9">
        <f t="shared" si="1"/>
        <v>821</v>
      </c>
    </row>
    <row r="81" spans="1:35" ht="15.75" customHeight="1">
      <c r="A81" s="49">
        <v>2212010050</v>
      </c>
      <c r="B81" s="50" t="s">
        <v>85</v>
      </c>
      <c r="C81" s="51" t="s">
        <v>86</v>
      </c>
      <c r="D81" s="6">
        <f>SUM(PACIENTES!D81+COMEDOR!D81+JORNADA!D81+'DIETOLOGÍA(S)'!D81)</f>
        <v>0</v>
      </c>
      <c r="E81" s="6">
        <f>SUM(PACIENTES!E81+COMEDOR!E81+JORNADA!E81+'DIETOLOGÍA(S)'!E81)</f>
        <v>0</v>
      </c>
      <c r="F81" s="6">
        <f>SUM(PACIENTES!F81+COMEDOR!F81+JORNADA!F81+'DIETOLOGÍA(S)'!F81)</f>
        <v>0</v>
      </c>
      <c r="G81" s="6">
        <f>SUM(PACIENTES!G81+COMEDOR!G81+JORNADA!G81+'DIETOLOGÍA(S)'!G81)</f>
        <v>0</v>
      </c>
      <c r="H81" s="6">
        <f>SUM(PACIENTES!H81+COMEDOR!H81+JORNADA!H81+'DIETOLOGÍA(S)'!H81)</f>
        <v>0</v>
      </c>
      <c r="I81" s="6">
        <f>SUM(PACIENTES!I81+COMEDOR!I81+JORNADA!I81+'DIETOLOGÍA(S)'!I81)</f>
        <v>1</v>
      </c>
      <c r="J81" s="6">
        <f>SUM(PACIENTES!J81+COMEDOR!J81+JORNADA!J81+'DIETOLOGÍA(S)'!J81)</f>
        <v>0</v>
      </c>
      <c r="K81" s="6">
        <f>SUM(PACIENTES!K81+COMEDOR!K81+JORNADA!K81+'DIETOLOGÍA(S)'!K81)</f>
        <v>0</v>
      </c>
      <c r="L81" s="6">
        <f>SUM(PACIENTES!L81+COMEDOR!L81+JORNADA!L81+'DIETOLOGÍA(S)'!L81)</f>
        <v>0</v>
      </c>
      <c r="M81" s="6">
        <f>SUM(PACIENTES!M81+COMEDOR!M81+JORNADA!M81+'DIETOLOGÍA(S)'!M81)</f>
        <v>0</v>
      </c>
      <c r="N81" s="6">
        <f>SUM(PACIENTES!N81+COMEDOR!N81+JORNADA!N81+'DIETOLOGÍA(S)'!N81)</f>
        <v>0</v>
      </c>
      <c r="O81" s="6">
        <f>SUM(PACIENTES!O81+COMEDOR!O81+JORNADA!O81+'DIETOLOGÍA(S)'!O81)</f>
        <v>0</v>
      </c>
      <c r="P81" s="6">
        <f>SUM(PACIENTES!P81+COMEDOR!P81+JORNADA!P81+'DIETOLOGÍA(S)'!P81)</f>
        <v>1</v>
      </c>
      <c r="Q81" s="6">
        <f>SUM(PACIENTES!Q81+COMEDOR!Q81+JORNADA!Q81+'DIETOLOGÍA(S)'!Q81)</f>
        <v>0</v>
      </c>
      <c r="R81" s="6">
        <f>SUM(PACIENTES!R81+COMEDOR!R81+JORNADA!R81+'DIETOLOGÍA(S)'!R81)</f>
        <v>0</v>
      </c>
      <c r="S81" s="6">
        <f>SUM(PACIENTES!S81+COMEDOR!S81+JORNADA!S81+'DIETOLOGÍA(S)'!S81)</f>
        <v>0</v>
      </c>
      <c r="T81" s="6">
        <f>SUM(PACIENTES!T81+COMEDOR!T81+JORNADA!T81+'DIETOLOGÍA(S)'!T81)</f>
        <v>0</v>
      </c>
      <c r="U81" s="6">
        <f>SUM(PACIENTES!U81+COMEDOR!U81+JORNADA!U81+'DIETOLOGÍA(S)'!U81)</f>
        <v>0</v>
      </c>
      <c r="V81" s="6">
        <f>SUM(PACIENTES!V81+COMEDOR!V81+JORNADA!V81+'DIETOLOGÍA(S)'!V81)</f>
        <v>0</v>
      </c>
      <c r="W81" s="6">
        <f>SUM(PACIENTES!W81+COMEDOR!W81+JORNADA!W81+'DIETOLOGÍA(S)'!W81)</f>
        <v>1</v>
      </c>
      <c r="X81" s="6">
        <f>SUM(PACIENTES!X81+COMEDOR!X81+JORNADA!X81+'DIETOLOGÍA(S)'!X81)</f>
        <v>0</v>
      </c>
      <c r="Y81" s="6">
        <f>SUM(PACIENTES!Y81+COMEDOR!Y81+JORNADA!Y81+'DIETOLOGÍA(S)'!Y81)</f>
        <v>0</v>
      </c>
      <c r="Z81" s="6">
        <f>SUM(PACIENTES!Z81+COMEDOR!Z81+JORNADA!Z81+'DIETOLOGÍA(S)'!Z81)</f>
        <v>0</v>
      </c>
      <c r="AA81" s="6">
        <f>SUM(PACIENTES!AA81+COMEDOR!AA81+JORNADA!AA81+'DIETOLOGÍA(S)'!AA81)</f>
        <v>0</v>
      </c>
      <c r="AB81" s="6">
        <f>SUM(PACIENTES!AB81+COMEDOR!AB81+JORNADA!AB81+'DIETOLOGÍA(S)'!AB81)</f>
        <v>0</v>
      </c>
      <c r="AC81" s="6">
        <f>SUM(PACIENTES!AC81+COMEDOR!AC81+JORNADA!AC81+'DIETOLOGÍA(S)'!AC81)</f>
        <v>0</v>
      </c>
      <c r="AD81" s="6">
        <f>SUM(PACIENTES!AD81+COMEDOR!AD81+JORNADA!AD81+'DIETOLOGÍA(S)'!AD81)</f>
        <v>1</v>
      </c>
      <c r="AE81" s="6">
        <f>SUM(PACIENTES!AE81+COMEDOR!AE81+JORNADA!AE81+'DIETOLOGÍA(S)'!AE81)</f>
        <v>0</v>
      </c>
      <c r="AF81" s="6">
        <f>SUM(PACIENTES!AF81+COMEDOR!AF81+JORNADA!AF81+'DIETOLOGÍA(S)'!AF81)</f>
        <v>0</v>
      </c>
      <c r="AG81" s="6">
        <f>SUM(PACIENTES!AG81+COMEDOR!AG81+JORNADA!AG81+'DIETOLOGÍA(S)'!AG81)</f>
        <v>0</v>
      </c>
      <c r="AH81" s="6">
        <f>SUM(PACIENTES!AH81+COMEDOR!AH81+JORNADA!AH81+'DIETOLOGÍA(S)'!AH81)</f>
        <v>0</v>
      </c>
      <c r="AI81" s="9">
        <f t="shared" si="1"/>
        <v>4</v>
      </c>
    </row>
    <row r="82" spans="1:35" ht="15.75" customHeight="1">
      <c r="A82" s="49">
        <v>2212010053</v>
      </c>
      <c r="B82" s="50" t="s">
        <v>87</v>
      </c>
      <c r="C82" s="51" t="s">
        <v>42</v>
      </c>
      <c r="D82" s="6">
        <f>SUM(PACIENTES!D82+COMEDOR!D82+JORNADA!D82+'DIETOLOGÍA(S)'!D82)</f>
        <v>0</v>
      </c>
      <c r="E82" s="6">
        <f>SUM(PACIENTES!E82+COMEDOR!E82+JORNADA!E82+'DIETOLOGÍA(S)'!E82)</f>
        <v>0</v>
      </c>
      <c r="F82" s="6">
        <f>SUM(PACIENTES!F82+COMEDOR!F82+JORNADA!F82+'DIETOLOGÍA(S)'!F82)</f>
        <v>0</v>
      </c>
      <c r="G82" s="6">
        <f>SUM(PACIENTES!G82+COMEDOR!G82+JORNADA!G82+'DIETOLOGÍA(S)'!G82)</f>
        <v>0</v>
      </c>
      <c r="H82" s="6">
        <f>SUM(PACIENTES!H82+COMEDOR!H82+JORNADA!H82+'DIETOLOGÍA(S)'!H82)</f>
        <v>0</v>
      </c>
      <c r="I82" s="6">
        <f>SUM(PACIENTES!I82+COMEDOR!I82+JORNADA!I82+'DIETOLOGÍA(S)'!I82)</f>
        <v>0</v>
      </c>
      <c r="J82" s="6">
        <f>SUM(PACIENTES!J82+COMEDOR!J82+JORNADA!J82+'DIETOLOGÍA(S)'!J82)</f>
        <v>0</v>
      </c>
      <c r="K82" s="6">
        <f>SUM(PACIENTES!K82+COMEDOR!K82+JORNADA!K82+'DIETOLOGÍA(S)'!K82)</f>
        <v>0</v>
      </c>
      <c r="L82" s="6">
        <f>SUM(PACIENTES!L82+COMEDOR!L82+JORNADA!L82+'DIETOLOGÍA(S)'!L82)</f>
        <v>0</v>
      </c>
      <c r="M82" s="6">
        <f>SUM(PACIENTES!M82+COMEDOR!M82+JORNADA!M82+'DIETOLOGÍA(S)'!M82)</f>
        <v>0</v>
      </c>
      <c r="N82" s="6">
        <f>SUM(PACIENTES!N82+COMEDOR!N82+JORNADA!N82+'DIETOLOGÍA(S)'!N82)</f>
        <v>0</v>
      </c>
      <c r="O82" s="6">
        <f>SUM(PACIENTES!O82+COMEDOR!O82+JORNADA!O82+'DIETOLOGÍA(S)'!O82)</f>
        <v>0</v>
      </c>
      <c r="P82" s="6">
        <f>SUM(PACIENTES!P82+COMEDOR!P82+JORNADA!P82+'DIETOLOGÍA(S)'!P82)</f>
        <v>0</v>
      </c>
      <c r="Q82" s="6">
        <f>SUM(PACIENTES!Q82+COMEDOR!Q82+JORNADA!Q82+'DIETOLOGÍA(S)'!Q82)</f>
        <v>0</v>
      </c>
      <c r="R82" s="6">
        <f>SUM(PACIENTES!R82+COMEDOR!R82+JORNADA!R82+'DIETOLOGÍA(S)'!R82)</f>
        <v>0</v>
      </c>
      <c r="S82" s="6">
        <f>SUM(PACIENTES!S82+COMEDOR!S82+JORNADA!S82+'DIETOLOGÍA(S)'!S82)</f>
        <v>0</v>
      </c>
      <c r="T82" s="6">
        <f>SUM(PACIENTES!T82+COMEDOR!T82+JORNADA!T82+'DIETOLOGÍA(S)'!T82)</f>
        <v>0</v>
      </c>
      <c r="U82" s="6">
        <f>SUM(PACIENTES!U82+COMEDOR!U82+JORNADA!U82+'DIETOLOGÍA(S)'!U82)</f>
        <v>0</v>
      </c>
      <c r="V82" s="6">
        <f>SUM(PACIENTES!V82+COMEDOR!V82+JORNADA!V82+'DIETOLOGÍA(S)'!V82)</f>
        <v>0</v>
      </c>
      <c r="W82" s="6">
        <f>SUM(PACIENTES!W82+COMEDOR!W82+JORNADA!W82+'DIETOLOGÍA(S)'!W82)</f>
        <v>0</v>
      </c>
      <c r="X82" s="6">
        <f>SUM(PACIENTES!X82+COMEDOR!X82+JORNADA!X82+'DIETOLOGÍA(S)'!X82)</f>
        <v>0</v>
      </c>
      <c r="Y82" s="6">
        <f>SUM(PACIENTES!Y82+COMEDOR!Y82+JORNADA!Y82+'DIETOLOGÍA(S)'!Y82)</f>
        <v>0</v>
      </c>
      <c r="Z82" s="6">
        <f>SUM(PACIENTES!Z82+COMEDOR!Z82+JORNADA!Z82+'DIETOLOGÍA(S)'!Z82)</f>
        <v>0</v>
      </c>
      <c r="AA82" s="6">
        <f>SUM(PACIENTES!AA82+COMEDOR!AA82+JORNADA!AA82+'DIETOLOGÍA(S)'!AA82)</f>
        <v>0</v>
      </c>
      <c r="AB82" s="6">
        <f>SUM(PACIENTES!AB82+COMEDOR!AB82+JORNADA!AB82+'DIETOLOGÍA(S)'!AB82)</f>
        <v>0</v>
      </c>
      <c r="AC82" s="6">
        <f>SUM(PACIENTES!AC82+COMEDOR!AC82+JORNADA!AC82+'DIETOLOGÍA(S)'!AC82)</f>
        <v>0</v>
      </c>
      <c r="AD82" s="6">
        <f>SUM(PACIENTES!AD82+COMEDOR!AD82+JORNADA!AD82+'DIETOLOGÍA(S)'!AD82)</f>
        <v>0</v>
      </c>
      <c r="AE82" s="6">
        <f>SUM(PACIENTES!AE82+COMEDOR!AE82+JORNADA!AE82+'DIETOLOGÍA(S)'!AE82)</f>
        <v>0</v>
      </c>
      <c r="AF82" s="6">
        <f>SUM(PACIENTES!AF82+COMEDOR!AF82+JORNADA!AF82+'DIETOLOGÍA(S)'!AF82)</f>
        <v>0</v>
      </c>
      <c r="AG82" s="6">
        <f>SUM(PACIENTES!AG82+COMEDOR!AG82+JORNADA!AG82+'DIETOLOGÍA(S)'!AG82)</f>
        <v>0</v>
      </c>
      <c r="AH82" s="6">
        <f>SUM(PACIENTES!AH82+COMEDOR!AH82+JORNADA!AH82+'DIETOLOGÍA(S)'!AH82)</f>
        <v>0</v>
      </c>
      <c r="AI82" s="9">
        <f t="shared" si="1"/>
        <v>0</v>
      </c>
    </row>
    <row r="83" spans="1:35" ht="15.75" customHeight="1">
      <c r="A83" s="49">
        <v>2212010054</v>
      </c>
      <c r="B83" s="50" t="s">
        <v>88</v>
      </c>
      <c r="C83" s="51" t="s">
        <v>6</v>
      </c>
      <c r="D83" s="6">
        <f>SUM(PACIENTES!D83+COMEDOR!D83+JORNADA!D83+'DIETOLOGÍA(S)'!D83)</f>
        <v>0</v>
      </c>
      <c r="E83" s="6">
        <f>SUM(PACIENTES!E83+COMEDOR!E83+JORNADA!E83+'DIETOLOGÍA(S)'!E83)</f>
        <v>0</v>
      </c>
      <c r="F83" s="6">
        <f>SUM(PACIENTES!F83+COMEDOR!F83+JORNADA!F83+'DIETOLOGÍA(S)'!F83)</f>
        <v>0</v>
      </c>
      <c r="G83" s="6">
        <f>SUM(PACIENTES!G83+COMEDOR!G83+JORNADA!G83+'DIETOLOGÍA(S)'!G83)</f>
        <v>0</v>
      </c>
      <c r="H83" s="6">
        <f>SUM(PACIENTES!H83+COMEDOR!H83+JORNADA!H83+'DIETOLOGÍA(S)'!H83)</f>
        <v>0</v>
      </c>
      <c r="I83" s="6">
        <f>SUM(PACIENTES!I83+COMEDOR!I83+JORNADA!I83+'DIETOLOGÍA(S)'!I83)</f>
        <v>0</v>
      </c>
      <c r="J83" s="6">
        <f>SUM(PACIENTES!J83+COMEDOR!J83+JORNADA!J83+'DIETOLOGÍA(S)'!J83)</f>
        <v>1</v>
      </c>
      <c r="K83" s="6">
        <f>SUM(PACIENTES!K83+COMEDOR!K83+JORNADA!K83+'DIETOLOGÍA(S)'!K83)</f>
        <v>0</v>
      </c>
      <c r="L83" s="6">
        <f>SUM(PACIENTES!L83+COMEDOR!L83+JORNADA!L83+'DIETOLOGÍA(S)'!L83)</f>
        <v>0</v>
      </c>
      <c r="M83" s="6">
        <f>SUM(PACIENTES!M83+COMEDOR!M83+JORNADA!M83+'DIETOLOGÍA(S)'!M83)</f>
        <v>0</v>
      </c>
      <c r="N83" s="6">
        <f>SUM(PACIENTES!N83+COMEDOR!N83+JORNADA!N83+'DIETOLOGÍA(S)'!N83)</f>
        <v>0</v>
      </c>
      <c r="O83" s="6">
        <f>SUM(PACIENTES!O83+COMEDOR!O83+JORNADA!O83+'DIETOLOGÍA(S)'!O83)</f>
        <v>0</v>
      </c>
      <c r="P83" s="6">
        <f>SUM(PACIENTES!P83+COMEDOR!P83+JORNADA!P83+'DIETOLOGÍA(S)'!P83)</f>
        <v>0</v>
      </c>
      <c r="Q83" s="6">
        <f>SUM(PACIENTES!Q83+COMEDOR!Q83+JORNADA!Q83+'DIETOLOGÍA(S)'!Q83)</f>
        <v>0</v>
      </c>
      <c r="R83" s="6">
        <f>SUM(PACIENTES!R83+COMEDOR!R83+JORNADA!R83+'DIETOLOGÍA(S)'!R83)</f>
        <v>0</v>
      </c>
      <c r="S83" s="6">
        <f>SUM(PACIENTES!S83+COMEDOR!S83+JORNADA!S83+'DIETOLOGÍA(S)'!S83)</f>
        <v>0</v>
      </c>
      <c r="T83" s="6">
        <f>SUM(PACIENTES!T83+COMEDOR!T83+JORNADA!T83+'DIETOLOGÍA(S)'!T83)</f>
        <v>0</v>
      </c>
      <c r="U83" s="6">
        <f>SUM(PACIENTES!U83+COMEDOR!U83+JORNADA!U83+'DIETOLOGÍA(S)'!U83)</f>
        <v>0</v>
      </c>
      <c r="V83" s="6">
        <f>SUM(PACIENTES!V83+COMEDOR!V83+JORNADA!V83+'DIETOLOGÍA(S)'!V83)</f>
        <v>0</v>
      </c>
      <c r="W83" s="6">
        <f>SUM(PACIENTES!W83+COMEDOR!W83+JORNADA!W83+'DIETOLOGÍA(S)'!W83)</f>
        <v>0</v>
      </c>
      <c r="X83" s="6">
        <f>SUM(PACIENTES!X83+COMEDOR!X83+JORNADA!X83+'DIETOLOGÍA(S)'!X83)</f>
        <v>0</v>
      </c>
      <c r="Y83" s="6">
        <f>SUM(PACIENTES!Y83+COMEDOR!Y83+JORNADA!Y83+'DIETOLOGÍA(S)'!Y83)</f>
        <v>0</v>
      </c>
      <c r="Z83" s="6">
        <f>SUM(PACIENTES!Z83+COMEDOR!Z83+JORNADA!Z83+'DIETOLOGÍA(S)'!Z83)</f>
        <v>0</v>
      </c>
      <c r="AA83" s="6">
        <f>SUM(PACIENTES!AA83+COMEDOR!AA83+JORNADA!AA83+'DIETOLOGÍA(S)'!AA83)</f>
        <v>0</v>
      </c>
      <c r="AB83" s="6">
        <f>SUM(PACIENTES!AB83+COMEDOR!AB83+JORNADA!AB83+'DIETOLOGÍA(S)'!AB83)</f>
        <v>0</v>
      </c>
      <c r="AC83" s="6">
        <f>SUM(PACIENTES!AC83+COMEDOR!AC83+JORNADA!AC83+'DIETOLOGÍA(S)'!AC83)</f>
        <v>0</v>
      </c>
      <c r="AD83" s="6">
        <f>SUM(PACIENTES!AD83+COMEDOR!AD83+JORNADA!AD83+'DIETOLOGÍA(S)'!AD83)</f>
        <v>0</v>
      </c>
      <c r="AE83" s="6">
        <f>SUM(PACIENTES!AE83+COMEDOR!AE83+JORNADA!AE83+'DIETOLOGÍA(S)'!AE83)</f>
        <v>0</v>
      </c>
      <c r="AF83" s="6">
        <f>SUM(PACIENTES!AF83+COMEDOR!AF83+JORNADA!AF83+'DIETOLOGÍA(S)'!AF83)</f>
        <v>0</v>
      </c>
      <c r="AG83" s="6">
        <f>SUM(PACIENTES!AG83+COMEDOR!AG83+JORNADA!AG83+'DIETOLOGÍA(S)'!AG83)</f>
        <v>0</v>
      </c>
      <c r="AH83" s="6">
        <f>SUM(PACIENTES!AH83+COMEDOR!AH83+JORNADA!AH83+'DIETOLOGÍA(S)'!AH83)</f>
        <v>0</v>
      </c>
      <c r="AI83" s="9">
        <f t="shared" si="1"/>
        <v>1</v>
      </c>
    </row>
    <row r="84" spans="1:35" ht="15.75" customHeight="1">
      <c r="A84" s="49">
        <v>2212010055</v>
      </c>
      <c r="B84" s="50" t="s">
        <v>89</v>
      </c>
      <c r="C84" s="51" t="s">
        <v>6</v>
      </c>
      <c r="D84" s="6">
        <f>SUM(PACIENTES!D84+COMEDOR!D84+JORNADA!D84+'DIETOLOGÍA(S)'!D84)</f>
        <v>0</v>
      </c>
      <c r="E84" s="6">
        <f>SUM(PACIENTES!E84+COMEDOR!E84+JORNADA!E84+'DIETOLOGÍA(S)'!E84)</f>
        <v>0</v>
      </c>
      <c r="F84" s="6">
        <f>SUM(PACIENTES!F84+COMEDOR!F84+JORNADA!F84+'DIETOLOGÍA(S)'!F84)</f>
        <v>0</v>
      </c>
      <c r="G84" s="6">
        <f>SUM(PACIENTES!G84+COMEDOR!G84+JORNADA!G84+'DIETOLOGÍA(S)'!G84)</f>
        <v>0</v>
      </c>
      <c r="H84" s="6">
        <f>SUM(PACIENTES!H84+COMEDOR!H84+JORNADA!H84+'DIETOLOGÍA(S)'!H84)</f>
        <v>0</v>
      </c>
      <c r="I84" s="6">
        <f>SUM(PACIENTES!I84+COMEDOR!I84+JORNADA!I84+'DIETOLOGÍA(S)'!I84)</f>
        <v>0</v>
      </c>
      <c r="J84" s="6">
        <f>SUM(PACIENTES!J84+COMEDOR!J84+JORNADA!J84+'DIETOLOGÍA(S)'!J84)</f>
        <v>1</v>
      </c>
      <c r="K84" s="6">
        <f>SUM(PACIENTES!K84+COMEDOR!K84+JORNADA!K84+'DIETOLOGÍA(S)'!K84)</f>
        <v>0</v>
      </c>
      <c r="L84" s="6">
        <f>SUM(PACIENTES!L84+COMEDOR!L84+JORNADA!L84+'DIETOLOGÍA(S)'!L84)</f>
        <v>0</v>
      </c>
      <c r="M84" s="6">
        <f>SUM(PACIENTES!M84+COMEDOR!M84+JORNADA!M84+'DIETOLOGÍA(S)'!M84)</f>
        <v>0</v>
      </c>
      <c r="N84" s="6">
        <f>SUM(PACIENTES!N84+COMEDOR!N84+JORNADA!N84+'DIETOLOGÍA(S)'!N84)</f>
        <v>0</v>
      </c>
      <c r="O84" s="6">
        <f>SUM(PACIENTES!O84+COMEDOR!O84+JORNADA!O84+'DIETOLOGÍA(S)'!O84)</f>
        <v>0</v>
      </c>
      <c r="P84" s="6">
        <f>SUM(PACIENTES!P84+COMEDOR!P84+JORNADA!P84+'DIETOLOGÍA(S)'!P84)</f>
        <v>0</v>
      </c>
      <c r="Q84" s="6">
        <f>SUM(PACIENTES!Q84+COMEDOR!Q84+JORNADA!Q84+'DIETOLOGÍA(S)'!Q84)</f>
        <v>1</v>
      </c>
      <c r="R84" s="6">
        <f>SUM(PACIENTES!R84+COMEDOR!R84+JORNADA!R84+'DIETOLOGÍA(S)'!R84)</f>
        <v>0</v>
      </c>
      <c r="S84" s="6">
        <f>SUM(PACIENTES!S84+COMEDOR!S84+JORNADA!S84+'DIETOLOGÍA(S)'!S84)</f>
        <v>0</v>
      </c>
      <c r="T84" s="6">
        <f>SUM(PACIENTES!T84+COMEDOR!T84+JORNADA!T84+'DIETOLOGÍA(S)'!T84)</f>
        <v>0</v>
      </c>
      <c r="U84" s="6">
        <f>SUM(PACIENTES!U84+COMEDOR!U84+JORNADA!U84+'DIETOLOGÍA(S)'!U84)</f>
        <v>0</v>
      </c>
      <c r="V84" s="6">
        <f>SUM(PACIENTES!V84+COMEDOR!V84+JORNADA!V84+'DIETOLOGÍA(S)'!V84)</f>
        <v>0</v>
      </c>
      <c r="W84" s="6">
        <f>SUM(PACIENTES!W84+COMEDOR!W84+JORNADA!W84+'DIETOLOGÍA(S)'!W84)</f>
        <v>0</v>
      </c>
      <c r="X84" s="6">
        <f>SUM(PACIENTES!X84+COMEDOR!X84+JORNADA!X84+'DIETOLOGÍA(S)'!X84)</f>
        <v>1</v>
      </c>
      <c r="Y84" s="6">
        <f>SUM(PACIENTES!Y84+COMEDOR!Y84+JORNADA!Y84+'DIETOLOGÍA(S)'!Y84)</f>
        <v>0</v>
      </c>
      <c r="Z84" s="6">
        <f>SUM(PACIENTES!Z84+COMEDOR!Z84+JORNADA!Z84+'DIETOLOGÍA(S)'!Z84)</f>
        <v>0</v>
      </c>
      <c r="AA84" s="6">
        <f>SUM(PACIENTES!AA84+COMEDOR!AA84+JORNADA!AA84+'DIETOLOGÍA(S)'!AA84)</f>
        <v>0</v>
      </c>
      <c r="AB84" s="6">
        <f>SUM(PACIENTES!AB84+COMEDOR!AB84+JORNADA!AB84+'DIETOLOGÍA(S)'!AB84)</f>
        <v>0</v>
      </c>
      <c r="AC84" s="6">
        <f>SUM(PACIENTES!AC84+COMEDOR!AC84+JORNADA!AC84+'DIETOLOGÍA(S)'!AC84)</f>
        <v>0</v>
      </c>
      <c r="AD84" s="6">
        <f>SUM(PACIENTES!AD84+COMEDOR!AD84+JORNADA!AD84+'DIETOLOGÍA(S)'!AD84)</f>
        <v>0</v>
      </c>
      <c r="AE84" s="6">
        <f>SUM(PACIENTES!AE84+COMEDOR!AE84+JORNADA!AE84+'DIETOLOGÍA(S)'!AE84)</f>
        <v>1</v>
      </c>
      <c r="AF84" s="6">
        <f>SUM(PACIENTES!AF84+COMEDOR!AF84+JORNADA!AF84+'DIETOLOGÍA(S)'!AF84)</f>
        <v>0</v>
      </c>
      <c r="AG84" s="6">
        <f>SUM(PACIENTES!AG84+COMEDOR!AG84+JORNADA!AG84+'DIETOLOGÍA(S)'!AG84)</f>
        <v>0</v>
      </c>
      <c r="AH84" s="6">
        <f>SUM(PACIENTES!AH84+COMEDOR!AH84+JORNADA!AH84+'DIETOLOGÍA(S)'!AH84)</f>
        <v>0</v>
      </c>
      <c r="AI84" s="9">
        <f t="shared" si="1"/>
        <v>4</v>
      </c>
    </row>
    <row r="85" spans="1:35" ht="15.75" customHeight="1">
      <c r="A85" s="49">
        <v>2212010056</v>
      </c>
      <c r="B85" s="50" t="s">
        <v>90</v>
      </c>
      <c r="C85" s="51" t="s">
        <v>8</v>
      </c>
      <c r="D85" s="6">
        <f>SUM(PACIENTES!D85+COMEDOR!D85+JORNADA!D85+'DIETOLOGÍA(S)'!D85)</f>
        <v>0</v>
      </c>
      <c r="E85" s="6">
        <f>SUM(PACIENTES!E85+COMEDOR!E85+JORNADA!E85+'DIETOLOGÍA(S)'!E85)</f>
        <v>0</v>
      </c>
      <c r="F85" s="6">
        <f>SUM(PACIENTES!F85+COMEDOR!F85+JORNADA!F85+'DIETOLOGÍA(S)'!F85)</f>
        <v>0</v>
      </c>
      <c r="G85" s="6">
        <f>SUM(PACIENTES!G85+COMEDOR!G85+JORNADA!G85+'DIETOLOGÍA(S)'!G85)</f>
        <v>0</v>
      </c>
      <c r="H85" s="6">
        <f>SUM(PACIENTES!H85+COMEDOR!H85+JORNADA!H85+'DIETOLOGÍA(S)'!H85)</f>
        <v>0</v>
      </c>
      <c r="I85" s="6">
        <f>SUM(PACIENTES!I85+COMEDOR!I85+JORNADA!I85+'DIETOLOGÍA(S)'!I85)</f>
        <v>0</v>
      </c>
      <c r="J85" s="6">
        <f>SUM(PACIENTES!J85+COMEDOR!J85+JORNADA!J85+'DIETOLOGÍA(S)'!J85)</f>
        <v>0</v>
      </c>
      <c r="K85" s="6">
        <f>SUM(PACIENTES!K85+COMEDOR!K85+JORNADA!K85+'DIETOLOGÍA(S)'!K85)</f>
        <v>0</v>
      </c>
      <c r="L85" s="6">
        <f>SUM(PACIENTES!L85+COMEDOR!L85+JORNADA!L85+'DIETOLOGÍA(S)'!L85)</f>
        <v>0</v>
      </c>
      <c r="M85" s="6">
        <f>SUM(PACIENTES!M85+COMEDOR!M85+JORNADA!M85+'DIETOLOGÍA(S)'!M85)</f>
        <v>0</v>
      </c>
      <c r="N85" s="6">
        <f>SUM(PACIENTES!N85+COMEDOR!N85+JORNADA!N85+'DIETOLOGÍA(S)'!N85)</f>
        <v>0</v>
      </c>
      <c r="O85" s="6">
        <f>SUM(PACIENTES!O85+COMEDOR!O85+JORNADA!O85+'DIETOLOGÍA(S)'!O85)</f>
        <v>0</v>
      </c>
      <c r="P85" s="6">
        <f>SUM(PACIENTES!P85+COMEDOR!P85+JORNADA!P85+'DIETOLOGÍA(S)'!P85)</f>
        <v>0</v>
      </c>
      <c r="Q85" s="6">
        <f>SUM(PACIENTES!Q85+COMEDOR!Q85+JORNADA!Q85+'DIETOLOGÍA(S)'!Q85)</f>
        <v>0</v>
      </c>
      <c r="R85" s="6">
        <f>SUM(PACIENTES!R85+COMEDOR!R85+JORNADA!R85+'DIETOLOGÍA(S)'!R85)</f>
        <v>0</v>
      </c>
      <c r="S85" s="6">
        <f>SUM(PACIENTES!S85+COMEDOR!S85+JORNADA!S85+'DIETOLOGÍA(S)'!S85)</f>
        <v>0</v>
      </c>
      <c r="T85" s="6">
        <f>SUM(PACIENTES!T85+COMEDOR!T85+JORNADA!T85+'DIETOLOGÍA(S)'!T85)</f>
        <v>0</v>
      </c>
      <c r="U85" s="6">
        <f>SUM(PACIENTES!U85+COMEDOR!U85+JORNADA!U85+'DIETOLOGÍA(S)'!U85)</f>
        <v>0</v>
      </c>
      <c r="V85" s="6">
        <f>SUM(PACIENTES!V85+COMEDOR!V85+JORNADA!V85+'DIETOLOGÍA(S)'!V85)</f>
        <v>0</v>
      </c>
      <c r="W85" s="6">
        <f>SUM(PACIENTES!W85+COMEDOR!W85+JORNADA!W85+'DIETOLOGÍA(S)'!W85)</f>
        <v>0</v>
      </c>
      <c r="X85" s="6">
        <f>SUM(PACIENTES!X85+COMEDOR!X85+JORNADA!X85+'DIETOLOGÍA(S)'!X85)</f>
        <v>0</v>
      </c>
      <c r="Y85" s="6">
        <f>SUM(PACIENTES!Y85+COMEDOR!Y85+JORNADA!Y85+'DIETOLOGÍA(S)'!Y85)</f>
        <v>0</v>
      </c>
      <c r="Z85" s="6">
        <f>SUM(PACIENTES!Z85+COMEDOR!Z85+JORNADA!Z85+'DIETOLOGÍA(S)'!Z85)</f>
        <v>0</v>
      </c>
      <c r="AA85" s="6">
        <f>SUM(PACIENTES!AA85+COMEDOR!AA85+JORNADA!AA85+'DIETOLOGÍA(S)'!AA85)</f>
        <v>0</v>
      </c>
      <c r="AB85" s="6">
        <f>SUM(PACIENTES!AB85+COMEDOR!AB85+JORNADA!AB85+'DIETOLOGÍA(S)'!AB85)</f>
        <v>0</v>
      </c>
      <c r="AC85" s="6">
        <f>SUM(PACIENTES!AC85+COMEDOR!AC85+JORNADA!AC85+'DIETOLOGÍA(S)'!AC85)</f>
        <v>0</v>
      </c>
      <c r="AD85" s="6">
        <f>SUM(PACIENTES!AD85+COMEDOR!AD85+JORNADA!AD85+'DIETOLOGÍA(S)'!AD85)</f>
        <v>0</v>
      </c>
      <c r="AE85" s="6">
        <f>SUM(PACIENTES!AE85+COMEDOR!AE85+JORNADA!AE85+'DIETOLOGÍA(S)'!AE85)</f>
        <v>0</v>
      </c>
      <c r="AF85" s="6">
        <f>SUM(PACIENTES!AF85+COMEDOR!AF85+JORNADA!AF85+'DIETOLOGÍA(S)'!AF85)</f>
        <v>0</v>
      </c>
      <c r="AG85" s="6">
        <f>SUM(PACIENTES!AG85+COMEDOR!AG85+JORNADA!AG85+'DIETOLOGÍA(S)'!AG85)</f>
        <v>0</v>
      </c>
      <c r="AH85" s="6">
        <f>SUM(PACIENTES!AH85+COMEDOR!AH85+JORNADA!AH85+'DIETOLOGÍA(S)'!AH85)</f>
        <v>0</v>
      </c>
      <c r="AI85" s="9">
        <f t="shared" si="1"/>
        <v>0</v>
      </c>
    </row>
    <row r="86" spans="1:35" ht="15.75" customHeight="1">
      <c r="A86" s="49">
        <v>2212010057</v>
      </c>
      <c r="B86" s="50" t="s">
        <v>91</v>
      </c>
      <c r="C86" s="51" t="s">
        <v>8</v>
      </c>
      <c r="D86" s="6">
        <f>SUM(PACIENTES!D86+COMEDOR!D86+JORNADA!D86+'DIETOLOGÍA(S)'!D86)</f>
        <v>0</v>
      </c>
      <c r="E86" s="6">
        <f>SUM(PACIENTES!E86+COMEDOR!E86+JORNADA!E86+'DIETOLOGÍA(S)'!E86)</f>
        <v>0</v>
      </c>
      <c r="F86" s="6">
        <f>SUM(PACIENTES!F86+COMEDOR!F86+JORNADA!F86+'DIETOLOGÍA(S)'!F86)</f>
        <v>0</v>
      </c>
      <c r="G86" s="6">
        <f>SUM(PACIENTES!G86+COMEDOR!G86+JORNADA!G86+'DIETOLOGÍA(S)'!G86)</f>
        <v>0</v>
      </c>
      <c r="H86" s="6">
        <f>SUM(PACIENTES!H86+COMEDOR!H86+JORNADA!H86+'DIETOLOGÍA(S)'!H86)</f>
        <v>0</v>
      </c>
      <c r="I86" s="6">
        <f>SUM(PACIENTES!I86+COMEDOR!I86+JORNADA!I86+'DIETOLOGÍA(S)'!I86)</f>
        <v>0</v>
      </c>
      <c r="J86" s="6">
        <f>SUM(PACIENTES!J86+COMEDOR!J86+JORNADA!J86+'DIETOLOGÍA(S)'!J86)</f>
        <v>0</v>
      </c>
      <c r="K86" s="6">
        <f>SUM(PACIENTES!K86+COMEDOR!K86+JORNADA!K86+'DIETOLOGÍA(S)'!K86)</f>
        <v>0</v>
      </c>
      <c r="L86" s="6">
        <f>SUM(PACIENTES!L86+COMEDOR!L86+JORNADA!L86+'DIETOLOGÍA(S)'!L86)</f>
        <v>0</v>
      </c>
      <c r="M86" s="6">
        <f>SUM(PACIENTES!M86+COMEDOR!M86+JORNADA!M86+'DIETOLOGÍA(S)'!M86)</f>
        <v>0</v>
      </c>
      <c r="N86" s="6">
        <f>SUM(PACIENTES!N86+COMEDOR!N86+JORNADA!N86+'DIETOLOGÍA(S)'!N86)</f>
        <v>0</v>
      </c>
      <c r="O86" s="6">
        <f>SUM(PACIENTES!O86+COMEDOR!O86+JORNADA!O86+'DIETOLOGÍA(S)'!O86)</f>
        <v>0</v>
      </c>
      <c r="P86" s="6">
        <f>SUM(PACIENTES!P86+COMEDOR!P86+JORNADA!P86+'DIETOLOGÍA(S)'!P86)</f>
        <v>0</v>
      </c>
      <c r="Q86" s="6">
        <f>SUM(PACIENTES!Q86+COMEDOR!Q86+JORNADA!Q86+'DIETOLOGÍA(S)'!Q86)</f>
        <v>0</v>
      </c>
      <c r="R86" s="6">
        <f>SUM(PACIENTES!R86+COMEDOR!R86+JORNADA!R86+'DIETOLOGÍA(S)'!R86)</f>
        <v>0</v>
      </c>
      <c r="S86" s="6">
        <f>SUM(PACIENTES!S86+COMEDOR!S86+JORNADA!S86+'DIETOLOGÍA(S)'!S86)</f>
        <v>0</v>
      </c>
      <c r="T86" s="6">
        <f>SUM(PACIENTES!T86+COMEDOR!T86+JORNADA!T86+'DIETOLOGÍA(S)'!T86)</f>
        <v>0</v>
      </c>
      <c r="U86" s="6">
        <f>SUM(PACIENTES!U86+COMEDOR!U86+JORNADA!U86+'DIETOLOGÍA(S)'!U86)</f>
        <v>0</v>
      </c>
      <c r="V86" s="6">
        <f>SUM(PACIENTES!V86+COMEDOR!V86+JORNADA!V86+'DIETOLOGÍA(S)'!V86)</f>
        <v>0</v>
      </c>
      <c r="W86" s="6">
        <f>SUM(PACIENTES!W86+COMEDOR!W86+JORNADA!W86+'DIETOLOGÍA(S)'!W86)</f>
        <v>0</v>
      </c>
      <c r="X86" s="6">
        <f>SUM(PACIENTES!X86+COMEDOR!X86+JORNADA!X86+'DIETOLOGÍA(S)'!X86)</f>
        <v>0</v>
      </c>
      <c r="Y86" s="6">
        <f>SUM(PACIENTES!Y86+COMEDOR!Y86+JORNADA!Y86+'DIETOLOGÍA(S)'!Y86)</f>
        <v>0</v>
      </c>
      <c r="Z86" s="6">
        <f>SUM(PACIENTES!Z86+COMEDOR!Z86+JORNADA!Z86+'DIETOLOGÍA(S)'!Z86)</f>
        <v>0</v>
      </c>
      <c r="AA86" s="6">
        <f>SUM(PACIENTES!AA86+COMEDOR!AA86+JORNADA!AA86+'DIETOLOGÍA(S)'!AA86)</f>
        <v>0</v>
      </c>
      <c r="AB86" s="6">
        <f>SUM(PACIENTES!AB86+COMEDOR!AB86+JORNADA!AB86+'DIETOLOGÍA(S)'!AB86)</f>
        <v>0</v>
      </c>
      <c r="AC86" s="6">
        <f>SUM(PACIENTES!AC86+COMEDOR!AC86+JORNADA!AC86+'DIETOLOGÍA(S)'!AC86)</f>
        <v>0</v>
      </c>
      <c r="AD86" s="6">
        <f>SUM(PACIENTES!AD86+COMEDOR!AD86+JORNADA!AD86+'DIETOLOGÍA(S)'!AD86)</f>
        <v>0</v>
      </c>
      <c r="AE86" s="6">
        <f>SUM(PACIENTES!AE86+COMEDOR!AE86+JORNADA!AE86+'DIETOLOGÍA(S)'!AE86)</f>
        <v>0</v>
      </c>
      <c r="AF86" s="6">
        <f>SUM(PACIENTES!AF86+COMEDOR!AF86+JORNADA!AF86+'DIETOLOGÍA(S)'!AF86)</f>
        <v>0</v>
      </c>
      <c r="AG86" s="6">
        <f>SUM(PACIENTES!AG86+COMEDOR!AG86+JORNADA!AG86+'DIETOLOGÍA(S)'!AG86)</f>
        <v>0</v>
      </c>
      <c r="AH86" s="6">
        <f>SUM(PACIENTES!AH86+COMEDOR!AH86+JORNADA!AH86+'DIETOLOGÍA(S)'!AH86)</f>
        <v>0</v>
      </c>
      <c r="AI86" s="9">
        <f t="shared" si="1"/>
        <v>0</v>
      </c>
    </row>
    <row r="87" spans="1:35" ht="15.75" customHeight="1">
      <c r="A87" s="49">
        <v>2212010058</v>
      </c>
      <c r="B87" s="50" t="s">
        <v>92</v>
      </c>
      <c r="C87" s="51" t="s">
        <v>6</v>
      </c>
      <c r="D87" s="6">
        <f>SUM(PACIENTES!D87+COMEDOR!D87+JORNADA!D87+'DIETOLOGÍA(S)'!D87)</f>
        <v>0</v>
      </c>
      <c r="E87" s="6">
        <f>SUM(PACIENTES!E87+COMEDOR!E87+JORNADA!E87+'DIETOLOGÍA(S)'!E87)</f>
        <v>0</v>
      </c>
      <c r="F87" s="6">
        <f>SUM(PACIENTES!F87+COMEDOR!F87+JORNADA!F87+'DIETOLOGÍA(S)'!F87)</f>
        <v>0</v>
      </c>
      <c r="G87" s="6">
        <f>SUM(PACIENTES!G87+COMEDOR!G87+JORNADA!G87+'DIETOLOGÍA(S)'!G87)</f>
        <v>0</v>
      </c>
      <c r="H87" s="6">
        <f>SUM(PACIENTES!H87+COMEDOR!H87+JORNADA!H87+'DIETOLOGÍA(S)'!H87)</f>
        <v>0</v>
      </c>
      <c r="I87" s="6">
        <f>SUM(PACIENTES!I87+COMEDOR!I87+JORNADA!I87+'DIETOLOGÍA(S)'!I87)</f>
        <v>0</v>
      </c>
      <c r="J87" s="6">
        <f>SUM(PACIENTES!J87+COMEDOR!J87+JORNADA!J87+'DIETOLOGÍA(S)'!J87)</f>
        <v>1</v>
      </c>
      <c r="K87" s="6">
        <f>SUM(PACIENTES!K87+COMEDOR!K87+JORNADA!K87+'DIETOLOGÍA(S)'!K87)</f>
        <v>0</v>
      </c>
      <c r="L87" s="6">
        <f>SUM(PACIENTES!L87+COMEDOR!L87+JORNADA!L87+'DIETOLOGÍA(S)'!L87)</f>
        <v>0</v>
      </c>
      <c r="M87" s="6">
        <f>SUM(PACIENTES!M87+COMEDOR!M87+JORNADA!M87+'DIETOLOGÍA(S)'!M87)</f>
        <v>0</v>
      </c>
      <c r="N87" s="6">
        <f>SUM(PACIENTES!N87+COMEDOR!N87+JORNADA!N87+'DIETOLOGÍA(S)'!N87)</f>
        <v>0</v>
      </c>
      <c r="O87" s="6">
        <f>SUM(PACIENTES!O87+COMEDOR!O87+JORNADA!O87+'DIETOLOGÍA(S)'!O87)</f>
        <v>0</v>
      </c>
      <c r="P87" s="6">
        <f>SUM(PACIENTES!P87+COMEDOR!P87+JORNADA!P87+'DIETOLOGÍA(S)'!P87)</f>
        <v>0</v>
      </c>
      <c r="Q87" s="6">
        <f>SUM(PACIENTES!Q87+COMEDOR!Q87+JORNADA!Q87+'DIETOLOGÍA(S)'!Q87)</f>
        <v>1</v>
      </c>
      <c r="R87" s="6">
        <f>SUM(PACIENTES!R87+COMEDOR!R87+JORNADA!R87+'DIETOLOGÍA(S)'!R87)</f>
        <v>6</v>
      </c>
      <c r="S87" s="6">
        <f>SUM(PACIENTES!S87+COMEDOR!S87+JORNADA!S87+'DIETOLOGÍA(S)'!S87)</f>
        <v>0</v>
      </c>
      <c r="T87" s="6">
        <f>SUM(PACIENTES!T87+COMEDOR!T87+JORNADA!T87+'DIETOLOGÍA(S)'!T87)</f>
        <v>0</v>
      </c>
      <c r="U87" s="6">
        <f>SUM(PACIENTES!U87+COMEDOR!U87+JORNADA!U87+'DIETOLOGÍA(S)'!U87)</f>
        <v>0</v>
      </c>
      <c r="V87" s="6">
        <f>SUM(PACIENTES!V87+COMEDOR!V87+JORNADA!V87+'DIETOLOGÍA(S)'!V87)</f>
        <v>0</v>
      </c>
      <c r="W87" s="6">
        <f>SUM(PACIENTES!W87+COMEDOR!W87+JORNADA!W87+'DIETOLOGÍA(S)'!W87)</f>
        <v>0</v>
      </c>
      <c r="X87" s="6">
        <f>SUM(PACIENTES!X87+COMEDOR!X87+JORNADA!X87+'DIETOLOGÍA(S)'!X87)</f>
        <v>1</v>
      </c>
      <c r="Y87" s="6">
        <f>SUM(PACIENTES!Y87+COMEDOR!Y87+JORNADA!Y87+'DIETOLOGÍA(S)'!Y87)</f>
        <v>0</v>
      </c>
      <c r="Z87" s="6">
        <f>SUM(PACIENTES!Z87+COMEDOR!Z87+JORNADA!Z87+'DIETOLOGÍA(S)'!Z87)</f>
        <v>0</v>
      </c>
      <c r="AA87" s="6">
        <f>SUM(PACIENTES!AA87+COMEDOR!AA87+JORNADA!AA87+'DIETOLOGÍA(S)'!AA87)</f>
        <v>0</v>
      </c>
      <c r="AB87" s="6">
        <f>SUM(PACIENTES!AB87+COMEDOR!AB87+JORNADA!AB87+'DIETOLOGÍA(S)'!AB87)</f>
        <v>0</v>
      </c>
      <c r="AC87" s="6">
        <f>SUM(PACIENTES!AC87+COMEDOR!AC87+JORNADA!AC87+'DIETOLOGÍA(S)'!AC87)</f>
        <v>0</v>
      </c>
      <c r="AD87" s="6">
        <f>SUM(PACIENTES!AD87+COMEDOR!AD87+JORNADA!AD87+'DIETOLOGÍA(S)'!AD87)</f>
        <v>0</v>
      </c>
      <c r="AE87" s="6">
        <f>SUM(PACIENTES!AE87+COMEDOR!AE87+JORNADA!AE87+'DIETOLOGÍA(S)'!AE87)</f>
        <v>8</v>
      </c>
      <c r="AF87" s="6">
        <f>SUM(PACIENTES!AF87+COMEDOR!AF87+JORNADA!AF87+'DIETOLOGÍA(S)'!AF87)</f>
        <v>0</v>
      </c>
      <c r="AG87" s="6">
        <f>SUM(PACIENTES!AG87+COMEDOR!AG87+JORNADA!AG87+'DIETOLOGÍA(S)'!AG87)</f>
        <v>0</v>
      </c>
      <c r="AH87" s="6">
        <f>SUM(PACIENTES!AH87+COMEDOR!AH87+JORNADA!AH87+'DIETOLOGÍA(S)'!AH87)</f>
        <v>7</v>
      </c>
      <c r="AI87" s="9">
        <f t="shared" si="1"/>
        <v>24</v>
      </c>
    </row>
    <row r="88" spans="1:35" ht="15.75" customHeight="1">
      <c r="A88" s="49">
        <v>2212010060</v>
      </c>
      <c r="B88" s="50" t="s">
        <v>93</v>
      </c>
      <c r="C88" s="51" t="s">
        <v>6</v>
      </c>
      <c r="D88" s="6">
        <f>SUM(PACIENTES!D88+COMEDOR!D88+JORNADA!D88+'DIETOLOGÍA(S)'!D88)</f>
        <v>0</v>
      </c>
      <c r="E88" s="6">
        <f>SUM(PACIENTES!E88+COMEDOR!E88+JORNADA!E88+'DIETOLOGÍA(S)'!E88)</f>
        <v>0</v>
      </c>
      <c r="F88" s="6">
        <f>SUM(PACIENTES!F88+COMEDOR!F88+JORNADA!F88+'DIETOLOGÍA(S)'!F88)</f>
        <v>0</v>
      </c>
      <c r="G88" s="6">
        <f>SUM(PACIENTES!G88+COMEDOR!G88+JORNADA!G88+'DIETOLOGÍA(S)'!G88)</f>
        <v>0</v>
      </c>
      <c r="H88" s="6">
        <f>SUM(PACIENTES!H88+COMEDOR!H88+JORNADA!H88+'DIETOLOGÍA(S)'!H88)</f>
        <v>0</v>
      </c>
      <c r="I88" s="6">
        <f>SUM(PACIENTES!I88+COMEDOR!I88+JORNADA!I88+'DIETOLOGÍA(S)'!I88)</f>
        <v>0</v>
      </c>
      <c r="J88" s="6">
        <f>SUM(PACIENTES!J88+COMEDOR!J88+JORNADA!J88+'DIETOLOGÍA(S)'!J88)</f>
        <v>1</v>
      </c>
      <c r="K88" s="6">
        <f>SUM(PACIENTES!K88+COMEDOR!K88+JORNADA!K88+'DIETOLOGÍA(S)'!K88)</f>
        <v>0</v>
      </c>
      <c r="L88" s="6">
        <f>SUM(PACIENTES!L88+COMEDOR!L88+JORNADA!L88+'DIETOLOGÍA(S)'!L88)</f>
        <v>0</v>
      </c>
      <c r="M88" s="6">
        <f>SUM(PACIENTES!M88+COMEDOR!M88+JORNADA!M88+'DIETOLOGÍA(S)'!M88)</f>
        <v>0</v>
      </c>
      <c r="N88" s="6">
        <f>SUM(PACIENTES!N88+COMEDOR!N88+JORNADA!N88+'DIETOLOGÍA(S)'!N88)</f>
        <v>0</v>
      </c>
      <c r="O88" s="6">
        <f>SUM(PACIENTES!O88+COMEDOR!O88+JORNADA!O88+'DIETOLOGÍA(S)'!O88)</f>
        <v>0</v>
      </c>
      <c r="P88" s="6">
        <f>SUM(PACIENTES!P88+COMEDOR!P88+JORNADA!P88+'DIETOLOGÍA(S)'!P88)</f>
        <v>0</v>
      </c>
      <c r="Q88" s="6">
        <f>SUM(PACIENTES!Q88+COMEDOR!Q88+JORNADA!Q88+'DIETOLOGÍA(S)'!Q88)</f>
        <v>0</v>
      </c>
      <c r="R88" s="6">
        <f>SUM(PACIENTES!R88+COMEDOR!R88+JORNADA!R88+'DIETOLOGÍA(S)'!R88)</f>
        <v>0</v>
      </c>
      <c r="S88" s="6">
        <f>SUM(PACIENTES!S88+COMEDOR!S88+JORNADA!S88+'DIETOLOGÍA(S)'!S88)</f>
        <v>0</v>
      </c>
      <c r="T88" s="6">
        <f>SUM(PACIENTES!T88+COMEDOR!T88+JORNADA!T88+'DIETOLOGÍA(S)'!T88)</f>
        <v>0</v>
      </c>
      <c r="U88" s="6">
        <f>SUM(PACIENTES!U88+COMEDOR!U88+JORNADA!U88+'DIETOLOGÍA(S)'!U88)</f>
        <v>0</v>
      </c>
      <c r="V88" s="6">
        <f>SUM(PACIENTES!V88+COMEDOR!V88+JORNADA!V88+'DIETOLOGÍA(S)'!V88)</f>
        <v>0</v>
      </c>
      <c r="W88" s="6">
        <f>SUM(PACIENTES!W88+COMEDOR!W88+JORNADA!W88+'DIETOLOGÍA(S)'!W88)</f>
        <v>0</v>
      </c>
      <c r="X88" s="6">
        <f>SUM(PACIENTES!X88+COMEDOR!X88+JORNADA!X88+'DIETOLOGÍA(S)'!X88)</f>
        <v>0</v>
      </c>
      <c r="Y88" s="6">
        <f>SUM(PACIENTES!Y88+COMEDOR!Y88+JORNADA!Y88+'DIETOLOGÍA(S)'!Y88)</f>
        <v>0</v>
      </c>
      <c r="Z88" s="6">
        <f>SUM(PACIENTES!Z88+COMEDOR!Z88+JORNADA!Z88+'DIETOLOGÍA(S)'!Z88)</f>
        <v>0</v>
      </c>
      <c r="AA88" s="6">
        <f>SUM(PACIENTES!AA88+COMEDOR!AA88+JORNADA!AA88+'DIETOLOGÍA(S)'!AA88)</f>
        <v>0</v>
      </c>
      <c r="AB88" s="6">
        <f>SUM(PACIENTES!AB88+COMEDOR!AB88+JORNADA!AB88+'DIETOLOGÍA(S)'!AB88)</f>
        <v>0</v>
      </c>
      <c r="AC88" s="6">
        <f>SUM(PACIENTES!AC88+COMEDOR!AC88+JORNADA!AC88+'DIETOLOGÍA(S)'!AC88)</f>
        <v>0</v>
      </c>
      <c r="AD88" s="6">
        <f>SUM(PACIENTES!AD88+COMEDOR!AD88+JORNADA!AD88+'DIETOLOGÍA(S)'!AD88)</f>
        <v>0</v>
      </c>
      <c r="AE88" s="6">
        <f>SUM(PACIENTES!AE88+COMEDOR!AE88+JORNADA!AE88+'DIETOLOGÍA(S)'!AE88)</f>
        <v>0</v>
      </c>
      <c r="AF88" s="6">
        <f>SUM(PACIENTES!AF88+COMEDOR!AF88+JORNADA!AF88+'DIETOLOGÍA(S)'!AF88)</f>
        <v>0</v>
      </c>
      <c r="AG88" s="6">
        <f>SUM(PACIENTES!AG88+COMEDOR!AG88+JORNADA!AG88+'DIETOLOGÍA(S)'!AG88)</f>
        <v>0</v>
      </c>
      <c r="AH88" s="6">
        <f>SUM(PACIENTES!AH88+COMEDOR!AH88+JORNADA!AH88+'DIETOLOGÍA(S)'!AH88)</f>
        <v>0</v>
      </c>
      <c r="AI88" s="9">
        <f t="shared" si="1"/>
        <v>1</v>
      </c>
    </row>
    <row r="89" spans="1:35" ht="15.75" customHeight="1">
      <c r="A89" s="69">
        <v>2212004040</v>
      </c>
      <c r="B89" s="70" t="s">
        <v>94</v>
      </c>
      <c r="C89" s="71" t="s">
        <v>6</v>
      </c>
      <c r="D89" s="598">
        <f>SUM(PACIENTES!D89+COMEDOR!D89+JORNADA!D89+'DIETOLOGÍA(S)'!D89)</f>
        <v>0</v>
      </c>
      <c r="E89" s="598">
        <f>SUM(PACIENTES!E89+COMEDOR!E89+JORNADA!E89+'DIETOLOGÍA(S)'!E89)</f>
        <v>0</v>
      </c>
      <c r="F89" s="598">
        <f>SUM(PACIENTES!F89+COMEDOR!F89+JORNADA!F89+'DIETOLOGÍA(S)'!F89)</f>
        <v>0</v>
      </c>
      <c r="G89" s="598">
        <f>SUM(PACIENTES!G89+COMEDOR!G89+JORNADA!G89+'DIETOLOGÍA(S)'!G89)</f>
        <v>0</v>
      </c>
      <c r="H89" s="598">
        <f>SUM(PACIENTES!H89+COMEDOR!H89+JORNADA!H89+'DIETOLOGÍA(S)'!H89)</f>
        <v>0</v>
      </c>
      <c r="I89" s="598">
        <f>SUM(PACIENTES!I89+COMEDOR!I89+JORNADA!I89+'DIETOLOGÍA(S)'!I89)</f>
        <v>0</v>
      </c>
      <c r="J89" s="598">
        <f>SUM(PACIENTES!J89+COMEDOR!J89+JORNADA!J89+'DIETOLOGÍA(S)'!J89)</f>
        <v>0</v>
      </c>
      <c r="K89" s="598">
        <f>SUM(PACIENTES!K89+COMEDOR!K89+JORNADA!K89+'DIETOLOGÍA(S)'!K89)</f>
        <v>0</v>
      </c>
      <c r="L89" s="598">
        <f>SUM(PACIENTES!L89+COMEDOR!L89+JORNADA!L89+'DIETOLOGÍA(S)'!L89)</f>
        <v>0</v>
      </c>
      <c r="M89" s="598">
        <f>SUM(PACIENTES!M89+COMEDOR!M89+JORNADA!M89+'DIETOLOGÍA(S)'!M89)</f>
        <v>0</v>
      </c>
      <c r="N89" s="598">
        <f>SUM(PACIENTES!N89+COMEDOR!N89+JORNADA!N89+'DIETOLOGÍA(S)'!N89)</f>
        <v>0</v>
      </c>
      <c r="O89" s="598">
        <f>SUM(PACIENTES!O89+COMEDOR!O89+JORNADA!O89+'DIETOLOGÍA(S)'!O89)</f>
        <v>0</v>
      </c>
      <c r="P89" s="598">
        <f>SUM(PACIENTES!P89+COMEDOR!P89+JORNADA!P89+'DIETOLOGÍA(S)'!P89)</f>
        <v>0</v>
      </c>
      <c r="Q89" s="598">
        <f>SUM(PACIENTES!Q89+COMEDOR!Q89+JORNADA!Q89+'DIETOLOGÍA(S)'!Q89)</f>
        <v>0</v>
      </c>
      <c r="R89" s="598">
        <f>SUM(PACIENTES!R89+COMEDOR!R89+JORNADA!R89+'DIETOLOGÍA(S)'!R89)</f>
        <v>0</v>
      </c>
      <c r="S89" s="598">
        <f>SUM(PACIENTES!S89+COMEDOR!S89+JORNADA!S89+'DIETOLOGÍA(S)'!S89)</f>
        <v>0</v>
      </c>
      <c r="T89" s="598">
        <f>SUM(PACIENTES!T89+COMEDOR!T89+JORNADA!T89+'DIETOLOGÍA(S)'!T89)</f>
        <v>0</v>
      </c>
      <c r="U89" s="598">
        <f>SUM(PACIENTES!U89+COMEDOR!U89+JORNADA!U89+'DIETOLOGÍA(S)'!U89)</f>
        <v>0</v>
      </c>
      <c r="V89" s="598">
        <f>SUM(PACIENTES!V89+COMEDOR!V89+JORNADA!V89+'DIETOLOGÍA(S)'!V89)</f>
        <v>0</v>
      </c>
      <c r="W89" s="598">
        <f>SUM(PACIENTES!W89+COMEDOR!W89+JORNADA!W89+'DIETOLOGÍA(S)'!W89)</f>
        <v>0</v>
      </c>
      <c r="X89" s="598">
        <f>SUM(PACIENTES!X89+COMEDOR!X89+JORNADA!X89+'DIETOLOGÍA(S)'!X89)</f>
        <v>0</v>
      </c>
      <c r="Y89" s="598">
        <f>SUM(PACIENTES!Y89+COMEDOR!Y89+JORNADA!Y89+'DIETOLOGÍA(S)'!Y89)</f>
        <v>0</v>
      </c>
      <c r="Z89" s="598">
        <f>SUM(PACIENTES!Z89+COMEDOR!Z89+JORNADA!Z89+'DIETOLOGÍA(S)'!Z89)</f>
        <v>0</v>
      </c>
      <c r="AA89" s="598">
        <f>SUM(PACIENTES!AA89+COMEDOR!AA89+JORNADA!AA89+'DIETOLOGÍA(S)'!AA89)</f>
        <v>0</v>
      </c>
      <c r="AB89" s="598">
        <f>SUM(PACIENTES!AB89+COMEDOR!AB89+JORNADA!AB89+'DIETOLOGÍA(S)'!AB89)</f>
        <v>0</v>
      </c>
      <c r="AC89" s="598">
        <f>SUM(PACIENTES!AC89+COMEDOR!AC89+JORNADA!AC89+'DIETOLOGÍA(S)'!AC89)</f>
        <v>0</v>
      </c>
      <c r="AD89" s="598">
        <f>SUM(PACIENTES!AD89+COMEDOR!AD89+JORNADA!AD89+'DIETOLOGÍA(S)'!AD89)</f>
        <v>0</v>
      </c>
      <c r="AE89" s="598">
        <f>SUM(PACIENTES!AE89+COMEDOR!AE89+JORNADA!AE89+'DIETOLOGÍA(S)'!AE89)</f>
        <v>0</v>
      </c>
      <c r="AF89" s="598">
        <f>SUM(PACIENTES!AF89+COMEDOR!AF89+JORNADA!AF89+'DIETOLOGÍA(S)'!AF89)</f>
        <v>0</v>
      </c>
      <c r="AG89" s="598">
        <f>SUM(PACIENTES!AG89+COMEDOR!AG89+JORNADA!AG89+'DIETOLOGÍA(S)'!AG89)</f>
        <v>0</v>
      </c>
      <c r="AH89" s="598">
        <f>SUM(PACIENTES!AH89+COMEDOR!AH89+JORNADA!AH89+'DIETOLOGÍA(S)'!AH89)</f>
        <v>0</v>
      </c>
      <c r="AI89" s="40">
        <f t="shared" si="1"/>
        <v>0</v>
      </c>
    </row>
    <row r="90" spans="1:35" ht="18.75" customHeight="1">
      <c r="A90" s="616" t="s">
        <v>95</v>
      </c>
      <c r="B90" s="606"/>
      <c r="C90" s="606"/>
      <c r="D90" s="606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  <c r="P90" s="606"/>
      <c r="Q90" s="606"/>
      <c r="R90" s="606"/>
      <c r="S90" s="606"/>
      <c r="T90" s="606"/>
      <c r="U90" s="606"/>
      <c r="V90" s="606"/>
      <c r="W90" s="606"/>
      <c r="X90" s="606"/>
      <c r="Y90" s="606"/>
      <c r="Z90" s="606"/>
      <c r="AA90" s="606"/>
      <c r="AB90" s="606"/>
      <c r="AC90" s="606"/>
      <c r="AD90" s="606"/>
      <c r="AE90" s="606"/>
      <c r="AF90" s="606"/>
      <c r="AG90" s="606"/>
      <c r="AH90" s="607"/>
      <c r="AI90" s="44"/>
    </row>
    <row r="91" spans="1:35" ht="15.75" customHeight="1">
      <c r="A91" s="74">
        <v>2212002001</v>
      </c>
      <c r="B91" s="75" t="s">
        <v>96</v>
      </c>
      <c r="C91" s="76" t="s">
        <v>6</v>
      </c>
      <c r="D91" s="77">
        <f>SUM(PACIENTES!D91+COMEDOR!D91+JORNADA!D91+'DIETOLOGÍA(S)'!D91)</f>
        <v>0</v>
      </c>
      <c r="E91" s="77">
        <f>SUM(PACIENTES!E91+COMEDOR!E91+JORNADA!E91+'DIETOLOGÍA(S)'!E91)</f>
        <v>0</v>
      </c>
      <c r="F91" s="77">
        <f>SUM(PACIENTES!F91+COMEDOR!F91+JORNADA!F91+'DIETOLOGÍA(S)'!F91)</f>
        <v>0</v>
      </c>
      <c r="G91" s="77">
        <f>SUM(PACIENTES!G91+COMEDOR!G91+JORNADA!G91+'DIETOLOGÍA(S)'!G91)</f>
        <v>0</v>
      </c>
      <c r="H91" s="77">
        <f>SUM(PACIENTES!H91+COMEDOR!H91+JORNADA!H91+'DIETOLOGÍA(S)'!H91)</f>
        <v>0</v>
      </c>
      <c r="I91" s="77">
        <f>SUM(PACIENTES!I91+COMEDOR!I91+JORNADA!I91+'DIETOLOGÍA(S)'!I91)</f>
        <v>1</v>
      </c>
      <c r="J91" s="77">
        <f>SUM(PACIENTES!J91+COMEDOR!J91+JORNADA!J91+'DIETOLOGÍA(S)'!J91)</f>
        <v>0</v>
      </c>
      <c r="K91" s="77">
        <f>SUM(PACIENTES!K91+COMEDOR!K91+JORNADA!K91+'DIETOLOGÍA(S)'!K91)</f>
        <v>0</v>
      </c>
      <c r="L91" s="77">
        <f>SUM(PACIENTES!L91+COMEDOR!L91+JORNADA!L91+'DIETOLOGÍA(S)'!L91)</f>
        <v>0</v>
      </c>
      <c r="M91" s="77">
        <f>SUM(PACIENTES!M91+COMEDOR!M91+JORNADA!M91+'DIETOLOGÍA(S)'!M91)</f>
        <v>0</v>
      </c>
      <c r="N91" s="77">
        <f>SUM(PACIENTES!N91+COMEDOR!N91+JORNADA!N91+'DIETOLOGÍA(S)'!N91)</f>
        <v>0</v>
      </c>
      <c r="O91" s="77">
        <f>SUM(PACIENTES!O91+COMEDOR!O91+JORNADA!O91+'DIETOLOGÍA(S)'!O91)</f>
        <v>25</v>
      </c>
      <c r="P91" s="77">
        <f>SUM(PACIENTES!P91+COMEDOR!P91+JORNADA!P91+'DIETOLOGÍA(S)'!P91)</f>
        <v>0</v>
      </c>
      <c r="Q91" s="77">
        <f>SUM(PACIENTES!Q91+COMEDOR!Q91+JORNADA!Q91+'DIETOLOGÍA(S)'!Q91)</f>
        <v>0</v>
      </c>
      <c r="R91" s="77">
        <f>SUM(PACIENTES!R91+COMEDOR!R91+JORNADA!R91+'DIETOLOGÍA(S)'!R91)</f>
        <v>0</v>
      </c>
      <c r="S91" s="77">
        <f>SUM(PACIENTES!S91+COMEDOR!S91+JORNADA!S91+'DIETOLOGÍA(S)'!S91)</f>
        <v>0</v>
      </c>
      <c r="T91" s="77">
        <f>SUM(PACIENTES!T91+COMEDOR!T91+JORNADA!T91+'DIETOLOGÍA(S)'!T91)</f>
        <v>0</v>
      </c>
      <c r="U91" s="77">
        <f>SUM(PACIENTES!U91+COMEDOR!U91+JORNADA!U91+'DIETOLOGÍA(S)'!U91)</f>
        <v>0</v>
      </c>
      <c r="V91" s="77">
        <f>SUM(PACIENTES!V91+COMEDOR!V91+JORNADA!V91+'DIETOLOGÍA(S)'!V91)</f>
        <v>0</v>
      </c>
      <c r="W91" s="77">
        <f>SUM(PACIENTES!W91+COMEDOR!W91+JORNADA!W91+'DIETOLOGÍA(S)'!W91)</f>
        <v>1</v>
      </c>
      <c r="X91" s="77">
        <f>SUM(PACIENTES!X91+COMEDOR!X91+JORNADA!X91+'DIETOLOGÍA(S)'!X91)</f>
        <v>0</v>
      </c>
      <c r="Y91" s="77">
        <f>SUM(PACIENTES!Y91+COMEDOR!Y91+JORNADA!Y91+'DIETOLOGÍA(S)'!Y91)</f>
        <v>0</v>
      </c>
      <c r="Z91" s="77">
        <f>SUM(PACIENTES!Z91+COMEDOR!Z91+JORNADA!Z91+'DIETOLOGÍA(S)'!Z91)</f>
        <v>0</v>
      </c>
      <c r="AA91" s="77">
        <f>SUM(PACIENTES!AA91+COMEDOR!AA91+JORNADA!AA91+'DIETOLOGÍA(S)'!AA91)</f>
        <v>0</v>
      </c>
      <c r="AB91" s="77">
        <f>SUM(PACIENTES!AB91+COMEDOR!AB91+JORNADA!AB91+'DIETOLOGÍA(S)'!AB91)</f>
        <v>0</v>
      </c>
      <c r="AC91" s="77">
        <f>SUM(PACIENTES!AC91+COMEDOR!AC91+JORNADA!AC91+'DIETOLOGÍA(S)'!AC91)</f>
        <v>0</v>
      </c>
      <c r="AD91" s="77">
        <f>SUM(PACIENTES!AD91+COMEDOR!AD91+JORNADA!AD91+'DIETOLOGÍA(S)'!AD91)</f>
        <v>0</v>
      </c>
      <c r="AE91" s="77">
        <f>SUM(PACIENTES!AE91+COMEDOR!AE91+JORNADA!AE91+'DIETOLOGÍA(S)'!AE91)</f>
        <v>0</v>
      </c>
      <c r="AF91" s="77">
        <f>SUM(PACIENTES!AF91+COMEDOR!AF91+JORNADA!AF91+'DIETOLOGÍA(S)'!AF91)</f>
        <v>0</v>
      </c>
      <c r="AG91" s="77">
        <f>SUM(PACIENTES!AG91+COMEDOR!AG91+JORNADA!AG91+'DIETOLOGÍA(S)'!AG91)</f>
        <v>0</v>
      </c>
      <c r="AH91" s="77">
        <f>SUM(PACIENTES!AH91+COMEDOR!AH91+JORNADA!AH91+'DIETOLOGÍA(S)'!AH91)</f>
        <v>0</v>
      </c>
      <c r="AI91" s="48">
        <f t="shared" ref="AI91:AI111" si="2">SUM(D91:AH91)</f>
        <v>27</v>
      </c>
    </row>
    <row r="92" spans="1:35" ht="15.75" customHeight="1">
      <c r="A92" s="78">
        <v>2212002004</v>
      </c>
      <c r="B92" s="79" t="s">
        <v>97</v>
      </c>
      <c r="C92" s="80" t="s">
        <v>6</v>
      </c>
      <c r="D92" s="77">
        <f>SUM(PACIENTES!D92+COMEDOR!D92+JORNADA!D92+'DIETOLOGÍA(S)'!D92)</f>
        <v>0</v>
      </c>
      <c r="E92" s="77">
        <f>SUM(PACIENTES!E92+COMEDOR!E92+JORNADA!E92+'DIETOLOGÍA(S)'!E92)</f>
        <v>0</v>
      </c>
      <c r="F92" s="77">
        <f>SUM(PACIENTES!F92+COMEDOR!F92+JORNADA!F92+'DIETOLOGÍA(S)'!F92)</f>
        <v>0</v>
      </c>
      <c r="G92" s="77">
        <f>SUM(PACIENTES!G92+COMEDOR!G92+JORNADA!G92+'DIETOLOGÍA(S)'!G92)</f>
        <v>0</v>
      </c>
      <c r="H92" s="77">
        <f>SUM(PACIENTES!H92+COMEDOR!H92+JORNADA!H92+'DIETOLOGÍA(S)'!H92)</f>
        <v>0</v>
      </c>
      <c r="I92" s="77">
        <f>SUM(PACIENTES!I92+COMEDOR!I92+JORNADA!I92+'DIETOLOGÍA(S)'!I92)</f>
        <v>0</v>
      </c>
      <c r="J92" s="77">
        <f>SUM(PACIENTES!J92+COMEDOR!J92+JORNADA!J92+'DIETOLOGÍA(S)'!J92)</f>
        <v>0</v>
      </c>
      <c r="K92" s="77">
        <f>SUM(PACIENTES!K92+COMEDOR!K92+JORNADA!K92+'DIETOLOGÍA(S)'!K92)</f>
        <v>0</v>
      </c>
      <c r="L92" s="77">
        <f>SUM(PACIENTES!L92+COMEDOR!L92+JORNADA!L92+'DIETOLOGÍA(S)'!L92)</f>
        <v>0</v>
      </c>
      <c r="M92" s="77">
        <f>SUM(PACIENTES!M92+COMEDOR!M92+JORNADA!M92+'DIETOLOGÍA(S)'!M92)</f>
        <v>0</v>
      </c>
      <c r="N92" s="77">
        <f>SUM(PACIENTES!N92+COMEDOR!N92+JORNADA!N92+'DIETOLOGÍA(S)'!N92)</f>
        <v>0</v>
      </c>
      <c r="O92" s="77">
        <f>SUM(PACIENTES!O92+COMEDOR!O92+JORNADA!O92+'DIETOLOGÍA(S)'!O92)</f>
        <v>0</v>
      </c>
      <c r="P92" s="77">
        <f>SUM(PACIENTES!P92+COMEDOR!P92+JORNADA!P92+'DIETOLOGÍA(S)'!P92)</f>
        <v>0</v>
      </c>
      <c r="Q92" s="77">
        <f>SUM(PACIENTES!Q92+COMEDOR!Q92+JORNADA!Q92+'DIETOLOGÍA(S)'!Q92)</f>
        <v>7</v>
      </c>
      <c r="R92" s="77">
        <f>SUM(PACIENTES!R92+COMEDOR!R92+JORNADA!R92+'DIETOLOGÍA(S)'!R92)</f>
        <v>10</v>
      </c>
      <c r="S92" s="77">
        <f>SUM(PACIENTES!S92+COMEDOR!S92+JORNADA!S92+'DIETOLOGÍA(S)'!S92)</f>
        <v>0</v>
      </c>
      <c r="T92" s="77">
        <f>SUM(PACIENTES!T92+COMEDOR!T92+JORNADA!T92+'DIETOLOGÍA(S)'!T92)</f>
        <v>0</v>
      </c>
      <c r="U92" s="77">
        <f>SUM(PACIENTES!U92+COMEDOR!U92+JORNADA!U92+'DIETOLOGÍA(S)'!U92)</f>
        <v>0</v>
      </c>
      <c r="V92" s="77">
        <f>SUM(PACIENTES!V92+COMEDOR!V92+JORNADA!V92+'DIETOLOGÍA(S)'!V92)</f>
        <v>0</v>
      </c>
      <c r="W92" s="77">
        <f>SUM(PACIENTES!W92+COMEDOR!W92+JORNADA!W92+'DIETOLOGÍA(S)'!W92)</f>
        <v>0</v>
      </c>
      <c r="X92" s="77">
        <f>SUM(PACIENTES!X92+COMEDOR!X92+JORNADA!X92+'DIETOLOGÍA(S)'!X92)</f>
        <v>0</v>
      </c>
      <c r="Y92" s="77">
        <f>SUM(PACIENTES!Y92+COMEDOR!Y92+JORNADA!Y92+'DIETOLOGÍA(S)'!Y92)</f>
        <v>0</v>
      </c>
      <c r="Z92" s="77">
        <f>SUM(PACIENTES!Z92+COMEDOR!Z92+JORNADA!Z92+'DIETOLOGÍA(S)'!Z92)</f>
        <v>0</v>
      </c>
      <c r="AA92" s="77">
        <f>SUM(PACIENTES!AA92+COMEDOR!AA92+JORNADA!AA92+'DIETOLOGÍA(S)'!AA92)</f>
        <v>0</v>
      </c>
      <c r="AB92" s="77">
        <f>SUM(PACIENTES!AB92+COMEDOR!AB92+JORNADA!AB92+'DIETOLOGÍA(S)'!AB92)</f>
        <v>0</v>
      </c>
      <c r="AC92" s="77">
        <f>SUM(PACIENTES!AC92+COMEDOR!AC92+JORNADA!AC92+'DIETOLOGÍA(S)'!AC92)</f>
        <v>0</v>
      </c>
      <c r="AD92" s="77">
        <f>SUM(PACIENTES!AD92+COMEDOR!AD92+JORNADA!AD92+'DIETOLOGÍA(S)'!AD92)</f>
        <v>0</v>
      </c>
      <c r="AE92" s="77">
        <f>SUM(PACIENTES!AE92+COMEDOR!AE92+JORNADA!AE92+'DIETOLOGÍA(S)'!AE92)</f>
        <v>2</v>
      </c>
      <c r="AF92" s="77">
        <f>SUM(PACIENTES!AF92+COMEDOR!AF92+JORNADA!AF92+'DIETOLOGÍA(S)'!AF92)</f>
        <v>0</v>
      </c>
      <c r="AG92" s="77">
        <f>SUM(PACIENTES!AG92+COMEDOR!AG92+JORNADA!AG92+'DIETOLOGÍA(S)'!AG92)</f>
        <v>5</v>
      </c>
      <c r="AH92" s="77">
        <f>SUM(PACIENTES!AH92+COMEDOR!AH92+JORNADA!AH92+'DIETOLOGÍA(S)'!AH92)</f>
        <v>0</v>
      </c>
      <c r="AI92" s="9">
        <f t="shared" si="2"/>
        <v>24</v>
      </c>
    </row>
    <row r="93" spans="1:35" ht="15.75" customHeight="1">
      <c r="A93" s="78">
        <v>2212002007</v>
      </c>
      <c r="B93" s="79" t="s">
        <v>98</v>
      </c>
      <c r="C93" s="80" t="s">
        <v>6</v>
      </c>
      <c r="D93" s="77">
        <f>SUM(PACIENTES!D93+COMEDOR!D93+JORNADA!D93+'DIETOLOGÍA(S)'!D93)</f>
        <v>0</v>
      </c>
      <c r="E93" s="77">
        <f>SUM(PACIENTES!E93+COMEDOR!E93+JORNADA!E93+'DIETOLOGÍA(S)'!E93)</f>
        <v>0</v>
      </c>
      <c r="F93" s="77">
        <f>SUM(PACIENTES!F93+COMEDOR!F93+JORNADA!F93+'DIETOLOGÍA(S)'!F93)</f>
        <v>0</v>
      </c>
      <c r="G93" s="77">
        <f>SUM(PACIENTES!G93+COMEDOR!G93+JORNADA!G93+'DIETOLOGÍA(S)'!G93)</f>
        <v>0</v>
      </c>
      <c r="H93" s="77">
        <f>SUM(PACIENTES!H93+COMEDOR!H93+JORNADA!H93+'DIETOLOGÍA(S)'!H93)</f>
        <v>0</v>
      </c>
      <c r="I93" s="77">
        <f>SUM(PACIENTES!I93+COMEDOR!I93+JORNADA!I93+'DIETOLOGÍA(S)'!I93)</f>
        <v>1</v>
      </c>
      <c r="J93" s="77">
        <f>SUM(PACIENTES!J93+COMEDOR!J93+JORNADA!J93+'DIETOLOGÍA(S)'!J93)</f>
        <v>2</v>
      </c>
      <c r="K93" s="77">
        <f>SUM(PACIENTES!K93+COMEDOR!K93+JORNADA!K93+'DIETOLOGÍA(S)'!K93)</f>
        <v>30</v>
      </c>
      <c r="L93" s="77">
        <f>SUM(PACIENTES!L93+COMEDOR!L93+JORNADA!L93+'DIETOLOGÍA(S)'!L93)</f>
        <v>0</v>
      </c>
      <c r="M93" s="77">
        <f>SUM(PACIENTES!M93+COMEDOR!M93+JORNADA!M93+'DIETOLOGÍA(S)'!M93)</f>
        <v>0</v>
      </c>
      <c r="N93" s="77">
        <f>SUM(PACIENTES!N93+COMEDOR!N93+JORNADA!N93+'DIETOLOGÍA(S)'!N93)</f>
        <v>0</v>
      </c>
      <c r="O93" s="77">
        <f>SUM(PACIENTES!O93+COMEDOR!O93+JORNADA!O93+'DIETOLOGÍA(S)'!O93)</f>
        <v>0</v>
      </c>
      <c r="P93" s="77">
        <f>SUM(PACIENTES!P93+COMEDOR!P93+JORNADA!P93+'DIETOLOGÍA(S)'!P93)</f>
        <v>0</v>
      </c>
      <c r="Q93" s="77">
        <f>SUM(PACIENTES!Q93+COMEDOR!Q93+JORNADA!Q93+'DIETOLOGÍA(S)'!Q93)</f>
        <v>0</v>
      </c>
      <c r="R93" s="77">
        <f>SUM(PACIENTES!R93+COMEDOR!R93+JORNADA!R93+'DIETOLOGÍA(S)'!R93)</f>
        <v>0</v>
      </c>
      <c r="S93" s="77">
        <f>SUM(PACIENTES!S93+COMEDOR!S93+JORNADA!S93+'DIETOLOGÍA(S)'!S93)</f>
        <v>0</v>
      </c>
      <c r="T93" s="77">
        <f>SUM(PACIENTES!T93+COMEDOR!T93+JORNADA!T93+'DIETOLOGÍA(S)'!T93)</f>
        <v>0</v>
      </c>
      <c r="U93" s="77">
        <f>SUM(PACIENTES!U93+COMEDOR!U93+JORNADA!U93+'DIETOLOGÍA(S)'!U93)</f>
        <v>0</v>
      </c>
      <c r="V93" s="77">
        <f>SUM(PACIENTES!V93+COMEDOR!V93+JORNADA!V93+'DIETOLOGÍA(S)'!V93)</f>
        <v>0</v>
      </c>
      <c r="W93" s="77">
        <f>SUM(PACIENTES!W93+COMEDOR!W93+JORNADA!W93+'DIETOLOGÍA(S)'!W93)</f>
        <v>21</v>
      </c>
      <c r="X93" s="77">
        <f>SUM(PACIENTES!X93+COMEDOR!X93+JORNADA!X93+'DIETOLOGÍA(S)'!X93)</f>
        <v>0</v>
      </c>
      <c r="Y93" s="77">
        <f>SUM(PACIENTES!Y93+COMEDOR!Y93+JORNADA!Y93+'DIETOLOGÍA(S)'!Y93)</f>
        <v>0</v>
      </c>
      <c r="Z93" s="77">
        <f>SUM(PACIENTES!Z93+COMEDOR!Z93+JORNADA!Z93+'DIETOLOGÍA(S)'!Z93)</f>
        <v>0</v>
      </c>
      <c r="AA93" s="77">
        <f>SUM(PACIENTES!AA93+COMEDOR!AA93+JORNADA!AA93+'DIETOLOGÍA(S)'!AA93)</f>
        <v>40</v>
      </c>
      <c r="AB93" s="77">
        <f>SUM(PACIENTES!AB93+COMEDOR!AB93+JORNADA!AB93+'DIETOLOGÍA(S)'!AB93)</f>
        <v>0</v>
      </c>
      <c r="AC93" s="77">
        <f>SUM(PACIENTES!AC93+COMEDOR!AC93+JORNADA!AC93+'DIETOLOGÍA(S)'!AC93)</f>
        <v>30</v>
      </c>
      <c r="AD93" s="77">
        <f>SUM(PACIENTES!AD93+COMEDOR!AD93+JORNADA!AD93+'DIETOLOGÍA(S)'!AD93)</f>
        <v>0</v>
      </c>
      <c r="AE93" s="77">
        <f>SUM(PACIENTES!AE93+COMEDOR!AE93+JORNADA!AE93+'DIETOLOGÍA(S)'!AE93)</f>
        <v>0</v>
      </c>
      <c r="AF93" s="77">
        <f>SUM(PACIENTES!AF93+COMEDOR!AF93+JORNADA!AF93+'DIETOLOGÍA(S)'!AF93)</f>
        <v>0</v>
      </c>
      <c r="AG93" s="77">
        <f>SUM(PACIENTES!AG93+COMEDOR!AG93+JORNADA!AG93+'DIETOLOGÍA(S)'!AG93)</f>
        <v>0</v>
      </c>
      <c r="AH93" s="77">
        <f>SUM(PACIENTES!AH93+COMEDOR!AH93+JORNADA!AH93+'DIETOLOGÍA(S)'!AH93)</f>
        <v>0</v>
      </c>
      <c r="AI93" s="9">
        <f t="shared" si="2"/>
        <v>124</v>
      </c>
    </row>
    <row r="94" spans="1:35" ht="15.75" customHeight="1">
      <c r="A94" s="78">
        <v>2212002009</v>
      </c>
      <c r="B94" s="79" t="s">
        <v>99</v>
      </c>
      <c r="C94" s="80" t="s">
        <v>6</v>
      </c>
      <c r="D94" s="77">
        <f>SUM(PACIENTES!D94+COMEDOR!D94+JORNADA!D94+'DIETOLOGÍA(S)'!D94)</f>
        <v>0</v>
      </c>
      <c r="E94" s="77">
        <f>SUM(PACIENTES!E94+COMEDOR!E94+JORNADA!E94+'DIETOLOGÍA(S)'!E94)</f>
        <v>0</v>
      </c>
      <c r="F94" s="77">
        <f>SUM(PACIENTES!F94+COMEDOR!F94+JORNADA!F94+'DIETOLOGÍA(S)'!F94)</f>
        <v>0</v>
      </c>
      <c r="G94" s="77">
        <f>SUM(PACIENTES!G94+COMEDOR!G94+JORNADA!G94+'DIETOLOGÍA(S)'!G94)</f>
        <v>0</v>
      </c>
      <c r="H94" s="77">
        <f>SUM(PACIENTES!H94+COMEDOR!H94+JORNADA!H94+'DIETOLOGÍA(S)'!H94)</f>
        <v>0</v>
      </c>
      <c r="I94" s="77">
        <f>SUM(PACIENTES!I94+COMEDOR!I94+JORNADA!I94+'DIETOLOGÍA(S)'!I94)</f>
        <v>0</v>
      </c>
      <c r="J94" s="77">
        <f>SUM(PACIENTES!J94+COMEDOR!J94+JORNADA!J94+'DIETOLOGÍA(S)'!J94)</f>
        <v>0</v>
      </c>
      <c r="K94" s="77">
        <f>SUM(PACIENTES!K94+COMEDOR!K94+JORNADA!K94+'DIETOLOGÍA(S)'!K94)</f>
        <v>0</v>
      </c>
      <c r="L94" s="77">
        <f>SUM(PACIENTES!L94+COMEDOR!L94+JORNADA!L94+'DIETOLOGÍA(S)'!L94)</f>
        <v>0</v>
      </c>
      <c r="M94" s="77">
        <f>SUM(PACIENTES!M94+COMEDOR!M94+JORNADA!M94+'DIETOLOGÍA(S)'!M94)</f>
        <v>0</v>
      </c>
      <c r="N94" s="77">
        <f>SUM(PACIENTES!N94+COMEDOR!N94+JORNADA!N94+'DIETOLOGÍA(S)'!N94)</f>
        <v>0</v>
      </c>
      <c r="O94" s="77">
        <f>SUM(PACIENTES!O94+COMEDOR!O94+JORNADA!O94+'DIETOLOGÍA(S)'!O94)</f>
        <v>0</v>
      </c>
      <c r="P94" s="77">
        <f>SUM(PACIENTES!P94+COMEDOR!P94+JORNADA!P94+'DIETOLOGÍA(S)'!P94)</f>
        <v>0</v>
      </c>
      <c r="Q94" s="77">
        <f>SUM(PACIENTES!Q94+COMEDOR!Q94+JORNADA!Q94+'DIETOLOGÍA(S)'!Q94)</f>
        <v>0</v>
      </c>
      <c r="R94" s="77">
        <f>SUM(PACIENTES!R94+COMEDOR!R94+JORNADA!R94+'DIETOLOGÍA(S)'!R94)</f>
        <v>7</v>
      </c>
      <c r="S94" s="77">
        <f>SUM(PACIENTES!S94+COMEDOR!S94+JORNADA!S94+'DIETOLOGÍA(S)'!S94)</f>
        <v>0</v>
      </c>
      <c r="T94" s="77">
        <f>SUM(PACIENTES!T94+COMEDOR!T94+JORNADA!T94+'DIETOLOGÍA(S)'!T94)</f>
        <v>0</v>
      </c>
      <c r="U94" s="77">
        <f>SUM(PACIENTES!U94+COMEDOR!U94+JORNADA!U94+'DIETOLOGÍA(S)'!U94)</f>
        <v>0</v>
      </c>
      <c r="V94" s="77">
        <f>SUM(PACIENTES!V94+COMEDOR!V94+JORNADA!V94+'DIETOLOGÍA(S)'!V94)</f>
        <v>0</v>
      </c>
      <c r="W94" s="77">
        <f>SUM(PACIENTES!W94+COMEDOR!W94+JORNADA!W94+'DIETOLOGÍA(S)'!W94)</f>
        <v>35</v>
      </c>
      <c r="X94" s="77">
        <f>SUM(PACIENTES!X94+COMEDOR!X94+JORNADA!X94+'DIETOLOGÍA(S)'!X94)</f>
        <v>0</v>
      </c>
      <c r="Y94" s="77">
        <f>SUM(PACIENTES!Y94+COMEDOR!Y94+JORNADA!Y94+'DIETOLOGÍA(S)'!Y94)</f>
        <v>0</v>
      </c>
      <c r="Z94" s="77">
        <f>SUM(PACIENTES!Z94+COMEDOR!Z94+JORNADA!Z94+'DIETOLOGÍA(S)'!Z94)</f>
        <v>0</v>
      </c>
      <c r="AA94" s="77">
        <f>SUM(PACIENTES!AA94+COMEDOR!AA94+JORNADA!AA94+'DIETOLOGÍA(S)'!AA94)</f>
        <v>0</v>
      </c>
      <c r="AB94" s="77">
        <f>SUM(PACIENTES!AB94+COMEDOR!AB94+JORNADA!AB94+'DIETOLOGÍA(S)'!AB94)</f>
        <v>0</v>
      </c>
      <c r="AC94" s="77">
        <f>SUM(PACIENTES!AC94+COMEDOR!AC94+JORNADA!AC94+'DIETOLOGÍA(S)'!AC94)</f>
        <v>0</v>
      </c>
      <c r="AD94" s="77">
        <f>SUM(PACIENTES!AD94+COMEDOR!AD94+JORNADA!AD94+'DIETOLOGÍA(S)'!AD94)</f>
        <v>0</v>
      </c>
      <c r="AE94" s="77">
        <f>SUM(PACIENTES!AE94+COMEDOR!AE94+JORNADA!AE94+'DIETOLOGÍA(S)'!AE94)</f>
        <v>0</v>
      </c>
      <c r="AF94" s="77">
        <f>SUM(PACIENTES!AF94+COMEDOR!AF94+JORNADA!AF94+'DIETOLOGÍA(S)'!AF94)</f>
        <v>0</v>
      </c>
      <c r="AG94" s="77">
        <f>SUM(PACIENTES!AG94+COMEDOR!AG94+JORNADA!AG94+'DIETOLOGÍA(S)'!AG94)</f>
        <v>0</v>
      </c>
      <c r="AH94" s="77">
        <f>SUM(PACIENTES!AH94+COMEDOR!AH94+JORNADA!AH94+'DIETOLOGÍA(S)'!AH94)</f>
        <v>0</v>
      </c>
      <c r="AI94" s="9">
        <f t="shared" si="2"/>
        <v>42</v>
      </c>
    </row>
    <row r="95" spans="1:35" ht="15.75" customHeight="1">
      <c r="A95" s="78">
        <v>2212002010</v>
      </c>
      <c r="B95" s="79" t="s">
        <v>100</v>
      </c>
      <c r="C95" s="80" t="s">
        <v>6</v>
      </c>
      <c r="D95" s="77">
        <f>SUM(PACIENTES!D95+COMEDOR!D95+JORNADA!D95+'DIETOLOGÍA(S)'!D95)</f>
        <v>0</v>
      </c>
      <c r="E95" s="77">
        <f>SUM(PACIENTES!E95+COMEDOR!E95+JORNADA!E95+'DIETOLOGÍA(S)'!E95)</f>
        <v>0</v>
      </c>
      <c r="F95" s="77">
        <f>SUM(PACIENTES!F95+COMEDOR!F95+JORNADA!F95+'DIETOLOGÍA(S)'!F95)</f>
        <v>0</v>
      </c>
      <c r="G95" s="77">
        <f>SUM(PACIENTES!G95+COMEDOR!G95+JORNADA!G95+'DIETOLOGÍA(S)'!G95)</f>
        <v>0</v>
      </c>
      <c r="H95" s="77">
        <f>SUM(PACIENTES!H95+COMEDOR!H95+JORNADA!H95+'DIETOLOGÍA(S)'!H95)</f>
        <v>0</v>
      </c>
      <c r="I95" s="77">
        <f>SUM(PACIENTES!I95+COMEDOR!I95+JORNADA!I95+'DIETOLOGÍA(S)'!I95)</f>
        <v>0</v>
      </c>
      <c r="J95" s="77">
        <f>SUM(PACIENTES!J95+COMEDOR!J95+JORNADA!J95+'DIETOLOGÍA(S)'!J95)</f>
        <v>0</v>
      </c>
      <c r="K95" s="77">
        <f>SUM(PACIENTES!K95+COMEDOR!K95+JORNADA!K95+'DIETOLOGÍA(S)'!K95)</f>
        <v>0</v>
      </c>
      <c r="L95" s="77">
        <f>SUM(PACIENTES!L95+COMEDOR!L95+JORNADA!L95+'DIETOLOGÍA(S)'!L95)</f>
        <v>0</v>
      </c>
      <c r="M95" s="77">
        <f>SUM(PACIENTES!M95+COMEDOR!M95+JORNADA!M95+'DIETOLOGÍA(S)'!M95)</f>
        <v>0</v>
      </c>
      <c r="N95" s="77">
        <f>SUM(PACIENTES!N95+COMEDOR!N95+JORNADA!N95+'DIETOLOGÍA(S)'!N95)</f>
        <v>0</v>
      </c>
      <c r="O95" s="77">
        <f>SUM(PACIENTES!O95+COMEDOR!O95+JORNADA!O95+'DIETOLOGÍA(S)'!O95)</f>
        <v>0</v>
      </c>
      <c r="P95" s="77">
        <f>SUM(PACIENTES!P95+COMEDOR!P95+JORNADA!P95+'DIETOLOGÍA(S)'!P95)</f>
        <v>0</v>
      </c>
      <c r="Q95" s="77">
        <f>SUM(PACIENTES!Q95+COMEDOR!Q95+JORNADA!Q95+'DIETOLOGÍA(S)'!Q95)</f>
        <v>2</v>
      </c>
      <c r="R95" s="77">
        <f>SUM(PACIENTES!R95+COMEDOR!R95+JORNADA!R95+'DIETOLOGÍA(S)'!R95)</f>
        <v>0</v>
      </c>
      <c r="S95" s="77">
        <f>SUM(PACIENTES!S95+COMEDOR!S95+JORNADA!S95+'DIETOLOGÍA(S)'!S95)</f>
        <v>0</v>
      </c>
      <c r="T95" s="77">
        <f>SUM(PACIENTES!T95+COMEDOR!T95+JORNADA!T95+'DIETOLOGÍA(S)'!T95)</f>
        <v>0</v>
      </c>
      <c r="U95" s="77">
        <f>SUM(PACIENTES!U95+COMEDOR!U95+JORNADA!U95+'DIETOLOGÍA(S)'!U95)</f>
        <v>0</v>
      </c>
      <c r="V95" s="77">
        <f>SUM(PACIENTES!V95+COMEDOR!V95+JORNADA!V95+'DIETOLOGÍA(S)'!V95)</f>
        <v>0</v>
      </c>
      <c r="W95" s="77">
        <f>SUM(PACIENTES!W95+COMEDOR!W95+JORNADA!W95+'DIETOLOGÍA(S)'!W95)</f>
        <v>0</v>
      </c>
      <c r="X95" s="77">
        <f>SUM(PACIENTES!X95+COMEDOR!X95+JORNADA!X95+'DIETOLOGÍA(S)'!X95)</f>
        <v>0</v>
      </c>
      <c r="Y95" s="77">
        <f>SUM(PACIENTES!Y95+COMEDOR!Y95+JORNADA!Y95+'DIETOLOGÍA(S)'!Y95)</f>
        <v>0</v>
      </c>
      <c r="Z95" s="77">
        <f>SUM(PACIENTES!Z95+COMEDOR!Z95+JORNADA!Z95+'DIETOLOGÍA(S)'!Z95)</f>
        <v>0</v>
      </c>
      <c r="AA95" s="77">
        <f>SUM(PACIENTES!AA95+COMEDOR!AA95+JORNADA!AA95+'DIETOLOGÍA(S)'!AA95)</f>
        <v>0</v>
      </c>
      <c r="AB95" s="77">
        <f>SUM(PACIENTES!AB95+COMEDOR!AB95+JORNADA!AB95+'DIETOLOGÍA(S)'!AB95)</f>
        <v>0</v>
      </c>
      <c r="AC95" s="77">
        <f>SUM(PACIENTES!AC95+COMEDOR!AC95+JORNADA!AC95+'DIETOLOGÍA(S)'!AC95)</f>
        <v>0</v>
      </c>
      <c r="AD95" s="77">
        <f>SUM(PACIENTES!AD95+COMEDOR!AD95+JORNADA!AD95+'DIETOLOGÍA(S)'!AD95)</f>
        <v>0</v>
      </c>
      <c r="AE95" s="77">
        <f>SUM(PACIENTES!AE95+COMEDOR!AE95+JORNADA!AE95+'DIETOLOGÍA(S)'!AE95)</f>
        <v>0</v>
      </c>
      <c r="AF95" s="77">
        <f>SUM(PACIENTES!AF95+COMEDOR!AF95+JORNADA!AF95+'DIETOLOGÍA(S)'!AF95)</f>
        <v>0</v>
      </c>
      <c r="AG95" s="77">
        <f>SUM(PACIENTES!AG95+COMEDOR!AG95+JORNADA!AG95+'DIETOLOGÍA(S)'!AG95)</f>
        <v>0</v>
      </c>
      <c r="AH95" s="77">
        <f>SUM(PACIENTES!AH95+COMEDOR!AH95+JORNADA!AH95+'DIETOLOGÍA(S)'!AH95)</f>
        <v>0</v>
      </c>
      <c r="AI95" s="9">
        <f t="shared" si="2"/>
        <v>2</v>
      </c>
    </row>
    <row r="96" spans="1:35" ht="15.75" customHeight="1">
      <c r="A96" s="78">
        <v>2212002011</v>
      </c>
      <c r="B96" s="79" t="s">
        <v>101</v>
      </c>
      <c r="C96" s="80" t="s">
        <v>6</v>
      </c>
      <c r="D96" s="77">
        <f>SUM(PACIENTES!D96+COMEDOR!D96+JORNADA!D96+'DIETOLOGÍA(S)'!D96)</f>
        <v>0</v>
      </c>
      <c r="E96" s="77">
        <f>SUM(PACIENTES!E96+COMEDOR!E96+JORNADA!E96+'DIETOLOGÍA(S)'!E96)</f>
        <v>0</v>
      </c>
      <c r="F96" s="77">
        <f>SUM(PACIENTES!F96+COMEDOR!F96+JORNADA!F96+'DIETOLOGÍA(S)'!F96)</f>
        <v>0</v>
      </c>
      <c r="G96" s="77">
        <f>SUM(PACIENTES!G96+COMEDOR!G96+JORNADA!G96+'DIETOLOGÍA(S)'!G96)</f>
        <v>0</v>
      </c>
      <c r="H96" s="77">
        <f>SUM(PACIENTES!H96+COMEDOR!H96+JORNADA!H96+'DIETOLOGÍA(S)'!H96)</f>
        <v>0</v>
      </c>
      <c r="I96" s="77">
        <f>SUM(PACIENTES!I96+COMEDOR!I96+JORNADA!I96+'DIETOLOGÍA(S)'!I96)</f>
        <v>30</v>
      </c>
      <c r="J96" s="77">
        <f>SUM(PACIENTES!J96+COMEDOR!J96+JORNADA!J96+'DIETOLOGÍA(S)'!J96)</f>
        <v>2</v>
      </c>
      <c r="K96" s="77">
        <f>SUM(PACIENTES!K96+COMEDOR!K96+JORNADA!K96+'DIETOLOGÍA(S)'!K96)</f>
        <v>40</v>
      </c>
      <c r="L96" s="77">
        <f>SUM(PACIENTES!L96+COMEDOR!L96+JORNADA!L96+'DIETOLOGÍA(S)'!L96)</f>
        <v>0</v>
      </c>
      <c r="M96" s="77">
        <f>SUM(PACIENTES!M96+COMEDOR!M96+JORNADA!M96+'DIETOLOGÍA(S)'!M96)</f>
        <v>30</v>
      </c>
      <c r="N96" s="77">
        <f>SUM(PACIENTES!N96+COMEDOR!N96+JORNADA!N96+'DIETOLOGÍA(S)'!N96)</f>
        <v>0</v>
      </c>
      <c r="O96" s="77">
        <f>SUM(PACIENTES!O96+COMEDOR!O96+JORNADA!O96+'DIETOLOGÍA(S)'!O96)</f>
        <v>0</v>
      </c>
      <c r="P96" s="77">
        <f>SUM(PACIENTES!P96+COMEDOR!P96+JORNADA!P96+'DIETOLOGÍA(S)'!P96)</f>
        <v>1</v>
      </c>
      <c r="Q96" s="77">
        <f>SUM(PACIENTES!Q96+COMEDOR!Q96+JORNADA!Q96+'DIETOLOGÍA(S)'!Q96)</f>
        <v>35</v>
      </c>
      <c r="R96" s="77">
        <f>SUM(PACIENTES!R96+COMEDOR!R96+JORNADA!R96+'DIETOLOGÍA(S)'!R96)</f>
        <v>0</v>
      </c>
      <c r="S96" s="77">
        <f>SUM(PACIENTES!S96+COMEDOR!S96+JORNADA!S96+'DIETOLOGÍA(S)'!S96)</f>
        <v>0</v>
      </c>
      <c r="T96" s="77">
        <f>SUM(PACIENTES!T96+COMEDOR!T96+JORNADA!T96+'DIETOLOGÍA(S)'!T96)</f>
        <v>0</v>
      </c>
      <c r="U96" s="77">
        <f>SUM(PACIENTES!U96+COMEDOR!U96+JORNADA!U96+'DIETOLOGÍA(S)'!U96)</f>
        <v>0</v>
      </c>
      <c r="V96" s="77">
        <f>SUM(PACIENTES!V96+COMEDOR!V96+JORNADA!V96+'DIETOLOGÍA(S)'!V96)</f>
        <v>0</v>
      </c>
      <c r="W96" s="77">
        <f>SUM(PACIENTES!W96+COMEDOR!W96+JORNADA!W96+'DIETOLOGÍA(S)'!W96)</f>
        <v>0</v>
      </c>
      <c r="X96" s="77">
        <f>SUM(PACIENTES!X96+COMEDOR!X96+JORNADA!X96+'DIETOLOGÍA(S)'!X96)</f>
        <v>2</v>
      </c>
      <c r="Y96" s="77">
        <f>SUM(PACIENTES!Y96+COMEDOR!Y96+JORNADA!Y96+'DIETOLOGÍA(S)'!Y96)</f>
        <v>0</v>
      </c>
      <c r="Z96" s="77">
        <f>SUM(PACIENTES!Z96+COMEDOR!Z96+JORNADA!Z96+'DIETOLOGÍA(S)'!Z96)</f>
        <v>0</v>
      </c>
      <c r="AA96" s="77">
        <f>SUM(PACIENTES!AA96+COMEDOR!AA96+JORNADA!AA96+'DIETOLOGÍA(S)'!AA96)</f>
        <v>0</v>
      </c>
      <c r="AB96" s="77">
        <f>SUM(PACIENTES!AB96+COMEDOR!AB96+JORNADA!AB96+'DIETOLOGÍA(S)'!AB96)</f>
        <v>0</v>
      </c>
      <c r="AC96" s="77">
        <f>SUM(PACIENTES!AC96+COMEDOR!AC96+JORNADA!AC96+'DIETOLOGÍA(S)'!AC96)</f>
        <v>0</v>
      </c>
      <c r="AD96" s="77">
        <f>SUM(PACIENTES!AD96+COMEDOR!AD96+JORNADA!AD96+'DIETOLOGÍA(S)'!AD96)</f>
        <v>1</v>
      </c>
      <c r="AE96" s="77">
        <f>SUM(PACIENTES!AE96+COMEDOR!AE96+JORNADA!AE96+'DIETOLOGÍA(S)'!AE96)</f>
        <v>0</v>
      </c>
      <c r="AF96" s="77">
        <f>SUM(PACIENTES!AF96+COMEDOR!AF96+JORNADA!AF96+'DIETOLOGÍA(S)'!AF96)</f>
        <v>0</v>
      </c>
      <c r="AG96" s="77">
        <f>SUM(PACIENTES!AG96+COMEDOR!AG96+JORNADA!AG96+'DIETOLOGÍA(S)'!AG96)</f>
        <v>20</v>
      </c>
      <c r="AH96" s="77">
        <f>SUM(PACIENTES!AH96+COMEDOR!AH96+JORNADA!AH96+'DIETOLOGÍA(S)'!AH96)</f>
        <v>0</v>
      </c>
      <c r="AI96" s="9">
        <f t="shared" si="2"/>
        <v>161</v>
      </c>
    </row>
    <row r="97" spans="1:35" ht="15.75" customHeight="1">
      <c r="A97" s="78">
        <v>2212002014</v>
      </c>
      <c r="B97" s="79" t="s">
        <v>102</v>
      </c>
      <c r="C97" s="80" t="s">
        <v>6</v>
      </c>
      <c r="D97" s="77">
        <f>SUM(PACIENTES!D97+COMEDOR!D97+JORNADA!D97+'DIETOLOGÍA(S)'!D97)</f>
        <v>0</v>
      </c>
      <c r="E97" s="77">
        <f>SUM(PACIENTES!E97+COMEDOR!E97+JORNADA!E97+'DIETOLOGÍA(S)'!E97)</f>
        <v>0</v>
      </c>
      <c r="F97" s="77">
        <f>SUM(PACIENTES!F97+COMEDOR!F97+JORNADA!F97+'DIETOLOGÍA(S)'!F97)</f>
        <v>0</v>
      </c>
      <c r="G97" s="77">
        <f>SUM(PACIENTES!G97+COMEDOR!G97+JORNADA!G97+'DIETOLOGÍA(S)'!G97)</f>
        <v>0</v>
      </c>
      <c r="H97" s="77">
        <f>SUM(PACIENTES!H97+COMEDOR!H97+JORNADA!H97+'DIETOLOGÍA(S)'!H97)</f>
        <v>0</v>
      </c>
      <c r="I97" s="77">
        <f>SUM(PACIENTES!I97+COMEDOR!I97+JORNADA!I97+'DIETOLOGÍA(S)'!I97)</f>
        <v>0</v>
      </c>
      <c r="J97" s="77">
        <f>SUM(PACIENTES!J97+COMEDOR!J97+JORNADA!J97+'DIETOLOGÍA(S)'!J97)</f>
        <v>0</v>
      </c>
      <c r="K97" s="77">
        <f>SUM(PACIENTES!K97+COMEDOR!K97+JORNADA!K97+'DIETOLOGÍA(S)'!K97)</f>
        <v>0</v>
      </c>
      <c r="L97" s="77">
        <f>SUM(PACIENTES!L97+COMEDOR!L97+JORNADA!L97+'DIETOLOGÍA(S)'!L97)</f>
        <v>0</v>
      </c>
      <c r="M97" s="77">
        <f>SUM(PACIENTES!M97+COMEDOR!M97+JORNADA!M97+'DIETOLOGÍA(S)'!M97)</f>
        <v>0</v>
      </c>
      <c r="N97" s="77">
        <f>SUM(PACIENTES!N97+COMEDOR!N97+JORNADA!N97+'DIETOLOGÍA(S)'!N97)</f>
        <v>0</v>
      </c>
      <c r="O97" s="77">
        <f>SUM(PACIENTES!O97+COMEDOR!O97+JORNADA!O97+'DIETOLOGÍA(S)'!O97)</f>
        <v>0</v>
      </c>
      <c r="P97" s="77">
        <f>SUM(PACIENTES!P97+COMEDOR!P97+JORNADA!P97+'DIETOLOGÍA(S)'!P97)</f>
        <v>0</v>
      </c>
      <c r="Q97" s="77">
        <f>SUM(PACIENTES!Q97+COMEDOR!Q97+JORNADA!Q97+'DIETOLOGÍA(S)'!Q97)</f>
        <v>2</v>
      </c>
      <c r="R97" s="77">
        <f>SUM(PACIENTES!R97+COMEDOR!R97+JORNADA!R97+'DIETOLOGÍA(S)'!R97)</f>
        <v>0</v>
      </c>
      <c r="S97" s="77">
        <f>SUM(PACIENTES!S97+COMEDOR!S97+JORNADA!S97+'DIETOLOGÍA(S)'!S97)</f>
        <v>0</v>
      </c>
      <c r="T97" s="77">
        <f>SUM(PACIENTES!T97+COMEDOR!T97+JORNADA!T97+'DIETOLOGÍA(S)'!T97)</f>
        <v>0</v>
      </c>
      <c r="U97" s="77">
        <f>SUM(PACIENTES!U97+COMEDOR!U97+JORNADA!U97+'DIETOLOGÍA(S)'!U97)</f>
        <v>0</v>
      </c>
      <c r="V97" s="77">
        <f>SUM(PACIENTES!V97+COMEDOR!V97+JORNADA!V97+'DIETOLOGÍA(S)'!V97)</f>
        <v>0</v>
      </c>
      <c r="W97" s="77">
        <f>SUM(PACIENTES!W97+COMEDOR!W97+JORNADA!W97+'DIETOLOGÍA(S)'!W97)</f>
        <v>0</v>
      </c>
      <c r="X97" s="77">
        <f>SUM(PACIENTES!X97+COMEDOR!X97+JORNADA!X97+'DIETOLOGÍA(S)'!X97)</f>
        <v>0</v>
      </c>
      <c r="Y97" s="77">
        <f>SUM(PACIENTES!Y97+COMEDOR!Y97+JORNADA!Y97+'DIETOLOGÍA(S)'!Y97)</f>
        <v>0</v>
      </c>
      <c r="Z97" s="77">
        <f>SUM(PACIENTES!Z97+COMEDOR!Z97+JORNADA!Z97+'DIETOLOGÍA(S)'!Z97)</f>
        <v>0</v>
      </c>
      <c r="AA97" s="77">
        <f>SUM(PACIENTES!AA97+COMEDOR!AA97+JORNADA!AA97+'DIETOLOGÍA(S)'!AA97)</f>
        <v>0</v>
      </c>
      <c r="AB97" s="77">
        <f>SUM(PACIENTES!AB97+COMEDOR!AB97+JORNADA!AB97+'DIETOLOGÍA(S)'!AB97)</f>
        <v>0</v>
      </c>
      <c r="AC97" s="77">
        <f>SUM(PACIENTES!AC97+COMEDOR!AC97+JORNADA!AC97+'DIETOLOGÍA(S)'!AC97)</f>
        <v>0</v>
      </c>
      <c r="AD97" s="77">
        <f>SUM(PACIENTES!AD97+COMEDOR!AD97+JORNADA!AD97+'DIETOLOGÍA(S)'!AD97)</f>
        <v>0</v>
      </c>
      <c r="AE97" s="77">
        <f>SUM(PACIENTES!AE97+COMEDOR!AE97+JORNADA!AE97+'DIETOLOGÍA(S)'!AE97)</f>
        <v>0</v>
      </c>
      <c r="AF97" s="77">
        <f>SUM(PACIENTES!AF97+COMEDOR!AF97+JORNADA!AF97+'DIETOLOGÍA(S)'!AF97)</f>
        <v>0</v>
      </c>
      <c r="AG97" s="77">
        <f>SUM(PACIENTES!AG97+COMEDOR!AG97+JORNADA!AG97+'DIETOLOGÍA(S)'!AG97)</f>
        <v>0</v>
      </c>
      <c r="AH97" s="77">
        <f>SUM(PACIENTES!AH97+COMEDOR!AH97+JORNADA!AH97+'DIETOLOGÍA(S)'!AH97)</f>
        <v>0</v>
      </c>
      <c r="AI97" s="9">
        <f t="shared" si="2"/>
        <v>2</v>
      </c>
    </row>
    <row r="98" spans="1:35" ht="15.75" customHeight="1">
      <c r="A98" s="78">
        <v>2212002016</v>
      </c>
      <c r="B98" s="79" t="s">
        <v>103</v>
      </c>
      <c r="C98" s="80" t="s">
        <v>6</v>
      </c>
      <c r="D98" s="77">
        <f>SUM(PACIENTES!D98+COMEDOR!D98+JORNADA!D98+'DIETOLOGÍA(S)'!D98)</f>
        <v>0</v>
      </c>
      <c r="E98" s="77">
        <f>SUM(PACIENTES!E98+COMEDOR!E98+JORNADA!E98+'DIETOLOGÍA(S)'!E98)</f>
        <v>0</v>
      </c>
      <c r="F98" s="77">
        <f>SUM(PACIENTES!F98+COMEDOR!F98+JORNADA!F98+'DIETOLOGÍA(S)'!F98)</f>
        <v>0</v>
      </c>
      <c r="G98" s="77">
        <f>SUM(PACIENTES!G98+COMEDOR!G98+JORNADA!G98+'DIETOLOGÍA(S)'!G98)</f>
        <v>0</v>
      </c>
      <c r="H98" s="77">
        <f>SUM(PACIENTES!H98+COMEDOR!H98+JORNADA!H98+'DIETOLOGÍA(S)'!H98)</f>
        <v>0</v>
      </c>
      <c r="I98" s="77">
        <f>SUM(PACIENTES!I98+COMEDOR!I98+JORNADA!I98+'DIETOLOGÍA(S)'!I98)</f>
        <v>0</v>
      </c>
      <c r="J98" s="77">
        <f>SUM(PACIENTES!J98+COMEDOR!J98+JORNADA!J98+'DIETOLOGÍA(S)'!J98)</f>
        <v>2</v>
      </c>
      <c r="K98" s="77">
        <f>SUM(PACIENTES!K98+COMEDOR!K98+JORNADA!K98+'DIETOLOGÍA(S)'!K98)</f>
        <v>0</v>
      </c>
      <c r="L98" s="77">
        <f>SUM(PACIENTES!L98+COMEDOR!L98+JORNADA!L98+'DIETOLOGÍA(S)'!L98)</f>
        <v>0</v>
      </c>
      <c r="M98" s="77">
        <f>SUM(PACIENTES!M98+COMEDOR!M98+JORNADA!M98+'DIETOLOGÍA(S)'!M98)</f>
        <v>0</v>
      </c>
      <c r="N98" s="77">
        <f>SUM(PACIENTES!N98+COMEDOR!N98+JORNADA!N98+'DIETOLOGÍA(S)'!N98)</f>
        <v>0</v>
      </c>
      <c r="O98" s="77">
        <f>SUM(PACIENTES!O98+COMEDOR!O98+JORNADA!O98+'DIETOLOGÍA(S)'!O98)</f>
        <v>0</v>
      </c>
      <c r="P98" s="77">
        <f>SUM(PACIENTES!P98+COMEDOR!P98+JORNADA!P98+'DIETOLOGÍA(S)'!P98)</f>
        <v>0</v>
      </c>
      <c r="Q98" s="77">
        <f>SUM(PACIENTES!Q98+COMEDOR!Q98+JORNADA!Q98+'DIETOLOGÍA(S)'!Q98)</f>
        <v>0</v>
      </c>
      <c r="R98" s="77">
        <f>SUM(PACIENTES!R98+COMEDOR!R98+JORNADA!R98+'DIETOLOGÍA(S)'!R98)</f>
        <v>0</v>
      </c>
      <c r="S98" s="77">
        <f>SUM(PACIENTES!S98+COMEDOR!S98+JORNADA!S98+'DIETOLOGÍA(S)'!S98)</f>
        <v>0</v>
      </c>
      <c r="T98" s="77">
        <f>SUM(PACIENTES!T98+COMEDOR!T98+JORNADA!T98+'DIETOLOGÍA(S)'!T98)</f>
        <v>0</v>
      </c>
      <c r="U98" s="77">
        <f>SUM(PACIENTES!U98+COMEDOR!U98+JORNADA!U98+'DIETOLOGÍA(S)'!U98)</f>
        <v>0</v>
      </c>
      <c r="V98" s="77">
        <f>SUM(PACIENTES!V98+COMEDOR!V98+JORNADA!V98+'DIETOLOGÍA(S)'!V98)</f>
        <v>0</v>
      </c>
      <c r="W98" s="77">
        <f>SUM(PACIENTES!W98+COMEDOR!W98+JORNADA!W98+'DIETOLOGÍA(S)'!W98)</f>
        <v>0</v>
      </c>
      <c r="X98" s="77">
        <f>SUM(PACIENTES!X98+COMEDOR!X98+JORNADA!X98+'DIETOLOGÍA(S)'!X98)</f>
        <v>0</v>
      </c>
      <c r="Y98" s="77">
        <f>SUM(PACIENTES!Y98+COMEDOR!Y98+JORNADA!Y98+'DIETOLOGÍA(S)'!Y98)</f>
        <v>0</v>
      </c>
      <c r="Z98" s="77">
        <f>SUM(PACIENTES!Z98+COMEDOR!Z98+JORNADA!Z98+'DIETOLOGÍA(S)'!Z98)</f>
        <v>0</v>
      </c>
      <c r="AA98" s="77">
        <f>SUM(PACIENTES!AA98+COMEDOR!AA98+JORNADA!AA98+'DIETOLOGÍA(S)'!AA98)</f>
        <v>0</v>
      </c>
      <c r="AB98" s="77">
        <f>SUM(PACIENTES!AB98+COMEDOR!AB98+JORNADA!AB98+'DIETOLOGÍA(S)'!AB98)</f>
        <v>0</v>
      </c>
      <c r="AC98" s="77">
        <f>SUM(PACIENTES!AC98+COMEDOR!AC98+JORNADA!AC98+'DIETOLOGÍA(S)'!AC98)</f>
        <v>0</v>
      </c>
      <c r="AD98" s="77">
        <f>SUM(PACIENTES!AD98+COMEDOR!AD98+JORNADA!AD98+'DIETOLOGÍA(S)'!AD98)</f>
        <v>0</v>
      </c>
      <c r="AE98" s="77">
        <f>SUM(PACIENTES!AE98+COMEDOR!AE98+JORNADA!AE98+'DIETOLOGÍA(S)'!AE98)</f>
        <v>0</v>
      </c>
      <c r="AF98" s="77">
        <f>SUM(PACIENTES!AF98+COMEDOR!AF98+JORNADA!AF98+'DIETOLOGÍA(S)'!AF98)</f>
        <v>0</v>
      </c>
      <c r="AG98" s="77">
        <f>SUM(PACIENTES!AG98+COMEDOR!AG98+JORNADA!AG98+'DIETOLOGÍA(S)'!AG98)</f>
        <v>0</v>
      </c>
      <c r="AH98" s="77">
        <f>SUM(PACIENTES!AH98+COMEDOR!AH98+JORNADA!AH98+'DIETOLOGÍA(S)'!AH98)</f>
        <v>0</v>
      </c>
      <c r="AI98" s="9">
        <f t="shared" si="2"/>
        <v>2</v>
      </c>
    </row>
    <row r="99" spans="1:35" ht="15.75" customHeight="1">
      <c r="A99" s="78">
        <v>2212002018</v>
      </c>
      <c r="B99" s="79" t="s">
        <v>104</v>
      </c>
      <c r="C99" s="80" t="s">
        <v>6</v>
      </c>
      <c r="D99" s="77">
        <f>SUM(PACIENTES!D99+COMEDOR!D99+JORNADA!D99+'DIETOLOGÍA(S)'!D99)</f>
        <v>0</v>
      </c>
      <c r="E99" s="77">
        <f>SUM(PACIENTES!E99+COMEDOR!E99+JORNADA!E99+'DIETOLOGÍA(S)'!E99)</f>
        <v>0</v>
      </c>
      <c r="F99" s="77">
        <f>SUM(PACIENTES!F99+COMEDOR!F99+JORNADA!F99+'DIETOLOGÍA(S)'!F99)</f>
        <v>0</v>
      </c>
      <c r="G99" s="77">
        <f>SUM(PACIENTES!G99+COMEDOR!G99+JORNADA!G99+'DIETOLOGÍA(S)'!G99)</f>
        <v>0</v>
      </c>
      <c r="H99" s="77">
        <f>SUM(PACIENTES!H99+COMEDOR!H99+JORNADA!H99+'DIETOLOGÍA(S)'!H99)</f>
        <v>0</v>
      </c>
      <c r="I99" s="77">
        <f>SUM(PACIENTES!I99+COMEDOR!I99+JORNADA!I99+'DIETOLOGÍA(S)'!I99)</f>
        <v>0</v>
      </c>
      <c r="J99" s="77">
        <f>SUM(PACIENTES!J99+COMEDOR!J99+JORNADA!J99+'DIETOLOGÍA(S)'!J99)</f>
        <v>0</v>
      </c>
      <c r="K99" s="77">
        <f>SUM(PACIENTES!K99+COMEDOR!K99+JORNADA!K99+'DIETOLOGÍA(S)'!K99)</f>
        <v>0</v>
      </c>
      <c r="L99" s="77">
        <f>SUM(PACIENTES!L99+COMEDOR!L99+JORNADA!L99+'DIETOLOGÍA(S)'!L99)</f>
        <v>0</v>
      </c>
      <c r="M99" s="77">
        <f>SUM(PACIENTES!M99+COMEDOR!M99+JORNADA!M99+'DIETOLOGÍA(S)'!M99)</f>
        <v>0</v>
      </c>
      <c r="N99" s="77">
        <f>SUM(PACIENTES!N99+COMEDOR!N99+JORNADA!N99+'DIETOLOGÍA(S)'!N99)</f>
        <v>0</v>
      </c>
      <c r="O99" s="77">
        <f>SUM(PACIENTES!O99+COMEDOR!O99+JORNADA!O99+'DIETOLOGÍA(S)'!O99)</f>
        <v>0</v>
      </c>
      <c r="P99" s="77">
        <f>SUM(PACIENTES!P99+COMEDOR!P99+JORNADA!P99+'DIETOLOGÍA(S)'!P99)</f>
        <v>40</v>
      </c>
      <c r="Q99" s="77">
        <f>SUM(PACIENTES!Q99+COMEDOR!Q99+JORNADA!Q99+'DIETOLOGÍA(S)'!Q99)</f>
        <v>0</v>
      </c>
      <c r="R99" s="77">
        <f>SUM(PACIENTES!R99+COMEDOR!R99+JORNADA!R99+'DIETOLOGÍA(S)'!R99)</f>
        <v>0</v>
      </c>
      <c r="S99" s="77">
        <f>SUM(PACIENTES!S99+COMEDOR!S99+JORNADA!S99+'DIETOLOGÍA(S)'!S99)</f>
        <v>0</v>
      </c>
      <c r="T99" s="77">
        <f>SUM(PACIENTES!T99+COMEDOR!T99+JORNADA!T99+'DIETOLOGÍA(S)'!T99)</f>
        <v>0</v>
      </c>
      <c r="U99" s="77">
        <f>SUM(PACIENTES!U99+COMEDOR!U99+JORNADA!U99+'DIETOLOGÍA(S)'!U99)</f>
        <v>0</v>
      </c>
      <c r="V99" s="77">
        <f>SUM(PACIENTES!V99+COMEDOR!V99+JORNADA!V99+'DIETOLOGÍA(S)'!V99)</f>
        <v>0</v>
      </c>
      <c r="W99" s="77">
        <f>SUM(PACIENTES!W99+COMEDOR!W99+JORNADA!W99+'DIETOLOGÍA(S)'!W99)</f>
        <v>0</v>
      </c>
      <c r="X99" s="77">
        <f>SUM(PACIENTES!X99+COMEDOR!X99+JORNADA!X99+'DIETOLOGÍA(S)'!X99)</f>
        <v>0</v>
      </c>
      <c r="Y99" s="77">
        <f>SUM(PACIENTES!Y99+COMEDOR!Y99+JORNADA!Y99+'DIETOLOGÍA(S)'!Y99)</f>
        <v>0</v>
      </c>
      <c r="Z99" s="77">
        <f>SUM(PACIENTES!Z99+COMEDOR!Z99+JORNADA!Z99+'DIETOLOGÍA(S)'!Z99)</f>
        <v>0</v>
      </c>
      <c r="AA99" s="77">
        <f>SUM(PACIENTES!AA99+COMEDOR!AA99+JORNADA!AA99+'DIETOLOGÍA(S)'!AA99)</f>
        <v>0</v>
      </c>
      <c r="AB99" s="77">
        <f>SUM(PACIENTES!AB99+COMEDOR!AB99+JORNADA!AB99+'DIETOLOGÍA(S)'!AB99)</f>
        <v>0</v>
      </c>
      <c r="AC99" s="77">
        <f>SUM(PACIENTES!AC99+COMEDOR!AC99+JORNADA!AC99+'DIETOLOGÍA(S)'!AC99)</f>
        <v>0</v>
      </c>
      <c r="AD99" s="77">
        <f>SUM(PACIENTES!AD99+COMEDOR!AD99+JORNADA!AD99+'DIETOLOGÍA(S)'!AD99)</f>
        <v>0</v>
      </c>
      <c r="AE99" s="77">
        <f>SUM(PACIENTES!AE99+COMEDOR!AE99+JORNADA!AE99+'DIETOLOGÍA(S)'!AE99)</f>
        <v>0</v>
      </c>
      <c r="AF99" s="77">
        <f>SUM(PACIENTES!AF99+COMEDOR!AF99+JORNADA!AF99+'DIETOLOGÍA(S)'!AF99)</f>
        <v>0</v>
      </c>
      <c r="AG99" s="77">
        <f>SUM(PACIENTES!AG99+COMEDOR!AG99+JORNADA!AG99+'DIETOLOGÍA(S)'!AG99)</f>
        <v>0</v>
      </c>
      <c r="AH99" s="77">
        <f>SUM(PACIENTES!AH99+COMEDOR!AH99+JORNADA!AH99+'DIETOLOGÍA(S)'!AH99)</f>
        <v>0</v>
      </c>
      <c r="AI99" s="9">
        <f t="shared" si="2"/>
        <v>40</v>
      </c>
    </row>
    <row r="100" spans="1:35" ht="15.75" customHeight="1">
      <c r="A100" s="78">
        <v>2212002022</v>
      </c>
      <c r="B100" s="79" t="s">
        <v>105</v>
      </c>
      <c r="C100" s="80" t="s">
        <v>6</v>
      </c>
      <c r="D100" s="77">
        <f>SUM(PACIENTES!D100+COMEDOR!D100+JORNADA!D100+'DIETOLOGÍA(S)'!D100)</f>
        <v>0</v>
      </c>
      <c r="E100" s="77">
        <f>SUM(PACIENTES!E100+COMEDOR!E100+JORNADA!E100+'DIETOLOGÍA(S)'!E100)</f>
        <v>0</v>
      </c>
      <c r="F100" s="77">
        <f>SUM(PACIENTES!F100+COMEDOR!F100+JORNADA!F100+'DIETOLOGÍA(S)'!F100)</f>
        <v>0</v>
      </c>
      <c r="G100" s="77">
        <f>SUM(PACIENTES!G100+COMEDOR!G100+JORNADA!G100+'DIETOLOGÍA(S)'!G100)</f>
        <v>0</v>
      </c>
      <c r="H100" s="77">
        <f>SUM(PACIENTES!H100+COMEDOR!H100+JORNADA!H100+'DIETOLOGÍA(S)'!H100)</f>
        <v>0</v>
      </c>
      <c r="I100" s="77">
        <f>SUM(PACIENTES!I100+COMEDOR!I100+JORNADA!I100+'DIETOLOGÍA(S)'!I100)</f>
        <v>1</v>
      </c>
      <c r="J100" s="77">
        <f>SUM(PACIENTES!J100+COMEDOR!J100+JORNADA!J100+'DIETOLOGÍA(S)'!J100)</f>
        <v>0</v>
      </c>
      <c r="K100" s="77">
        <f>SUM(PACIENTES!K100+COMEDOR!K100+JORNADA!K100+'DIETOLOGÍA(S)'!K100)</f>
        <v>0</v>
      </c>
      <c r="L100" s="77">
        <f>SUM(PACIENTES!L100+COMEDOR!L100+JORNADA!L100+'DIETOLOGÍA(S)'!L100)</f>
        <v>0</v>
      </c>
      <c r="M100" s="77">
        <f>SUM(PACIENTES!M100+COMEDOR!M100+JORNADA!M100+'DIETOLOGÍA(S)'!M100)</f>
        <v>0</v>
      </c>
      <c r="N100" s="77">
        <f>SUM(PACIENTES!N100+COMEDOR!N100+JORNADA!N100+'DIETOLOGÍA(S)'!N100)</f>
        <v>0</v>
      </c>
      <c r="O100" s="77">
        <f>SUM(PACIENTES!O100+COMEDOR!O100+JORNADA!O100+'DIETOLOGÍA(S)'!O100)</f>
        <v>0</v>
      </c>
      <c r="P100" s="77">
        <f>SUM(PACIENTES!P100+COMEDOR!P100+JORNADA!P100+'DIETOLOGÍA(S)'!P100)</f>
        <v>0</v>
      </c>
      <c r="Q100" s="77">
        <f>SUM(PACIENTES!Q100+COMEDOR!Q100+JORNADA!Q100+'DIETOLOGÍA(S)'!Q100)</f>
        <v>0</v>
      </c>
      <c r="R100" s="77">
        <f>SUM(PACIENTES!R100+COMEDOR!R100+JORNADA!R100+'DIETOLOGÍA(S)'!R100)</f>
        <v>0</v>
      </c>
      <c r="S100" s="77">
        <f>SUM(PACIENTES!S100+COMEDOR!S100+JORNADA!S100+'DIETOLOGÍA(S)'!S100)</f>
        <v>0</v>
      </c>
      <c r="T100" s="77">
        <f>SUM(PACIENTES!T100+COMEDOR!T100+JORNADA!T100+'DIETOLOGÍA(S)'!T100)</f>
        <v>25</v>
      </c>
      <c r="U100" s="77">
        <f>SUM(PACIENTES!U100+COMEDOR!U100+JORNADA!U100+'DIETOLOGÍA(S)'!U100)</f>
        <v>0</v>
      </c>
      <c r="V100" s="77">
        <f>SUM(PACIENTES!V100+COMEDOR!V100+JORNADA!V100+'DIETOLOGÍA(S)'!V100)</f>
        <v>0</v>
      </c>
      <c r="W100" s="77">
        <f>SUM(PACIENTES!W100+COMEDOR!W100+JORNADA!W100+'DIETOLOGÍA(S)'!W100)</f>
        <v>0</v>
      </c>
      <c r="X100" s="77">
        <f>SUM(PACIENTES!X100+COMEDOR!X100+JORNADA!X100+'DIETOLOGÍA(S)'!X100)</f>
        <v>0</v>
      </c>
      <c r="Y100" s="77">
        <f>SUM(PACIENTES!Y100+COMEDOR!Y100+JORNADA!Y100+'DIETOLOGÍA(S)'!Y100)</f>
        <v>0</v>
      </c>
      <c r="Z100" s="77">
        <f>SUM(PACIENTES!Z100+COMEDOR!Z100+JORNADA!Z100+'DIETOLOGÍA(S)'!Z100)</f>
        <v>0</v>
      </c>
      <c r="AA100" s="77">
        <f>SUM(PACIENTES!AA100+COMEDOR!AA100+JORNADA!AA100+'DIETOLOGÍA(S)'!AA100)</f>
        <v>0</v>
      </c>
      <c r="AB100" s="77">
        <f>SUM(PACIENTES!AB100+COMEDOR!AB100+JORNADA!AB100+'DIETOLOGÍA(S)'!AB100)</f>
        <v>0</v>
      </c>
      <c r="AC100" s="77">
        <f>SUM(PACIENTES!AC100+COMEDOR!AC100+JORNADA!AC100+'DIETOLOGÍA(S)'!AC100)</f>
        <v>0</v>
      </c>
      <c r="AD100" s="77">
        <f>SUM(PACIENTES!AD100+COMEDOR!AD100+JORNADA!AD100+'DIETOLOGÍA(S)'!AD100)</f>
        <v>0</v>
      </c>
      <c r="AE100" s="77">
        <f>SUM(PACIENTES!AE100+COMEDOR!AE100+JORNADA!AE100+'DIETOLOGÍA(S)'!AE100)</f>
        <v>40</v>
      </c>
      <c r="AF100" s="77">
        <f>SUM(PACIENTES!AF100+COMEDOR!AF100+JORNADA!AF100+'DIETOLOGÍA(S)'!AF100)</f>
        <v>0</v>
      </c>
      <c r="AG100" s="77">
        <f>SUM(PACIENTES!AG100+COMEDOR!AG100+JORNADA!AG100+'DIETOLOGÍA(S)'!AG100)</f>
        <v>0</v>
      </c>
      <c r="AH100" s="77">
        <f>SUM(PACIENTES!AH100+COMEDOR!AH100+JORNADA!AH100+'DIETOLOGÍA(S)'!AH100)</f>
        <v>0</v>
      </c>
      <c r="AI100" s="9">
        <f t="shared" si="2"/>
        <v>66</v>
      </c>
    </row>
    <row r="101" spans="1:35" ht="15.75" customHeight="1">
      <c r="A101" s="78">
        <v>2212002023</v>
      </c>
      <c r="B101" s="79" t="s">
        <v>106</v>
      </c>
      <c r="C101" s="80" t="s">
        <v>6</v>
      </c>
      <c r="D101" s="77">
        <f>SUM(PACIENTES!D101+COMEDOR!D101+JORNADA!D101+'DIETOLOGÍA(S)'!D101)</f>
        <v>0</v>
      </c>
      <c r="E101" s="77">
        <f>SUM(PACIENTES!E101+COMEDOR!E101+JORNADA!E101+'DIETOLOGÍA(S)'!E101)</f>
        <v>0</v>
      </c>
      <c r="F101" s="77">
        <f>SUM(PACIENTES!F101+COMEDOR!F101+JORNADA!F101+'DIETOLOGÍA(S)'!F101)</f>
        <v>0</v>
      </c>
      <c r="G101" s="77">
        <f>SUM(PACIENTES!G101+COMEDOR!G101+JORNADA!G101+'DIETOLOGÍA(S)'!G101)</f>
        <v>0</v>
      </c>
      <c r="H101" s="77">
        <f>SUM(PACIENTES!H101+COMEDOR!H101+JORNADA!H101+'DIETOLOGÍA(S)'!H101)</f>
        <v>0</v>
      </c>
      <c r="I101" s="77">
        <f>SUM(PACIENTES!I101+COMEDOR!I101+JORNADA!I101+'DIETOLOGÍA(S)'!I101)</f>
        <v>0</v>
      </c>
      <c r="J101" s="77">
        <f>SUM(PACIENTES!J101+COMEDOR!J101+JORNADA!J101+'DIETOLOGÍA(S)'!J101)</f>
        <v>0</v>
      </c>
      <c r="K101" s="77">
        <f>SUM(PACIENTES!K101+COMEDOR!K101+JORNADA!K101+'DIETOLOGÍA(S)'!K101)</f>
        <v>0</v>
      </c>
      <c r="L101" s="77">
        <f>SUM(PACIENTES!L101+COMEDOR!L101+JORNADA!L101+'DIETOLOGÍA(S)'!L101)</f>
        <v>0</v>
      </c>
      <c r="M101" s="77">
        <f>SUM(PACIENTES!M101+COMEDOR!M101+JORNADA!M101+'DIETOLOGÍA(S)'!M101)</f>
        <v>0</v>
      </c>
      <c r="N101" s="77">
        <f>SUM(PACIENTES!N101+COMEDOR!N101+JORNADA!N101+'DIETOLOGÍA(S)'!N101)</f>
        <v>0</v>
      </c>
      <c r="O101" s="77">
        <f>SUM(PACIENTES!O101+COMEDOR!O101+JORNADA!O101+'DIETOLOGÍA(S)'!O101)</f>
        <v>0</v>
      </c>
      <c r="P101" s="77">
        <f>SUM(PACIENTES!P101+COMEDOR!P101+JORNADA!P101+'DIETOLOGÍA(S)'!P101)</f>
        <v>0</v>
      </c>
      <c r="Q101" s="77">
        <f>SUM(PACIENTES!Q101+COMEDOR!Q101+JORNADA!Q101+'DIETOLOGÍA(S)'!Q101)</f>
        <v>0</v>
      </c>
      <c r="R101" s="77">
        <f>SUM(PACIENTES!R101+COMEDOR!R101+JORNADA!R101+'DIETOLOGÍA(S)'!R101)</f>
        <v>0</v>
      </c>
      <c r="S101" s="77">
        <f>SUM(PACIENTES!S101+COMEDOR!S101+JORNADA!S101+'DIETOLOGÍA(S)'!S101)</f>
        <v>0</v>
      </c>
      <c r="T101" s="77">
        <f>SUM(PACIENTES!T101+COMEDOR!T101+JORNADA!T101+'DIETOLOGÍA(S)'!T101)</f>
        <v>0</v>
      </c>
      <c r="U101" s="77">
        <f>SUM(PACIENTES!U101+COMEDOR!U101+JORNADA!U101+'DIETOLOGÍA(S)'!U101)</f>
        <v>0</v>
      </c>
      <c r="V101" s="77">
        <f>SUM(PACIENTES!V101+COMEDOR!V101+JORNADA!V101+'DIETOLOGÍA(S)'!V101)</f>
        <v>0</v>
      </c>
      <c r="W101" s="77">
        <f>SUM(PACIENTES!W101+COMEDOR!W101+JORNADA!W101+'DIETOLOGÍA(S)'!W101)</f>
        <v>0</v>
      </c>
      <c r="X101" s="77">
        <f>SUM(PACIENTES!X101+COMEDOR!X101+JORNADA!X101+'DIETOLOGÍA(S)'!X101)</f>
        <v>0</v>
      </c>
      <c r="Y101" s="77">
        <f>SUM(PACIENTES!Y101+COMEDOR!Y101+JORNADA!Y101+'DIETOLOGÍA(S)'!Y101)</f>
        <v>0</v>
      </c>
      <c r="Z101" s="77">
        <f>SUM(PACIENTES!Z101+COMEDOR!Z101+JORNADA!Z101+'DIETOLOGÍA(S)'!Z101)</f>
        <v>0</v>
      </c>
      <c r="AA101" s="77">
        <f>SUM(PACIENTES!AA101+COMEDOR!AA101+JORNADA!AA101+'DIETOLOGÍA(S)'!AA101)</f>
        <v>0</v>
      </c>
      <c r="AB101" s="77">
        <f>SUM(PACIENTES!AB101+COMEDOR!AB101+JORNADA!AB101+'DIETOLOGÍA(S)'!AB101)</f>
        <v>0</v>
      </c>
      <c r="AC101" s="77">
        <f>SUM(PACIENTES!AC101+COMEDOR!AC101+JORNADA!AC101+'DIETOLOGÍA(S)'!AC101)</f>
        <v>0</v>
      </c>
      <c r="AD101" s="77">
        <f>SUM(PACIENTES!AD101+COMEDOR!AD101+JORNADA!AD101+'DIETOLOGÍA(S)'!AD101)</f>
        <v>0</v>
      </c>
      <c r="AE101" s="77">
        <f>SUM(PACIENTES!AE101+COMEDOR!AE101+JORNADA!AE101+'DIETOLOGÍA(S)'!AE101)</f>
        <v>0</v>
      </c>
      <c r="AF101" s="77">
        <f>SUM(PACIENTES!AF101+COMEDOR!AF101+JORNADA!AF101+'DIETOLOGÍA(S)'!AF101)</f>
        <v>0</v>
      </c>
      <c r="AG101" s="77">
        <f>SUM(PACIENTES!AG101+COMEDOR!AG101+JORNADA!AG101+'DIETOLOGÍA(S)'!AG101)</f>
        <v>0</v>
      </c>
      <c r="AH101" s="77">
        <f>SUM(PACIENTES!AH101+COMEDOR!AH101+JORNADA!AH101+'DIETOLOGÍA(S)'!AH101)</f>
        <v>45</v>
      </c>
      <c r="AI101" s="9">
        <f t="shared" si="2"/>
        <v>45</v>
      </c>
    </row>
    <row r="102" spans="1:35" ht="15.75" customHeight="1">
      <c r="A102" s="78">
        <v>2212002025</v>
      </c>
      <c r="B102" s="79" t="s">
        <v>107</v>
      </c>
      <c r="C102" s="80" t="s">
        <v>6</v>
      </c>
      <c r="D102" s="77">
        <f>SUM(PACIENTES!D102+COMEDOR!D102+JORNADA!D102+'DIETOLOGÍA(S)'!D102)</f>
        <v>0</v>
      </c>
      <c r="E102" s="77">
        <f>SUM(PACIENTES!E102+COMEDOR!E102+JORNADA!E102+'DIETOLOGÍA(S)'!E102)</f>
        <v>0</v>
      </c>
      <c r="F102" s="77">
        <f>SUM(PACIENTES!F102+COMEDOR!F102+JORNADA!F102+'DIETOLOGÍA(S)'!F102)</f>
        <v>0</v>
      </c>
      <c r="G102" s="77">
        <f>SUM(PACIENTES!G102+COMEDOR!G102+JORNADA!G102+'DIETOLOGÍA(S)'!G102)</f>
        <v>0</v>
      </c>
      <c r="H102" s="77">
        <f>SUM(PACIENTES!H102+COMEDOR!H102+JORNADA!H102+'DIETOLOGÍA(S)'!H102)</f>
        <v>0</v>
      </c>
      <c r="I102" s="77">
        <f>SUM(PACIENTES!I102+COMEDOR!I102+JORNADA!I102+'DIETOLOGÍA(S)'!I102)</f>
        <v>0</v>
      </c>
      <c r="J102" s="77">
        <f>SUM(PACIENTES!J102+COMEDOR!J102+JORNADA!J102+'DIETOLOGÍA(S)'!J102)</f>
        <v>0</v>
      </c>
      <c r="K102" s="77">
        <f>SUM(PACIENTES!K102+COMEDOR!K102+JORNADA!K102+'DIETOLOGÍA(S)'!K102)</f>
        <v>0</v>
      </c>
      <c r="L102" s="77">
        <f>SUM(PACIENTES!L102+COMEDOR!L102+JORNADA!L102+'DIETOLOGÍA(S)'!L102)</f>
        <v>0</v>
      </c>
      <c r="M102" s="77">
        <f>SUM(PACIENTES!M102+COMEDOR!M102+JORNADA!M102+'DIETOLOGÍA(S)'!M102)</f>
        <v>0</v>
      </c>
      <c r="N102" s="77">
        <f>SUM(PACIENTES!N102+COMEDOR!N102+JORNADA!N102+'DIETOLOGÍA(S)'!N102)</f>
        <v>0</v>
      </c>
      <c r="O102" s="77">
        <f>SUM(PACIENTES!O102+COMEDOR!O102+JORNADA!O102+'DIETOLOGÍA(S)'!O102)</f>
        <v>0</v>
      </c>
      <c r="P102" s="77">
        <f>SUM(PACIENTES!P102+COMEDOR!P102+JORNADA!P102+'DIETOLOGÍA(S)'!P102)</f>
        <v>0</v>
      </c>
      <c r="Q102" s="77">
        <f>SUM(PACIENTES!Q102+COMEDOR!Q102+JORNADA!Q102+'DIETOLOGÍA(S)'!Q102)</f>
        <v>0</v>
      </c>
      <c r="R102" s="77">
        <f>SUM(PACIENTES!R102+COMEDOR!R102+JORNADA!R102+'DIETOLOGÍA(S)'!R102)</f>
        <v>17</v>
      </c>
      <c r="S102" s="77">
        <f>SUM(PACIENTES!S102+COMEDOR!S102+JORNADA!S102+'DIETOLOGÍA(S)'!S102)</f>
        <v>0</v>
      </c>
      <c r="T102" s="77">
        <f>SUM(PACIENTES!T102+COMEDOR!T102+JORNADA!T102+'DIETOLOGÍA(S)'!T102)</f>
        <v>0</v>
      </c>
      <c r="U102" s="77">
        <f>SUM(PACIENTES!U102+COMEDOR!U102+JORNADA!U102+'DIETOLOGÍA(S)'!U102)</f>
        <v>0</v>
      </c>
      <c r="V102" s="77">
        <f>SUM(PACIENTES!V102+COMEDOR!V102+JORNADA!V102+'DIETOLOGÍA(S)'!V102)</f>
        <v>0</v>
      </c>
      <c r="W102" s="77">
        <f>SUM(PACIENTES!W102+COMEDOR!W102+JORNADA!W102+'DIETOLOGÍA(S)'!W102)</f>
        <v>0</v>
      </c>
      <c r="X102" s="77">
        <f>SUM(PACIENTES!X102+COMEDOR!X102+JORNADA!X102+'DIETOLOGÍA(S)'!X102)</f>
        <v>0</v>
      </c>
      <c r="Y102" s="77">
        <f>SUM(PACIENTES!Y102+COMEDOR!Y102+JORNADA!Y102+'DIETOLOGÍA(S)'!Y102)</f>
        <v>0</v>
      </c>
      <c r="Z102" s="77">
        <f>SUM(PACIENTES!Z102+COMEDOR!Z102+JORNADA!Z102+'DIETOLOGÍA(S)'!Z102)</f>
        <v>0</v>
      </c>
      <c r="AA102" s="77">
        <f>SUM(PACIENTES!AA102+COMEDOR!AA102+JORNADA!AA102+'DIETOLOGÍA(S)'!AA102)</f>
        <v>0</v>
      </c>
      <c r="AB102" s="77">
        <f>SUM(PACIENTES!AB102+COMEDOR!AB102+JORNADA!AB102+'DIETOLOGÍA(S)'!AB102)</f>
        <v>0</v>
      </c>
      <c r="AC102" s="77">
        <f>SUM(PACIENTES!AC102+COMEDOR!AC102+JORNADA!AC102+'DIETOLOGÍA(S)'!AC102)</f>
        <v>0</v>
      </c>
      <c r="AD102" s="77">
        <f>SUM(PACIENTES!AD102+COMEDOR!AD102+JORNADA!AD102+'DIETOLOGÍA(S)'!AD102)</f>
        <v>0</v>
      </c>
      <c r="AE102" s="77">
        <f>SUM(PACIENTES!AE102+COMEDOR!AE102+JORNADA!AE102+'DIETOLOGÍA(S)'!AE102)</f>
        <v>0</v>
      </c>
      <c r="AF102" s="77">
        <f>SUM(PACIENTES!AF102+COMEDOR!AF102+JORNADA!AF102+'DIETOLOGÍA(S)'!AF102)</f>
        <v>0</v>
      </c>
      <c r="AG102" s="77">
        <f>SUM(PACIENTES!AG102+COMEDOR!AG102+JORNADA!AG102+'DIETOLOGÍA(S)'!AG102)</f>
        <v>0</v>
      </c>
      <c r="AH102" s="77">
        <f>SUM(PACIENTES!AH102+COMEDOR!AH102+JORNADA!AH102+'DIETOLOGÍA(S)'!AH102)</f>
        <v>0</v>
      </c>
      <c r="AI102" s="9">
        <f t="shared" si="2"/>
        <v>17</v>
      </c>
    </row>
    <row r="103" spans="1:35" ht="15.75" customHeight="1">
      <c r="A103" s="78">
        <v>2212002026</v>
      </c>
      <c r="B103" s="79" t="s">
        <v>108</v>
      </c>
      <c r="C103" s="80" t="s">
        <v>6</v>
      </c>
      <c r="D103" s="77">
        <f>SUM(PACIENTES!D103+COMEDOR!D103+JORNADA!D103+'DIETOLOGÍA(S)'!D103)</f>
        <v>0</v>
      </c>
      <c r="E103" s="77">
        <f>SUM(PACIENTES!E103+COMEDOR!E103+JORNADA!E103+'DIETOLOGÍA(S)'!E103)</f>
        <v>0</v>
      </c>
      <c r="F103" s="77">
        <f>SUM(PACIENTES!F103+COMEDOR!F103+JORNADA!F103+'DIETOLOGÍA(S)'!F103)</f>
        <v>0</v>
      </c>
      <c r="G103" s="77">
        <f>SUM(PACIENTES!G103+COMEDOR!G103+JORNADA!G103+'DIETOLOGÍA(S)'!G103)</f>
        <v>0</v>
      </c>
      <c r="H103" s="77">
        <f>SUM(PACIENTES!H103+COMEDOR!H103+JORNADA!H103+'DIETOLOGÍA(S)'!H103)</f>
        <v>0</v>
      </c>
      <c r="I103" s="77">
        <f>SUM(PACIENTES!I103+COMEDOR!I103+JORNADA!I103+'DIETOLOGÍA(S)'!I103)</f>
        <v>0</v>
      </c>
      <c r="J103" s="77">
        <f>SUM(PACIENTES!J103+COMEDOR!J103+JORNADA!J103+'DIETOLOGÍA(S)'!J103)</f>
        <v>0</v>
      </c>
      <c r="K103" s="77">
        <f>SUM(PACIENTES!K103+COMEDOR!K103+JORNADA!K103+'DIETOLOGÍA(S)'!K103)</f>
        <v>0</v>
      </c>
      <c r="L103" s="77">
        <f>SUM(PACIENTES!L103+COMEDOR!L103+JORNADA!L103+'DIETOLOGÍA(S)'!L103)</f>
        <v>0</v>
      </c>
      <c r="M103" s="77">
        <f>SUM(PACIENTES!M103+COMEDOR!M103+JORNADA!M103+'DIETOLOGÍA(S)'!M103)</f>
        <v>0</v>
      </c>
      <c r="N103" s="77">
        <f>SUM(PACIENTES!N103+COMEDOR!N103+JORNADA!N103+'DIETOLOGÍA(S)'!N103)</f>
        <v>0</v>
      </c>
      <c r="O103" s="77">
        <f>SUM(PACIENTES!O103+COMEDOR!O103+JORNADA!O103+'DIETOLOGÍA(S)'!O103)</f>
        <v>0</v>
      </c>
      <c r="P103" s="77">
        <f>SUM(PACIENTES!P103+COMEDOR!P103+JORNADA!P103+'DIETOLOGÍA(S)'!P103)</f>
        <v>0</v>
      </c>
      <c r="Q103" s="77">
        <f>SUM(PACIENTES!Q103+COMEDOR!Q103+JORNADA!Q103+'DIETOLOGÍA(S)'!Q103)</f>
        <v>0</v>
      </c>
      <c r="R103" s="77">
        <f>SUM(PACIENTES!R103+COMEDOR!R103+JORNADA!R103+'DIETOLOGÍA(S)'!R103)</f>
        <v>13</v>
      </c>
      <c r="S103" s="77">
        <f>SUM(PACIENTES!S103+COMEDOR!S103+JORNADA!S103+'DIETOLOGÍA(S)'!S103)</f>
        <v>0</v>
      </c>
      <c r="T103" s="77">
        <f>SUM(PACIENTES!T103+COMEDOR!T103+JORNADA!T103+'DIETOLOGÍA(S)'!T103)</f>
        <v>0</v>
      </c>
      <c r="U103" s="77">
        <f>SUM(PACIENTES!U103+COMEDOR!U103+JORNADA!U103+'DIETOLOGÍA(S)'!U103)</f>
        <v>0</v>
      </c>
      <c r="V103" s="77">
        <f>SUM(PACIENTES!V103+COMEDOR!V103+JORNADA!V103+'DIETOLOGÍA(S)'!V103)</f>
        <v>0</v>
      </c>
      <c r="W103" s="77">
        <f>SUM(PACIENTES!W103+COMEDOR!W103+JORNADA!W103+'DIETOLOGÍA(S)'!W103)</f>
        <v>0</v>
      </c>
      <c r="X103" s="77">
        <f>SUM(PACIENTES!X103+COMEDOR!X103+JORNADA!X103+'DIETOLOGÍA(S)'!X103)</f>
        <v>0</v>
      </c>
      <c r="Y103" s="77">
        <f>SUM(PACIENTES!Y103+COMEDOR!Y103+JORNADA!Y103+'DIETOLOGÍA(S)'!Y103)</f>
        <v>0</v>
      </c>
      <c r="Z103" s="77">
        <f>SUM(PACIENTES!Z103+COMEDOR!Z103+JORNADA!Z103+'DIETOLOGÍA(S)'!Z103)</f>
        <v>0</v>
      </c>
      <c r="AA103" s="77">
        <f>SUM(PACIENTES!AA103+COMEDOR!AA103+JORNADA!AA103+'DIETOLOGÍA(S)'!AA103)</f>
        <v>0</v>
      </c>
      <c r="AB103" s="77">
        <f>SUM(PACIENTES!AB103+COMEDOR!AB103+JORNADA!AB103+'DIETOLOGÍA(S)'!AB103)</f>
        <v>0</v>
      </c>
      <c r="AC103" s="77">
        <f>SUM(PACIENTES!AC103+COMEDOR!AC103+JORNADA!AC103+'DIETOLOGÍA(S)'!AC103)</f>
        <v>0</v>
      </c>
      <c r="AD103" s="77">
        <f>SUM(PACIENTES!AD103+COMEDOR!AD103+JORNADA!AD103+'DIETOLOGÍA(S)'!AD103)</f>
        <v>0</v>
      </c>
      <c r="AE103" s="77">
        <f>SUM(PACIENTES!AE103+COMEDOR!AE103+JORNADA!AE103+'DIETOLOGÍA(S)'!AE103)</f>
        <v>0</v>
      </c>
      <c r="AF103" s="77">
        <f>SUM(PACIENTES!AF103+COMEDOR!AF103+JORNADA!AF103+'DIETOLOGÍA(S)'!AF103)</f>
        <v>0</v>
      </c>
      <c r="AG103" s="77">
        <f>SUM(PACIENTES!AG103+COMEDOR!AG103+JORNADA!AG103+'DIETOLOGÍA(S)'!AG103)</f>
        <v>0</v>
      </c>
      <c r="AH103" s="77">
        <f>SUM(PACIENTES!AH103+COMEDOR!AH103+JORNADA!AH103+'DIETOLOGÍA(S)'!AH103)</f>
        <v>0</v>
      </c>
      <c r="AI103" s="9">
        <f t="shared" si="2"/>
        <v>13</v>
      </c>
    </row>
    <row r="104" spans="1:35" ht="15.75" customHeight="1">
      <c r="A104" s="78">
        <v>2212002027</v>
      </c>
      <c r="B104" s="79" t="s">
        <v>109</v>
      </c>
      <c r="C104" s="80" t="s">
        <v>6</v>
      </c>
      <c r="D104" s="77">
        <f>SUM(PACIENTES!D104+COMEDOR!D104+JORNADA!D104+'DIETOLOGÍA(S)'!D104)</f>
        <v>0</v>
      </c>
      <c r="E104" s="77">
        <f>SUM(PACIENTES!E104+COMEDOR!E104+JORNADA!E104+'DIETOLOGÍA(S)'!E104)</f>
        <v>0</v>
      </c>
      <c r="F104" s="77">
        <f>SUM(PACIENTES!F104+COMEDOR!F104+JORNADA!F104+'DIETOLOGÍA(S)'!F104)</f>
        <v>6</v>
      </c>
      <c r="G104" s="77">
        <f>SUM(PACIENTES!G104+COMEDOR!G104+JORNADA!G104+'DIETOLOGÍA(S)'!G104)</f>
        <v>0</v>
      </c>
      <c r="H104" s="77">
        <f>SUM(PACIENTES!H104+COMEDOR!H104+JORNADA!H104+'DIETOLOGÍA(S)'!H104)</f>
        <v>0</v>
      </c>
      <c r="I104" s="77">
        <f>SUM(PACIENTES!I104+COMEDOR!I104+JORNADA!I104+'DIETOLOGÍA(S)'!I104)</f>
        <v>0</v>
      </c>
      <c r="J104" s="77">
        <f>SUM(PACIENTES!J104+COMEDOR!J104+JORNADA!J104+'DIETOLOGÍA(S)'!J104)</f>
        <v>0</v>
      </c>
      <c r="K104" s="77">
        <f>SUM(PACIENTES!K104+COMEDOR!K104+JORNADA!K104+'DIETOLOGÍA(S)'!K104)</f>
        <v>0</v>
      </c>
      <c r="L104" s="77">
        <f>SUM(PACIENTES!L104+COMEDOR!L104+JORNADA!L104+'DIETOLOGÍA(S)'!L104)</f>
        <v>0</v>
      </c>
      <c r="M104" s="77">
        <f>SUM(PACIENTES!M104+COMEDOR!M104+JORNADA!M104+'DIETOLOGÍA(S)'!M104)</f>
        <v>0</v>
      </c>
      <c r="N104" s="77">
        <f>SUM(PACIENTES!N104+COMEDOR!N104+JORNADA!N104+'DIETOLOGÍA(S)'!N104)</f>
        <v>0</v>
      </c>
      <c r="O104" s="77">
        <f>SUM(PACIENTES!O104+COMEDOR!O104+JORNADA!O104+'DIETOLOGÍA(S)'!O104)</f>
        <v>0</v>
      </c>
      <c r="P104" s="77">
        <f>SUM(PACIENTES!P104+COMEDOR!P104+JORNADA!P104+'DIETOLOGÍA(S)'!P104)</f>
        <v>0</v>
      </c>
      <c r="Q104" s="77">
        <f>SUM(PACIENTES!Q104+COMEDOR!Q104+JORNADA!Q104+'DIETOLOGÍA(S)'!Q104)</f>
        <v>1</v>
      </c>
      <c r="R104" s="77">
        <f>SUM(PACIENTES!R104+COMEDOR!R104+JORNADA!R104+'DIETOLOGÍA(S)'!R104)</f>
        <v>0</v>
      </c>
      <c r="S104" s="77">
        <f>SUM(PACIENTES!S104+COMEDOR!S104+JORNADA!S104+'DIETOLOGÍA(S)'!S104)</f>
        <v>0</v>
      </c>
      <c r="T104" s="77">
        <f>SUM(PACIENTES!T104+COMEDOR!T104+JORNADA!T104+'DIETOLOGÍA(S)'!T104)</f>
        <v>0</v>
      </c>
      <c r="U104" s="77">
        <f>SUM(PACIENTES!U104+COMEDOR!U104+JORNADA!U104+'DIETOLOGÍA(S)'!U104)</f>
        <v>0</v>
      </c>
      <c r="V104" s="77">
        <f>SUM(PACIENTES!V104+COMEDOR!V104+JORNADA!V104+'DIETOLOGÍA(S)'!V104)</f>
        <v>0</v>
      </c>
      <c r="W104" s="77">
        <f>SUM(PACIENTES!W104+COMEDOR!W104+JORNADA!W104+'DIETOLOGÍA(S)'!W104)</f>
        <v>0</v>
      </c>
      <c r="X104" s="77">
        <f>SUM(PACIENTES!X104+COMEDOR!X104+JORNADA!X104+'DIETOLOGÍA(S)'!X104)</f>
        <v>0</v>
      </c>
      <c r="Y104" s="77">
        <f>SUM(PACIENTES!Y104+COMEDOR!Y104+JORNADA!Y104+'DIETOLOGÍA(S)'!Y104)</f>
        <v>0</v>
      </c>
      <c r="Z104" s="77">
        <f>SUM(PACIENTES!Z104+COMEDOR!Z104+JORNADA!Z104+'DIETOLOGÍA(S)'!Z104)</f>
        <v>0</v>
      </c>
      <c r="AA104" s="77">
        <f>SUM(PACIENTES!AA104+COMEDOR!AA104+JORNADA!AA104+'DIETOLOGÍA(S)'!AA104)</f>
        <v>0</v>
      </c>
      <c r="AB104" s="77">
        <f>SUM(PACIENTES!AB104+COMEDOR!AB104+JORNADA!AB104+'DIETOLOGÍA(S)'!AB104)</f>
        <v>0</v>
      </c>
      <c r="AC104" s="77">
        <f>SUM(PACIENTES!AC104+COMEDOR!AC104+JORNADA!AC104+'DIETOLOGÍA(S)'!AC104)</f>
        <v>0</v>
      </c>
      <c r="AD104" s="77">
        <f>SUM(PACIENTES!AD104+COMEDOR!AD104+JORNADA!AD104+'DIETOLOGÍA(S)'!AD104)</f>
        <v>0</v>
      </c>
      <c r="AE104" s="77">
        <f>SUM(PACIENTES!AE104+COMEDOR!AE104+JORNADA!AE104+'DIETOLOGÍA(S)'!AE104)</f>
        <v>0</v>
      </c>
      <c r="AF104" s="77">
        <f>SUM(PACIENTES!AF104+COMEDOR!AF104+JORNADA!AF104+'DIETOLOGÍA(S)'!AF104)</f>
        <v>6</v>
      </c>
      <c r="AG104" s="77">
        <f>SUM(PACIENTES!AG104+COMEDOR!AG104+JORNADA!AG104+'DIETOLOGÍA(S)'!AG104)</f>
        <v>0</v>
      </c>
      <c r="AH104" s="77">
        <f>SUM(PACIENTES!AH104+COMEDOR!AH104+JORNADA!AH104+'DIETOLOGÍA(S)'!AH104)</f>
        <v>0</v>
      </c>
      <c r="AI104" s="9">
        <f t="shared" si="2"/>
        <v>13</v>
      </c>
    </row>
    <row r="105" spans="1:35" ht="15.75" customHeight="1">
      <c r="A105" s="78">
        <v>2212002028</v>
      </c>
      <c r="B105" s="79" t="s">
        <v>110</v>
      </c>
      <c r="C105" s="80" t="s">
        <v>6</v>
      </c>
      <c r="D105" s="77">
        <f>SUM(PACIENTES!D105+COMEDOR!D105+JORNADA!D105+'DIETOLOGÍA(S)'!D105)</f>
        <v>0</v>
      </c>
      <c r="E105" s="77">
        <f>SUM(PACIENTES!E105+COMEDOR!E105+JORNADA!E105+'DIETOLOGÍA(S)'!E105)</f>
        <v>0</v>
      </c>
      <c r="F105" s="77">
        <f>SUM(PACIENTES!F105+COMEDOR!F105+JORNADA!F105+'DIETOLOGÍA(S)'!F105)</f>
        <v>0</v>
      </c>
      <c r="G105" s="77">
        <f>SUM(PACIENTES!G105+COMEDOR!G105+JORNADA!G105+'DIETOLOGÍA(S)'!G105)</f>
        <v>0</v>
      </c>
      <c r="H105" s="77">
        <f>SUM(PACIENTES!H105+COMEDOR!H105+JORNADA!H105+'DIETOLOGÍA(S)'!H105)</f>
        <v>0</v>
      </c>
      <c r="I105" s="77">
        <f>SUM(PACIENTES!I105+COMEDOR!I105+JORNADA!I105+'DIETOLOGÍA(S)'!I105)</f>
        <v>0</v>
      </c>
      <c r="J105" s="77">
        <f>SUM(PACIENTES!J105+COMEDOR!J105+JORNADA!J105+'DIETOLOGÍA(S)'!J105)</f>
        <v>0</v>
      </c>
      <c r="K105" s="77">
        <f>SUM(PACIENTES!K105+COMEDOR!K105+JORNADA!K105+'DIETOLOGÍA(S)'!K105)</f>
        <v>0</v>
      </c>
      <c r="L105" s="77">
        <f>SUM(PACIENTES!L105+COMEDOR!L105+JORNADA!L105+'DIETOLOGÍA(S)'!L105)</f>
        <v>0</v>
      </c>
      <c r="M105" s="77">
        <f>SUM(PACIENTES!M105+COMEDOR!M105+JORNADA!M105+'DIETOLOGÍA(S)'!M105)</f>
        <v>0</v>
      </c>
      <c r="N105" s="77">
        <f>SUM(PACIENTES!N105+COMEDOR!N105+JORNADA!N105+'DIETOLOGÍA(S)'!N105)</f>
        <v>0</v>
      </c>
      <c r="O105" s="77">
        <f>SUM(PACIENTES!O105+COMEDOR!O105+JORNADA!O105+'DIETOLOGÍA(S)'!O105)</f>
        <v>0</v>
      </c>
      <c r="P105" s="77">
        <f>SUM(PACIENTES!P105+COMEDOR!P105+JORNADA!P105+'DIETOLOGÍA(S)'!P105)</f>
        <v>0</v>
      </c>
      <c r="Q105" s="77">
        <f>SUM(PACIENTES!Q105+COMEDOR!Q105+JORNADA!Q105+'DIETOLOGÍA(S)'!Q105)</f>
        <v>0</v>
      </c>
      <c r="R105" s="77">
        <f>SUM(PACIENTES!R105+COMEDOR!R105+JORNADA!R105+'DIETOLOGÍA(S)'!R105)</f>
        <v>11</v>
      </c>
      <c r="S105" s="77">
        <f>SUM(PACIENTES!S105+COMEDOR!S105+JORNADA!S105+'DIETOLOGÍA(S)'!S105)</f>
        <v>0</v>
      </c>
      <c r="T105" s="77">
        <f>SUM(PACIENTES!T105+COMEDOR!T105+JORNADA!T105+'DIETOLOGÍA(S)'!T105)</f>
        <v>0</v>
      </c>
      <c r="U105" s="77">
        <f>SUM(PACIENTES!U105+COMEDOR!U105+JORNADA!U105+'DIETOLOGÍA(S)'!U105)</f>
        <v>0</v>
      </c>
      <c r="V105" s="77">
        <f>SUM(PACIENTES!V105+COMEDOR!V105+JORNADA!V105+'DIETOLOGÍA(S)'!V105)</f>
        <v>0</v>
      </c>
      <c r="W105" s="77">
        <f>SUM(PACIENTES!W105+COMEDOR!W105+JORNADA!W105+'DIETOLOGÍA(S)'!W105)</f>
        <v>0</v>
      </c>
      <c r="X105" s="77">
        <f>SUM(PACIENTES!X105+COMEDOR!X105+JORNADA!X105+'DIETOLOGÍA(S)'!X105)</f>
        <v>0</v>
      </c>
      <c r="Y105" s="77">
        <f>SUM(PACIENTES!Y105+COMEDOR!Y105+JORNADA!Y105+'DIETOLOGÍA(S)'!Y105)</f>
        <v>0</v>
      </c>
      <c r="Z105" s="77">
        <f>SUM(PACIENTES!Z105+COMEDOR!Z105+JORNADA!Z105+'DIETOLOGÍA(S)'!Z105)</f>
        <v>0</v>
      </c>
      <c r="AA105" s="77">
        <f>SUM(PACIENTES!AA105+COMEDOR!AA105+JORNADA!AA105+'DIETOLOGÍA(S)'!AA105)</f>
        <v>0</v>
      </c>
      <c r="AB105" s="77">
        <f>SUM(PACIENTES!AB105+COMEDOR!AB105+JORNADA!AB105+'DIETOLOGÍA(S)'!AB105)</f>
        <v>0</v>
      </c>
      <c r="AC105" s="77">
        <f>SUM(PACIENTES!AC105+COMEDOR!AC105+JORNADA!AC105+'DIETOLOGÍA(S)'!AC105)</f>
        <v>0</v>
      </c>
      <c r="AD105" s="77">
        <f>SUM(PACIENTES!AD105+COMEDOR!AD105+JORNADA!AD105+'DIETOLOGÍA(S)'!AD105)</f>
        <v>0</v>
      </c>
      <c r="AE105" s="77">
        <f>SUM(PACIENTES!AE105+COMEDOR!AE105+JORNADA!AE105+'DIETOLOGÍA(S)'!AE105)</f>
        <v>2</v>
      </c>
      <c r="AF105" s="77">
        <f>SUM(PACIENTES!AF105+COMEDOR!AF105+JORNADA!AF105+'DIETOLOGÍA(S)'!AF105)</f>
        <v>0</v>
      </c>
      <c r="AG105" s="77">
        <f>SUM(PACIENTES!AG105+COMEDOR!AG105+JORNADA!AG105+'DIETOLOGÍA(S)'!AG105)</f>
        <v>0</v>
      </c>
      <c r="AH105" s="77">
        <f>SUM(PACIENTES!AH105+COMEDOR!AH105+JORNADA!AH105+'DIETOLOGÍA(S)'!AH105)</f>
        <v>0</v>
      </c>
      <c r="AI105" s="9">
        <f t="shared" si="2"/>
        <v>13</v>
      </c>
    </row>
    <row r="106" spans="1:35" ht="15.75" customHeight="1">
      <c r="A106" s="78">
        <v>2212002030</v>
      </c>
      <c r="B106" s="79" t="s">
        <v>111</v>
      </c>
      <c r="C106" s="80" t="s">
        <v>6</v>
      </c>
      <c r="D106" s="77">
        <f>SUM(PACIENTES!D106+COMEDOR!D106+JORNADA!D106+'DIETOLOGÍA(S)'!D106)</f>
        <v>0</v>
      </c>
      <c r="E106" s="77">
        <f>SUM(PACIENTES!E106+COMEDOR!E106+JORNADA!E106+'DIETOLOGÍA(S)'!E106)</f>
        <v>0</v>
      </c>
      <c r="F106" s="77">
        <f>SUM(PACIENTES!F106+COMEDOR!F106+JORNADA!F106+'DIETOLOGÍA(S)'!F106)</f>
        <v>0</v>
      </c>
      <c r="G106" s="77">
        <f>SUM(PACIENTES!G106+COMEDOR!G106+JORNADA!G106+'DIETOLOGÍA(S)'!G106)</f>
        <v>0</v>
      </c>
      <c r="H106" s="77">
        <f>SUM(PACIENTES!H106+COMEDOR!H106+JORNADA!H106+'DIETOLOGÍA(S)'!H106)</f>
        <v>0</v>
      </c>
      <c r="I106" s="77">
        <f>SUM(PACIENTES!I106+COMEDOR!I106+JORNADA!I106+'DIETOLOGÍA(S)'!I106)</f>
        <v>0</v>
      </c>
      <c r="J106" s="77">
        <f>SUM(PACIENTES!J106+COMEDOR!J106+JORNADA!J106+'DIETOLOGÍA(S)'!J106)</f>
        <v>0</v>
      </c>
      <c r="K106" s="77">
        <f>SUM(PACIENTES!K106+COMEDOR!K106+JORNADA!K106+'DIETOLOGÍA(S)'!K106)</f>
        <v>0</v>
      </c>
      <c r="L106" s="77">
        <f>SUM(PACIENTES!L106+COMEDOR!L106+JORNADA!L106+'DIETOLOGÍA(S)'!L106)</f>
        <v>0</v>
      </c>
      <c r="M106" s="77">
        <f>SUM(PACIENTES!M106+COMEDOR!M106+JORNADA!M106+'DIETOLOGÍA(S)'!M106)</f>
        <v>0</v>
      </c>
      <c r="N106" s="77">
        <f>SUM(PACIENTES!N106+COMEDOR!N106+JORNADA!N106+'DIETOLOGÍA(S)'!N106)</f>
        <v>0</v>
      </c>
      <c r="O106" s="77">
        <f>SUM(PACIENTES!O106+COMEDOR!O106+JORNADA!O106+'DIETOLOGÍA(S)'!O106)</f>
        <v>0</v>
      </c>
      <c r="P106" s="77">
        <f>SUM(PACIENTES!P106+COMEDOR!P106+JORNADA!P106+'DIETOLOGÍA(S)'!P106)</f>
        <v>0</v>
      </c>
      <c r="Q106" s="77">
        <f>SUM(PACIENTES!Q106+COMEDOR!Q106+JORNADA!Q106+'DIETOLOGÍA(S)'!Q106)</f>
        <v>0</v>
      </c>
      <c r="R106" s="77">
        <f>SUM(PACIENTES!R106+COMEDOR!R106+JORNADA!R106+'DIETOLOGÍA(S)'!R106)</f>
        <v>0</v>
      </c>
      <c r="S106" s="77">
        <f>SUM(PACIENTES!S106+COMEDOR!S106+JORNADA!S106+'DIETOLOGÍA(S)'!S106)</f>
        <v>0</v>
      </c>
      <c r="T106" s="77">
        <f>SUM(PACIENTES!T106+COMEDOR!T106+JORNADA!T106+'DIETOLOGÍA(S)'!T106)</f>
        <v>0</v>
      </c>
      <c r="U106" s="77">
        <f>SUM(PACIENTES!U106+COMEDOR!U106+JORNADA!U106+'DIETOLOGÍA(S)'!U106)</f>
        <v>0</v>
      </c>
      <c r="V106" s="77">
        <f>SUM(PACIENTES!V106+COMEDOR!V106+JORNADA!V106+'DIETOLOGÍA(S)'!V106)</f>
        <v>0</v>
      </c>
      <c r="W106" s="77">
        <f>SUM(PACIENTES!W106+COMEDOR!W106+JORNADA!W106+'DIETOLOGÍA(S)'!W106)</f>
        <v>0</v>
      </c>
      <c r="X106" s="77">
        <f>SUM(PACIENTES!X106+COMEDOR!X106+JORNADA!X106+'DIETOLOGÍA(S)'!X106)</f>
        <v>2</v>
      </c>
      <c r="Y106" s="77">
        <f>SUM(PACIENTES!Y106+COMEDOR!Y106+JORNADA!Y106+'DIETOLOGÍA(S)'!Y106)</f>
        <v>0</v>
      </c>
      <c r="Z106" s="77">
        <f>SUM(PACIENTES!Z106+COMEDOR!Z106+JORNADA!Z106+'DIETOLOGÍA(S)'!Z106)</f>
        <v>0</v>
      </c>
      <c r="AA106" s="77">
        <f>SUM(PACIENTES!AA106+COMEDOR!AA106+JORNADA!AA106+'DIETOLOGÍA(S)'!AA106)</f>
        <v>0</v>
      </c>
      <c r="AB106" s="77">
        <f>SUM(PACIENTES!AB106+COMEDOR!AB106+JORNADA!AB106+'DIETOLOGÍA(S)'!AB106)</f>
        <v>0</v>
      </c>
      <c r="AC106" s="77">
        <f>SUM(PACIENTES!AC106+COMEDOR!AC106+JORNADA!AC106+'DIETOLOGÍA(S)'!AC106)</f>
        <v>0</v>
      </c>
      <c r="AD106" s="77">
        <f>SUM(PACIENTES!AD106+COMEDOR!AD106+JORNADA!AD106+'DIETOLOGÍA(S)'!AD106)</f>
        <v>0</v>
      </c>
      <c r="AE106" s="77">
        <f>SUM(PACIENTES!AE106+COMEDOR!AE106+JORNADA!AE106+'DIETOLOGÍA(S)'!AE106)</f>
        <v>0</v>
      </c>
      <c r="AF106" s="77">
        <f>SUM(PACIENTES!AF106+COMEDOR!AF106+JORNADA!AF106+'DIETOLOGÍA(S)'!AF106)</f>
        <v>0</v>
      </c>
      <c r="AG106" s="77">
        <f>SUM(PACIENTES!AG106+COMEDOR!AG106+JORNADA!AG106+'DIETOLOGÍA(S)'!AG106)</f>
        <v>0</v>
      </c>
      <c r="AH106" s="77">
        <f>SUM(PACIENTES!AH106+COMEDOR!AH106+JORNADA!AH106+'DIETOLOGÍA(S)'!AH106)</f>
        <v>0</v>
      </c>
      <c r="AI106" s="9">
        <f t="shared" si="2"/>
        <v>2</v>
      </c>
    </row>
    <row r="107" spans="1:35" ht="15.75" customHeight="1">
      <c r="A107" s="78">
        <v>2212002035</v>
      </c>
      <c r="B107" s="79" t="s">
        <v>112</v>
      </c>
      <c r="C107" s="80" t="s">
        <v>6</v>
      </c>
      <c r="D107" s="77">
        <f>SUM(PACIENTES!D107+COMEDOR!D107+JORNADA!D107+'DIETOLOGÍA(S)'!D107)</f>
        <v>0</v>
      </c>
      <c r="E107" s="77">
        <f>SUM(PACIENTES!E107+COMEDOR!E107+JORNADA!E107+'DIETOLOGÍA(S)'!E107)</f>
        <v>0</v>
      </c>
      <c r="F107" s="77">
        <f>SUM(PACIENTES!F107+COMEDOR!F107+JORNADA!F107+'DIETOLOGÍA(S)'!F107)</f>
        <v>0</v>
      </c>
      <c r="G107" s="77">
        <f>SUM(PACIENTES!G107+COMEDOR!G107+JORNADA!G107+'DIETOLOGÍA(S)'!G107)</f>
        <v>0</v>
      </c>
      <c r="H107" s="77">
        <f>SUM(PACIENTES!H107+COMEDOR!H107+JORNADA!H107+'DIETOLOGÍA(S)'!H107)</f>
        <v>0</v>
      </c>
      <c r="I107" s="77">
        <f>SUM(PACIENTES!I107+COMEDOR!I107+JORNADA!I107+'DIETOLOGÍA(S)'!I107)</f>
        <v>1</v>
      </c>
      <c r="J107" s="77">
        <f>SUM(PACIENTES!J107+COMEDOR!J107+JORNADA!J107+'DIETOLOGÍA(S)'!J107)</f>
        <v>0</v>
      </c>
      <c r="K107" s="77">
        <f>SUM(PACIENTES!K107+COMEDOR!K107+JORNADA!K107+'DIETOLOGÍA(S)'!K107)</f>
        <v>0</v>
      </c>
      <c r="L107" s="77">
        <f>SUM(PACIENTES!L107+COMEDOR!L107+JORNADA!L107+'DIETOLOGÍA(S)'!L107)</f>
        <v>0</v>
      </c>
      <c r="M107" s="77">
        <f>SUM(PACIENTES!M107+COMEDOR!M107+JORNADA!M107+'DIETOLOGÍA(S)'!M107)</f>
        <v>0</v>
      </c>
      <c r="N107" s="77">
        <f>SUM(PACIENTES!N107+COMEDOR!N107+JORNADA!N107+'DIETOLOGÍA(S)'!N107)</f>
        <v>0</v>
      </c>
      <c r="O107" s="77">
        <f>SUM(PACIENTES!O107+COMEDOR!O107+JORNADA!O107+'DIETOLOGÍA(S)'!O107)</f>
        <v>0</v>
      </c>
      <c r="P107" s="77">
        <f>SUM(PACIENTES!P107+COMEDOR!P107+JORNADA!P107+'DIETOLOGÍA(S)'!P107)</f>
        <v>0</v>
      </c>
      <c r="Q107" s="77">
        <f>SUM(PACIENTES!Q107+COMEDOR!Q107+JORNADA!Q107+'DIETOLOGÍA(S)'!Q107)</f>
        <v>35</v>
      </c>
      <c r="R107" s="77">
        <f>SUM(PACIENTES!R107+COMEDOR!R107+JORNADA!R107+'DIETOLOGÍA(S)'!R107)</f>
        <v>3</v>
      </c>
      <c r="S107" s="77">
        <f>SUM(PACIENTES!S107+COMEDOR!S107+JORNADA!S107+'DIETOLOGÍA(S)'!S107)</f>
        <v>0</v>
      </c>
      <c r="T107" s="77">
        <f>SUM(PACIENTES!T107+COMEDOR!T107+JORNADA!T107+'DIETOLOGÍA(S)'!T107)</f>
        <v>0</v>
      </c>
      <c r="U107" s="77">
        <f>SUM(PACIENTES!U107+COMEDOR!U107+JORNADA!U107+'DIETOLOGÍA(S)'!U107)</f>
        <v>0</v>
      </c>
      <c r="V107" s="77">
        <f>SUM(PACIENTES!V107+COMEDOR!V107+JORNADA!V107+'DIETOLOGÍA(S)'!V107)</f>
        <v>0</v>
      </c>
      <c r="W107" s="77">
        <f>SUM(PACIENTES!W107+COMEDOR!W107+JORNADA!W107+'DIETOLOGÍA(S)'!W107)</f>
        <v>0</v>
      </c>
      <c r="X107" s="77">
        <f>SUM(PACIENTES!X107+COMEDOR!X107+JORNADA!X107+'DIETOLOGÍA(S)'!X107)</f>
        <v>0</v>
      </c>
      <c r="Y107" s="77">
        <f>SUM(PACIENTES!Y107+COMEDOR!Y107+JORNADA!Y107+'DIETOLOGÍA(S)'!Y107)</f>
        <v>0</v>
      </c>
      <c r="Z107" s="77">
        <f>SUM(PACIENTES!Z107+COMEDOR!Z107+JORNADA!Z107+'DIETOLOGÍA(S)'!Z107)</f>
        <v>0</v>
      </c>
      <c r="AA107" s="77">
        <f>SUM(PACIENTES!AA107+COMEDOR!AA107+JORNADA!AA107+'DIETOLOGÍA(S)'!AA107)</f>
        <v>0</v>
      </c>
      <c r="AB107" s="77">
        <f>SUM(PACIENTES!AB107+COMEDOR!AB107+JORNADA!AB107+'DIETOLOGÍA(S)'!AB107)</f>
        <v>0</v>
      </c>
      <c r="AC107" s="77">
        <f>SUM(PACIENTES!AC107+COMEDOR!AC107+JORNADA!AC107+'DIETOLOGÍA(S)'!AC107)</f>
        <v>0</v>
      </c>
      <c r="AD107" s="77">
        <f>SUM(PACIENTES!AD107+COMEDOR!AD107+JORNADA!AD107+'DIETOLOGÍA(S)'!AD107)</f>
        <v>37</v>
      </c>
      <c r="AE107" s="77">
        <f>SUM(PACIENTES!AE107+COMEDOR!AE107+JORNADA!AE107+'DIETOLOGÍA(S)'!AE107)</f>
        <v>2</v>
      </c>
      <c r="AF107" s="77">
        <f>SUM(PACIENTES!AF107+COMEDOR!AF107+JORNADA!AF107+'DIETOLOGÍA(S)'!AF107)</f>
        <v>0</v>
      </c>
      <c r="AG107" s="77">
        <f>SUM(PACIENTES!AG107+COMEDOR!AG107+JORNADA!AG107+'DIETOLOGÍA(S)'!AG107)</f>
        <v>0</v>
      </c>
      <c r="AH107" s="77">
        <f>SUM(PACIENTES!AH107+COMEDOR!AH107+JORNADA!AH107+'DIETOLOGÍA(S)'!AH107)</f>
        <v>0</v>
      </c>
      <c r="AI107" s="9">
        <f t="shared" si="2"/>
        <v>78</v>
      </c>
    </row>
    <row r="108" spans="1:35" ht="15.75" customHeight="1">
      <c r="A108" s="78">
        <v>2212002036</v>
      </c>
      <c r="B108" s="79" t="s">
        <v>113</v>
      </c>
      <c r="C108" s="80" t="s">
        <v>6</v>
      </c>
      <c r="D108" s="77">
        <f>SUM(PACIENTES!D108+COMEDOR!D108+JORNADA!D108+'DIETOLOGÍA(S)'!D108)</f>
        <v>0</v>
      </c>
      <c r="E108" s="77">
        <f>SUM(PACIENTES!E108+COMEDOR!E108+JORNADA!E108+'DIETOLOGÍA(S)'!E108)</f>
        <v>0</v>
      </c>
      <c r="F108" s="77">
        <f>SUM(PACIENTES!F108+COMEDOR!F108+JORNADA!F108+'DIETOLOGÍA(S)'!F108)</f>
        <v>0</v>
      </c>
      <c r="G108" s="77">
        <f>SUM(PACIENTES!G108+COMEDOR!G108+JORNADA!G108+'DIETOLOGÍA(S)'!G108)</f>
        <v>0</v>
      </c>
      <c r="H108" s="77">
        <f>SUM(PACIENTES!H108+COMEDOR!H108+JORNADA!H108+'DIETOLOGÍA(S)'!H108)</f>
        <v>0</v>
      </c>
      <c r="I108" s="77">
        <f>SUM(PACIENTES!I108+COMEDOR!I108+JORNADA!I108+'DIETOLOGÍA(S)'!I108)</f>
        <v>0</v>
      </c>
      <c r="J108" s="77">
        <f>SUM(PACIENTES!J108+COMEDOR!J108+JORNADA!J108+'DIETOLOGÍA(S)'!J108)</f>
        <v>0</v>
      </c>
      <c r="K108" s="77">
        <f>SUM(PACIENTES!K108+COMEDOR!K108+JORNADA!K108+'DIETOLOGÍA(S)'!K108)</f>
        <v>0</v>
      </c>
      <c r="L108" s="77">
        <f>SUM(PACIENTES!L108+COMEDOR!L108+JORNADA!L108+'DIETOLOGÍA(S)'!L108)</f>
        <v>0</v>
      </c>
      <c r="M108" s="77">
        <f>SUM(PACIENTES!M108+COMEDOR!M108+JORNADA!M108+'DIETOLOGÍA(S)'!M108)</f>
        <v>0</v>
      </c>
      <c r="N108" s="77">
        <f>SUM(PACIENTES!N108+COMEDOR!N108+JORNADA!N108+'DIETOLOGÍA(S)'!N108)</f>
        <v>0</v>
      </c>
      <c r="O108" s="77">
        <f>SUM(PACIENTES!O108+COMEDOR!O108+JORNADA!O108+'DIETOLOGÍA(S)'!O108)</f>
        <v>0</v>
      </c>
      <c r="P108" s="77">
        <f>SUM(PACIENTES!P108+COMEDOR!P108+JORNADA!P108+'DIETOLOGÍA(S)'!P108)</f>
        <v>0</v>
      </c>
      <c r="Q108" s="77">
        <f>SUM(PACIENTES!Q108+COMEDOR!Q108+JORNADA!Q108+'DIETOLOGÍA(S)'!Q108)</f>
        <v>0</v>
      </c>
      <c r="R108" s="77">
        <f>SUM(PACIENTES!R108+COMEDOR!R108+JORNADA!R108+'DIETOLOGÍA(S)'!R108)</f>
        <v>6</v>
      </c>
      <c r="S108" s="77">
        <f>SUM(PACIENTES!S108+COMEDOR!S108+JORNADA!S108+'DIETOLOGÍA(S)'!S108)</f>
        <v>0</v>
      </c>
      <c r="T108" s="77">
        <f>SUM(PACIENTES!T108+COMEDOR!T108+JORNADA!T108+'DIETOLOGÍA(S)'!T108)</f>
        <v>0</v>
      </c>
      <c r="U108" s="77">
        <f>SUM(PACIENTES!U108+COMEDOR!U108+JORNADA!U108+'DIETOLOGÍA(S)'!U108)</f>
        <v>0</v>
      </c>
      <c r="V108" s="77">
        <f>SUM(PACIENTES!V108+COMEDOR!V108+JORNADA!V108+'DIETOLOGÍA(S)'!V108)</f>
        <v>0</v>
      </c>
      <c r="W108" s="77">
        <f>SUM(PACIENTES!W108+COMEDOR!W108+JORNADA!W108+'DIETOLOGÍA(S)'!W108)</f>
        <v>0</v>
      </c>
      <c r="X108" s="77">
        <f>SUM(PACIENTES!X108+COMEDOR!X108+JORNADA!X108+'DIETOLOGÍA(S)'!X108)</f>
        <v>0</v>
      </c>
      <c r="Y108" s="77">
        <f>SUM(PACIENTES!Y108+COMEDOR!Y108+JORNADA!Y108+'DIETOLOGÍA(S)'!Y108)</f>
        <v>0</v>
      </c>
      <c r="Z108" s="77">
        <f>SUM(PACIENTES!Z108+COMEDOR!Z108+JORNADA!Z108+'DIETOLOGÍA(S)'!Z108)</f>
        <v>0</v>
      </c>
      <c r="AA108" s="77">
        <f>SUM(PACIENTES!AA108+COMEDOR!AA108+JORNADA!AA108+'DIETOLOGÍA(S)'!AA108)</f>
        <v>0</v>
      </c>
      <c r="AB108" s="77">
        <f>SUM(PACIENTES!AB108+COMEDOR!AB108+JORNADA!AB108+'DIETOLOGÍA(S)'!AB108)</f>
        <v>0</v>
      </c>
      <c r="AC108" s="77">
        <f>SUM(PACIENTES!AC108+COMEDOR!AC108+JORNADA!AC108+'DIETOLOGÍA(S)'!AC108)</f>
        <v>0</v>
      </c>
      <c r="AD108" s="77">
        <f>SUM(PACIENTES!AD108+COMEDOR!AD108+JORNADA!AD108+'DIETOLOGÍA(S)'!AD108)</f>
        <v>0</v>
      </c>
      <c r="AE108" s="77">
        <f>SUM(PACIENTES!AE108+COMEDOR!AE108+JORNADA!AE108+'DIETOLOGÍA(S)'!AE108)</f>
        <v>0</v>
      </c>
      <c r="AF108" s="77">
        <f>SUM(PACIENTES!AF108+COMEDOR!AF108+JORNADA!AF108+'DIETOLOGÍA(S)'!AF108)</f>
        <v>0</v>
      </c>
      <c r="AG108" s="77">
        <f>SUM(PACIENTES!AG108+COMEDOR!AG108+JORNADA!AG108+'DIETOLOGÍA(S)'!AG108)</f>
        <v>0</v>
      </c>
      <c r="AH108" s="77">
        <f>SUM(PACIENTES!AH108+COMEDOR!AH108+JORNADA!AH108+'DIETOLOGÍA(S)'!AH108)</f>
        <v>0</v>
      </c>
      <c r="AI108" s="9">
        <f t="shared" si="2"/>
        <v>6</v>
      </c>
    </row>
    <row r="109" spans="1:35" ht="15.75" customHeight="1">
      <c r="A109" s="78">
        <v>2212002040</v>
      </c>
      <c r="B109" s="79" t="s">
        <v>114</v>
      </c>
      <c r="C109" s="80" t="s">
        <v>6</v>
      </c>
      <c r="D109" s="77">
        <f>SUM(PACIENTES!D109+COMEDOR!D109+JORNADA!D109+'DIETOLOGÍA(S)'!D109)</f>
        <v>0</v>
      </c>
      <c r="E109" s="77">
        <f>SUM(PACIENTES!E109+COMEDOR!E109+JORNADA!E109+'DIETOLOGÍA(S)'!E109)</f>
        <v>30</v>
      </c>
      <c r="F109" s="77">
        <f>SUM(PACIENTES!F109+COMEDOR!F109+JORNADA!F109+'DIETOLOGÍA(S)'!F109)</f>
        <v>0</v>
      </c>
      <c r="G109" s="77">
        <f>SUM(PACIENTES!G109+COMEDOR!G109+JORNADA!G109+'DIETOLOGÍA(S)'!G109)</f>
        <v>0</v>
      </c>
      <c r="H109" s="77">
        <f>SUM(PACIENTES!H109+COMEDOR!H109+JORNADA!H109+'DIETOLOGÍA(S)'!H109)</f>
        <v>0</v>
      </c>
      <c r="I109" s="77">
        <f>SUM(PACIENTES!I109+COMEDOR!I109+JORNADA!I109+'DIETOLOGÍA(S)'!I109)</f>
        <v>0</v>
      </c>
      <c r="J109" s="77">
        <f>SUM(PACIENTES!J109+COMEDOR!J109+JORNADA!J109+'DIETOLOGÍA(S)'!J109)</f>
        <v>0</v>
      </c>
      <c r="K109" s="77">
        <f>SUM(PACIENTES!K109+COMEDOR!K109+JORNADA!K109+'DIETOLOGÍA(S)'!K109)</f>
        <v>0</v>
      </c>
      <c r="L109" s="77">
        <f>SUM(PACIENTES!L109+COMEDOR!L109+JORNADA!L109+'DIETOLOGÍA(S)'!L109)</f>
        <v>0</v>
      </c>
      <c r="M109" s="77">
        <f>SUM(PACIENTES!M109+COMEDOR!M109+JORNADA!M109+'DIETOLOGÍA(S)'!M109)</f>
        <v>0</v>
      </c>
      <c r="N109" s="77">
        <f>SUM(PACIENTES!N109+COMEDOR!N109+JORNADA!N109+'DIETOLOGÍA(S)'!N109)</f>
        <v>30</v>
      </c>
      <c r="O109" s="77">
        <f>SUM(PACIENTES!O109+COMEDOR!O109+JORNADA!O109+'DIETOLOGÍA(S)'!O109)</f>
        <v>0</v>
      </c>
      <c r="P109" s="77">
        <f>SUM(PACIENTES!P109+COMEDOR!P109+JORNADA!P109+'DIETOLOGÍA(S)'!P109)</f>
        <v>0</v>
      </c>
      <c r="Q109" s="77">
        <f>SUM(PACIENTES!Q109+COMEDOR!Q109+JORNADA!Q109+'DIETOLOGÍA(S)'!Q109)</f>
        <v>0</v>
      </c>
      <c r="R109" s="77">
        <f>SUM(PACIENTES!R109+COMEDOR!R109+JORNADA!R109+'DIETOLOGÍA(S)'!R109)</f>
        <v>0</v>
      </c>
      <c r="S109" s="77">
        <f>SUM(PACIENTES!S109+COMEDOR!S109+JORNADA!S109+'DIETOLOGÍA(S)'!S109)</f>
        <v>0</v>
      </c>
      <c r="T109" s="77">
        <f>SUM(PACIENTES!T109+COMEDOR!T109+JORNADA!T109+'DIETOLOGÍA(S)'!T109)</f>
        <v>0</v>
      </c>
      <c r="U109" s="77">
        <f>SUM(PACIENTES!U109+COMEDOR!U109+JORNADA!U109+'DIETOLOGÍA(S)'!U109)</f>
        <v>0</v>
      </c>
      <c r="V109" s="77">
        <f>SUM(PACIENTES!V109+COMEDOR!V109+JORNADA!V109+'DIETOLOGÍA(S)'!V109)</f>
        <v>0</v>
      </c>
      <c r="W109" s="77">
        <f>SUM(PACIENTES!W109+COMEDOR!W109+JORNADA!W109+'DIETOLOGÍA(S)'!W109)</f>
        <v>0</v>
      </c>
      <c r="X109" s="77">
        <f>SUM(PACIENTES!X109+COMEDOR!X109+JORNADA!X109+'DIETOLOGÍA(S)'!X109)</f>
        <v>0</v>
      </c>
      <c r="Y109" s="77">
        <f>SUM(PACIENTES!Y109+COMEDOR!Y109+JORNADA!Y109+'DIETOLOGÍA(S)'!Y109)</f>
        <v>0</v>
      </c>
      <c r="Z109" s="77">
        <f>SUM(PACIENTES!Z109+COMEDOR!Z109+JORNADA!Z109+'DIETOLOGÍA(S)'!Z109)</f>
        <v>66</v>
      </c>
      <c r="AA109" s="77">
        <f>SUM(PACIENTES!AA109+COMEDOR!AA109+JORNADA!AA109+'DIETOLOGÍA(S)'!AA109)</f>
        <v>0</v>
      </c>
      <c r="AB109" s="77">
        <f>SUM(PACIENTES!AB109+COMEDOR!AB109+JORNADA!AB109+'DIETOLOGÍA(S)'!AB109)</f>
        <v>0</v>
      </c>
      <c r="AC109" s="77">
        <f>SUM(PACIENTES!AC109+COMEDOR!AC109+JORNADA!AC109+'DIETOLOGÍA(S)'!AC109)</f>
        <v>0</v>
      </c>
      <c r="AD109" s="77">
        <f>SUM(PACIENTES!AD109+COMEDOR!AD109+JORNADA!AD109+'DIETOLOGÍA(S)'!AD109)</f>
        <v>0</v>
      </c>
      <c r="AE109" s="77">
        <f>SUM(PACIENTES!AE109+COMEDOR!AE109+JORNADA!AE109+'DIETOLOGÍA(S)'!AE109)</f>
        <v>0</v>
      </c>
      <c r="AF109" s="77">
        <f>SUM(PACIENTES!AF109+COMEDOR!AF109+JORNADA!AF109+'DIETOLOGÍA(S)'!AF109)</f>
        <v>0</v>
      </c>
      <c r="AG109" s="77">
        <f>SUM(PACIENTES!AG109+COMEDOR!AG109+JORNADA!AG109+'DIETOLOGÍA(S)'!AG109)</f>
        <v>0</v>
      </c>
      <c r="AH109" s="77">
        <f>SUM(PACIENTES!AH109+COMEDOR!AH109+JORNADA!AH109+'DIETOLOGÍA(S)'!AH109)</f>
        <v>0</v>
      </c>
      <c r="AI109" s="9">
        <f t="shared" si="2"/>
        <v>126</v>
      </c>
    </row>
    <row r="110" spans="1:35" ht="15.75" customHeight="1">
      <c r="A110" s="78">
        <v>2212002045</v>
      </c>
      <c r="B110" s="79" t="s">
        <v>115</v>
      </c>
      <c r="C110" s="80" t="s">
        <v>6</v>
      </c>
      <c r="D110" s="77">
        <f>SUM(PACIENTES!D110+COMEDOR!D110+JORNADA!D110+'DIETOLOGÍA(S)'!D110)</f>
        <v>0</v>
      </c>
      <c r="E110" s="77">
        <f>SUM(PACIENTES!E110+COMEDOR!E110+JORNADA!E110+'DIETOLOGÍA(S)'!E110)</f>
        <v>0</v>
      </c>
      <c r="F110" s="77">
        <f>SUM(PACIENTES!F110+COMEDOR!F110+JORNADA!F110+'DIETOLOGÍA(S)'!F110)</f>
        <v>0</v>
      </c>
      <c r="G110" s="77">
        <f>SUM(PACIENTES!G110+COMEDOR!G110+JORNADA!G110+'DIETOLOGÍA(S)'!G110)</f>
        <v>0</v>
      </c>
      <c r="H110" s="77">
        <f>SUM(PACIENTES!H110+COMEDOR!H110+JORNADA!H110+'DIETOLOGÍA(S)'!H110)</f>
        <v>0</v>
      </c>
      <c r="I110" s="77">
        <f>SUM(PACIENTES!I110+COMEDOR!I110+JORNADA!I110+'DIETOLOGÍA(S)'!I110)</f>
        <v>0</v>
      </c>
      <c r="J110" s="77">
        <f>SUM(PACIENTES!J110+COMEDOR!J110+JORNADA!J110+'DIETOLOGÍA(S)'!J110)</f>
        <v>0</v>
      </c>
      <c r="K110" s="77">
        <f>SUM(PACIENTES!K110+COMEDOR!K110+JORNADA!K110+'DIETOLOGÍA(S)'!K110)</f>
        <v>0</v>
      </c>
      <c r="L110" s="77">
        <f>SUM(PACIENTES!L110+COMEDOR!L110+JORNADA!L110+'DIETOLOGÍA(S)'!L110)</f>
        <v>0</v>
      </c>
      <c r="M110" s="77">
        <f>SUM(PACIENTES!M110+COMEDOR!M110+JORNADA!M110+'DIETOLOGÍA(S)'!M110)</f>
        <v>0</v>
      </c>
      <c r="N110" s="77">
        <f>SUM(PACIENTES!N110+COMEDOR!N110+JORNADA!N110+'DIETOLOGÍA(S)'!N110)</f>
        <v>0</v>
      </c>
      <c r="O110" s="77">
        <f>SUM(PACIENTES!O110+COMEDOR!O110+JORNADA!O110+'DIETOLOGÍA(S)'!O110)</f>
        <v>0</v>
      </c>
      <c r="P110" s="77">
        <f>SUM(PACIENTES!P110+COMEDOR!P110+JORNADA!P110+'DIETOLOGÍA(S)'!P110)</f>
        <v>0</v>
      </c>
      <c r="Q110" s="77">
        <f>SUM(PACIENTES!Q110+COMEDOR!Q110+JORNADA!Q110+'DIETOLOGÍA(S)'!Q110)</f>
        <v>0</v>
      </c>
      <c r="R110" s="77">
        <f>SUM(PACIENTES!R110+COMEDOR!R110+JORNADA!R110+'DIETOLOGÍA(S)'!R110)</f>
        <v>0</v>
      </c>
      <c r="S110" s="77">
        <f>SUM(PACIENTES!S110+COMEDOR!S110+JORNADA!S110+'DIETOLOGÍA(S)'!S110)</f>
        <v>0</v>
      </c>
      <c r="T110" s="77">
        <f>SUM(PACIENTES!T110+COMEDOR!T110+JORNADA!T110+'DIETOLOGÍA(S)'!T110)</f>
        <v>0</v>
      </c>
      <c r="U110" s="77">
        <f>SUM(PACIENTES!U110+COMEDOR!U110+JORNADA!U110+'DIETOLOGÍA(S)'!U110)</f>
        <v>0</v>
      </c>
      <c r="V110" s="77">
        <f>SUM(PACIENTES!V110+COMEDOR!V110+JORNADA!V110+'DIETOLOGÍA(S)'!V110)</f>
        <v>0</v>
      </c>
      <c r="W110" s="77">
        <f>SUM(PACIENTES!W110+COMEDOR!W110+JORNADA!W110+'DIETOLOGÍA(S)'!W110)</f>
        <v>0</v>
      </c>
      <c r="X110" s="77">
        <f>SUM(PACIENTES!X110+COMEDOR!X110+JORNADA!X110+'DIETOLOGÍA(S)'!X110)</f>
        <v>0</v>
      </c>
      <c r="Y110" s="77">
        <f>SUM(PACIENTES!Y110+COMEDOR!Y110+JORNADA!Y110+'DIETOLOGÍA(S)'!Y110)</f>
        <v>0</v>
      </c>
      <c r="Z110" s="77">
        <f>SUM(PACIENTES!Z110+COMEDOR!Z110+JORNADA!Z110+'DIETOLOGÍA(S)'!Z110)</f>
        <v>0</v>
      </c>
      <c r="AA110" s="77">
        <f>SUM(PACIENTES!AA110+COMEDOR!AA110+JORNADA!AA110+'DIETOLOGÍA(S)'!AA110)</f>
        <v>0</v>
      </c>
      <c r="AB110" s="77">
        <f>SUM(PACIENTES!AB110+COMEDOR!AB110+JORNADA!AB110+'DIETOLOGÍA(S)'!AB110)</f>
        <v>0</v>
      </c>
      <c r="AC110" s="77">
        <f>SUM(PACIENTES!AC110+COMEDOR!AC110+JORNADA!AC110+'DIETOLOGÍA(S)'!AC110)</f>
        <v>0</v>
      </c>
      <c r="AD110" s="77">
        <f>SUM(PACIENTES!AD110+COMEDOR!AD110+JORNADA!AD110+'DIETOLOGÍA(S)'!AD110)</f>
        <v>0</v>
      </c>
      <c r="AE110" s="77">
        <f>SUM(PACIENTES!AE110+COMEDOR!AE110+JORNADA!AE110+'DIETOLOGÍA(S)'!AE110)</f>
        <v>0</v>
      </c>
      <c r="AF110" s="77">
        <f>SUM(PACIENTES!AF110+COMEDOR!AF110+JORNADA!AF110+'DIETOLOGÍA(S)'!AF110)</f>
        <v>0</v>
      </c>
      <c r="AG110" s="77">
        <f>SUM(PACIENTES!AG110+COMEDOR!AG110+JORNADA!AG110+'DIETOLOGÍA(S)'!AG110)</f>
        <v>0</v>
      </c>
      <c r="AH110" s="77">
        <f>SUM(PACIENTES!AH110+COMEDOR!AH110+JORNADA!AH110+'DIETOLOGÍA(S)'!AH110)</f>
        <v>0</v>
      </c>
      <c r="AI110" s="9">
        <f t="shared" si="2"/>
        <v>0</v>
      </c>
    </row>
    <row r="111" spans="1:35" ht="15.75" customHeight="1">
      <c r="A111" s="81">
        <v>2212002046</v>
      </c>
      <c r="B111" s="82" t="s">
        <v>116</v>
      </c>
      <c r="C111" s="83" t="s">
        <v>6</v>
      </c>
      <c r="D111" s="289">
        <f>SUM(PACIENTES!D111+COMEDOR!D111+JORNADA!D111+'DIETOLOGÍA(S)'!D111)</f>
        <v>0</v>
      </c>
      <c r="E111" s="289">
        <f>SUM(PACIENTES!E111+COMEDOR!E111+JORNADA!E111+'DIETOLOGÍA(S)'!E111)</f>
        <v>0</v>
      </c>
      <c r="F111" s="289">
        <f>SUM(PACIENTES!F111+COMEDOR!F111+JORNADA!F111+'DIETOLOGÍA(S)'!F111)</f>
        <v>0</v>
      </c>
      <c r="G111" s="289">
        <f>SUM(PACIENTES!G111+COMEDOR!G111+JORNADA!G111+'DIETOLOGÍA(S)'!G111)</f>
        <v>0</v>
      </c>
      <c r="H111" s="289">
        <f>SUM(PACIENTES!H111+COMEDOR!H111+JORNADA!H111+'DIETOLOGÍA(S)'!H111)</f>
        <v>0</v>
      </c>
      <c r="I111" s="289">
        <f>SUM(PACIENTES!I111+COMEDOR!I111+JORNADA!I111+'DIETOLOGÍA(S)'!I111)</f>
        <v>0</v>
      </c>
      <c r="J111" s="289">
        <f>SUM(PACIENTES!J111+COMEDOR!J111+JORNADA!J111+'DIETOLOGÍA(S)'!J111)</f>
        <v>0</v>
      </c>
      <c r="K111" s="289">
        <f>SUM(PACIENTES!K111+COMEDOR!K111+JORNADA!K111+'DIETOLOGÍA(S)'!K111)</f>
        <v>0</v>
      </c>
      <c r="L111" s="289">
        <f>SUM(PACIENTES!L111+COMEDOR!L111+JORNADA!L111+'DIETOLOGÍA(S)'!L111)</f>
        <v>0</v>
      </c>
      <c r="M111" s="289">
        <f>SUM(PACIENTES!M111+COMEDOR!M111+JORNADA!M111+'DIETOLOGÍA(S)'!M111)</f>
        <v>0</v>
      </c>
      <c r="N111" s="289">
        <f>SUM(PACIENTES!N111+COMEDOR!N111+JORNADA!N111+'DIETOLOGÍA(S)'!N111)</f>
        <v>0</v>
      </c>
      <c r="O111" s="289">
        <f>SUM(PACIENTES!O111+COMEDOR!O111+JORNADA!O111+'DIETOLOGÍA(S)'!O111)</f>
        <v>0</v>
      </c>
      <c r="P111" s="289">
        <f>SUM(PACIENTES!P111+COMEDOR!P111+JORNADA!P111+'DIETOLOGÍA(S)'!P111)</f>
        <v>0</v>
      </c>
      <c r="Q111" s="289">
        <f>SUM(PACIENTES!Q111+COMEDOR!Q111+JORNADA!Q111+'DIETOLOGÍA(S)'!Q111)</f>
        <v>0</v>
      </c>
      <c r="R111" s="289">
        <f>SUM(PACIENTES!R111+COMEDOR!R111+JORNADA!R111+'DIETOLOGÍA(S)'!R111)</f>
        <v>0</v>
      </c>
      <c r="S111" s="289">
        <f>SUM(PACIENTES!S111+COMEDOR!S111+JORNADA!S111+'DIETOLOGÍA(S)'!S111)</f>
        <v>0</v>
      </c>
      <c r="T111" s="289">
        <f>SUM(PACIENTES!T111+COMEDOR!T111+JORNADA!T111+'DIETOLOGÍA(S)'!T111)</f>
        <v>0</v>
      </c>
      <c r="U111" s="289">
        <f>SUM(PACIENTES!U111+COMEDOR!U111+JORNADA!U111+'DIETOLOGÍA(S)'!U111)</f>
        <v>0</v>
      </c>
      <c r="V111" s="289">
        <f>SUM(PACIENTES!V111+COMEDOR!V111+JORNADA!V111+'DIETOLOGÍA(S)'!V111)</f>
        <v>0</v>
      </c>
      <c r="W111" s="289">
        <f>SUM(PACIENTES!W111+COMEDOR!W111+JORNADA!W111+'DIETOLOGÍA(S)'!W111)</f>
        <v>0</v>
      </c>
      <c r="X111" s="289">
        <f>SUM(PACIENTES!X111+COMEDOR!X111+JORNADA!X111+'DIETOLOGÍA(S)'!X111)</f>
        <v>0</v>
      </c>
      <c r="Y111" s="289">
        <f>SUM(PACIENTES!Y111+COMEDOR!Y111+JORNADA!Y111+'DIETOLOGÍA(S)'!Y111)</f>
        <v>0</v>
      </c>
      <c r="Z111" s="289">
        <f>SUM(PACIENTES!Z111+COMEDOR!Z111+JORNADA!Z111+'DIETOLOGÍA(S)'!Z111)</f>
        <v>0</v>
      </c>
      <c r="AA111" s="289">
        <f>SUM(PACIENTES!AA111+COMEDOR!AA111+JORNADA!AA111+'DIETOLOGÍA(S)'!AA111)</f>
        <v>0</v>
      </c>
      <c r="AB111" s="289">
        <f>SUM(PACIENTES!AB111+COMEDOR!AB111+JORNADA!AB111+'DIETOLOGÍA(S)'!AB111)</f>
        <v>0</v>
      </c>
      <c r="AC111" s="289">
        <f>SUM(PACIENTES!AC111+COMEDOR!AC111+JORNADA!AC111+'DIETOLOGÍA(S)'!AC111)</f>
        <v>0</v>
      </c>
      <c r="AD111" s="289">
        <f>SUM(PACIENTES!AD111+COMEDOR!AD111+JORNADA!AD111+'DIETOLOGÍA(S)'!AD111)</f>
        <v>0</v>
      </c>
      <c r="AE111" s="289">
        <f>SUM(PACIENTES!AE111+COMEDOR!AE111+JORNADA!AE111+'DIETOLOGÍA(S)'!AE111)</f>
        <v>0</v>
      </c>
      <c r="AF111" s="289">
        <f>SUM(PACIENTES!AF111+COMEDOR!AF111+JORNADA!AF111+'DIETOLOGÍA(S)'!AF111)</f>
        <v>0</v>
      </c>
      <c r="AG111" s="289">
        <f>SUM(PACIENTES!AG111+COMEDOR!AG111+JORNADA!AG111+'DIETOLOGÍA(S)'!AG111)</f>
        <v>0</v>
      </c>
      <c r="AH111" s="289">
        <f>SUM(PACIENTES!AH111+COMEDOR!AH111+JORNADA!AH111+'DIETOLOGÍA(S)'!AH111)</f>
        <v>0</v>
      </c>
      <c r="AI111" s="40">
        <f t="shared" si="2"/>
        <v>0</v>
      </c>
    </row>
    <row r="112" spans="1:35" ht="18.75" customHeight="1">
      <c r="A112" s="617" t="s">
        <v>117</v>
      </c>
      <c r="B112" s="606"/>
      <c r="C112" s="606"/>
      <c r="D112" s="606"/>
      <c r="E112" s="606"/>
      <c r="F112" s="606"/>
      <c r="G112" s="606"/>
      <c r="H112" s="606"/>
      <c r="I112" s="606"/>
      <c r="J112" s="606"/>
      <c r="K112" s="606"/>
      <c r="L112" s="606"/>
      <c r="M112" s="606"/>
      <c r="N112" s="606"/>
      <c r="O112" s="606"/>
      <c r="P112" s="606"/>
      <c r="Q112" s="606"/>
      <c r="R112" s="606"/>
      <c r="S112" s="606"/>
      <c r="T112" s="606"/>
      <c r="U112" s="606"/>
      <c r="V112" s="606"/>
      <c r="W112" s="606"/>
      <c r="X112" s="606"/>
      <c r="Y112" s="606"/>
      <c r="Z112" s="606"/>
      <c r="AA112" s="606"/>
      <c r="AB112" s="606"/>
      <c r="AC112" s="606"/>
      <c r="AD112" s="606"/>
      <c r="AE112" s="606"/>
      <c r="AF112" s="606"/>
      <c r="AG112" s="606"/>
      <c r="AH112" s="607"/>
      <c r="AI112" s="86"/>
    </row>
    <row r="113" spans="1:35" ht="15.75" customHeight="1">
      <c r="A113" s="87">
        <v>2212002003</v>
      </c>
      <c r="B113" s="88" t="s">
        <v>118</v>
      </c>
      <c r="C113" s="89" t="s">
        <v>6</v>
      </c>
      <c r="D113" s="77">
        <f>SUM(PACIENTES!D113+COMEDOR!D113+JORNADA!D113+'DIETOLOGÍA(S)'!D113)</f>
        <v>0</v>
      </c>
      <c r="E113" s="77">
        <f>SUM(PACIENTES!E113+COMEDOR!E113+JORNADA!E113+'DIETOLOGÍA(S)'!E113)</f>
        <v>0</v>
      </c>
      <c r="F113" s="77">
        <f>SUM(PACIENTES!F113+COMEDOR!F113+JORNADA!F113+'DIETOLOGÍA(S)'!F113)</f>
        <v>0</v>
      </c>
      <c r="G113" s="77">
        <f>SUM(PACIENTES!G113+COMEDOR!G113+JORNADA!G113+'DIETOLOGÍA(S)'!G113)</f>
        <v>0</v>
      </c>
      <c r="H113" s="77">
        <f>SUM(PACIENTES!H113+COMEDOR!H113+JORNADA!H113+'DIETOLOGÍA(S)'!H113)</f>
        <v>0</v>
      </c>
      <c r="I113" s="77">
        <f>SUM(PACIENTES!I113+COMEDOR!I113+JORNADA!I113+'DIETOLOGÍA(S)'!I113)</f>
        <v>0</v>
      </c>
      <c r="J113" s="77">
        <f>SUM(PACIENTES!J113+COMEDOR!J113+JORNADA!J113+'DIETOLOGÍA(S)'!J113)</f>
        <v>2</v>
      </c>
      <c r="K113" s="77">
        <f>SUM(PACIENTES!K113+COMEDOR!K113+JORNADA!K113+'DIETOLOGÍA(S)'!K113)</f>
        <v>0</v>
      </c>
      <c r="L113" s="77">
        <f>SUM(PACIENTES!L113+COMEDOR!L113+JORNADA!L113+'DIETOLOGÍA(S)'!L113)</f>
        <v>0</v>
      </c>
      <c r="M113" s="77">
        <f>SUM(PACIENTES!M113+COMEDOR!M113+JORNADA!M113+'DIETOLOGÍA(S)'!M113)</f>
        <v>0</v>
      </c>
      <c r="N113" s="77">
        <f>SUM(PACIENTES!N113+COMEDOR!N113+JORNADA!N113+'DIETOLOGÍA(S)'!N113)</f>
        <v>0</v>
      </c>
      <c r="O113" s="77">
        <f>SUM(PACIENTES!O113+COMEDOR!O113+JORNADA!O113+'DIETOLOGÍA(S)'!O113)</f>
        <v>0</v>
      </c>
      <c r="P113" s="77">
        <f>SUM(PACIENTES!P113+COMEDOR!P113+JORNADA!P113+'DIETOLOGÍA(S)'!P113)</f>
        <v>85</v>
      </c>
      <c r="Q113" s="77">
        <f>SUM(PACIENTES!Q113+COMEDOR!Q113+JORNADA!Q113+'DIETOLOGÍA(S)'!Q113)</f>
        <v>0</v>
      </c>
      <c r="R113" s="77">
        <f>SUM(PACIENTES!R113+COMEDOR!R113+JORNADA!R113+'DIETOLOGÍA(S)'!R113)</f>
        <v>0</v>
      </c>
      <c r="S113" s="77">
        <f>SUM(PACIENTES!S113+COMEDOR!S113+JORNADA!S113+'DIETOLOGÍA(S)'!S113)</f>
        <v>0</v>
      </c>
      <c r="T113" s="77">
        <f>SUM(PACIENTES!T113+COMEDOR!T113+JORNADA!T113+'DIETOLOGÍA(S)'!T113)</f>
        <v>0</v>
      </c>
      <c r="U113" s="77">
        <f>SUM(PACIENTES!U113+COMEDOR!U113+JORNADA!U113+'DIETOLOGÍA(S)'!U113)</f>
        <v>0</v>
      </c>
      <c r="V113" s="77">
        <f>SUM(PACIENTES!V113+COMEDOR!V113+JORNADA!V113+'DIETOLOGÍA(S)'!V113)</f>
        <v>0</v>
      </c>
      <c r="W113" s="77">
        <f>SUM(PACIENTES!W113+COMEDOR!W113+JORNADA!W113+'DIETOLOGÍA(S)'!W113)</f>
        <v>0</v>
      </c>
      <c r="X113" s="77">
        <f>SUM(PACIENTES!X113+COMEDOR!X113+JORNADA!X113+'DIETOLOGÍA(S)'!X113)</f>
        <v>2</v>
      </c>
      <c r="Y113" s="77">
        <f>SUM(PACIENTES!Y113+COMEDOR!Y113+JORNADA!Y113+'DIETOLOGÍA(S)'!Y113)</f>
        <v>0</v>
      </c>
      <c r="Z113" s="77">
        <f>SUM(PACIENTES!Z113+COMEDOR!Z113+JORNADA!Z113+'DIETOLOGÍA(S)'!Z113)</f>
        <v>0</v>
      </c>
      <c r="AA113" s="77">
        <f>SUM(PACIENTES!AA113+COMEDOR!AA113+JORNADA!AA113+'DIETOLOGÍA(S)'!AA113)</f>
        <v>30</v>
      </c>
      <c r="AB113" s="77">
        <f>SUM(PACIENTES!AB113+COMEDOR!AB113+JORNADA!AB113+'DIETOLOGÍA(S)'!AB113)</f>
        <v>0</v>
      </c>
      <c r="AC113" s="77">
        <f>SUM(PACIENTES!AC113+COMEDOR!AC113+JORNADA!AC113+'DIETOLOGÍA(S)'!AC113)</f>
        <v>0</v>
      </c>
      <c r="AD113" s="77">
        <f>SUM(PACIENTES!AD113+COMEDOR!AD113+JORNADA!AD113+'DIETOLOGÍA(S)'!AD113)</f>
        <v>0</v>
      </c>
      <c r="AE113" s="77">
        <f>SUM(PACIENTES!AE113+COMEDOR!AE113+JORNADA!AE113+'DIETOLOGÍA(S)'!AE113)</f>
        <v>85</v>
      </c>
      <c r="AF113" s="77">
        <f>SUM(PACIENTES!AF113+COMEDOR!AF113+JORNADA!AF113+'DIETOLOGÍA(S)'!AF113)</f>
        <v>0</v>
      </c>
      <c r="AG113" s="77">
        <f>SUM(PACIENTES!AG113+COMEDOR!AG113+JORNADA!AG113+'DIETOLOGÍA(S)'!AG113)</f>
        <v>0</v>
      </c>
      <c r="AH113" s="77">
        <f>SUM(PACIENTES!AH113+COMEDOR!AH113+JORNADA!AH113+'DIETOLOGÍA(S)'!AH113)</f>
        <v>0</v>
      </c>
      <c r="AI113" s="48">
        <f t="shared" ref="AI113:AI131" si="3">SUM(D113:AH113)</f>
        <v>204</v>
      </c>
    </row>
    <row r="114" spans="1:35" ht="15.75" customHeight="1">
      <c r="A114" s="90">
        <v>2212002005</v>
      </c>
      <c r="B114" s="92" t="s">
        <v>119</v>
      </c>
      <c r="C114" s="91" t="s">
        <v>6</v>
      </c>
      <c r="D114" s="77">
        <f>SUM(PACIENTES!D114+COMEDOR!D114+JORNADA!D114+'DIETOLOGÍA(S)'!D114)</f>
        <v>0</v>
      </c>
      <c r="E114" s="77">
        <f>SUM(PACIENTES!E114+COMEDOR!E114+JORNADA!E114+'DIETOLOGÍA(S)'!E114)</f>
        <v>0</v>
      </c>
      <c r="F114" s="77">
        <f>SUM(PACIENTES!F114+COMEDOR!F114+JORNADA!F114+'DIETOLOGÍA(S)'!F114)</f>
        <v>0</v>
      </c>
      <c r="G114" s="77">
        <f>SUM(PACIENTES!G114+COMEDOR!G114+JORNADA!G114+'DIETOLOGÍA(S)'!G114)</f>
        <v>0</v>
      </c>
      <c r="H114" s="77">
        <f>SUM(PACIENTES!H114+COMEDOR!H114+JORNADA!H114+'DIETOLOGÍA(S)'!H114)</f>
        <v>0</v>
      </c>
      <c r="I114" s="77">
        <f>SUM(PACIENTES!I114+COMEDOR!I114+JORNADA!I114+'DIETOLOGÍA(S)'!I114)</f>
        <v>35</v>
      </c>
      <c r="J114" s="77">
        <f>SUM(PACIENTES!J114+COMEDOR!J114+JORNADA!J114+'DIETOLOGÍA(S)'!J114)</f>
        <v>0</v>
      </c>
      <c r="K114" s="77">
        <f>SUM(PACIENTES!K114+COMEDOR!K114+JORNADA!K114+'DIETOLOGÍA(S)'!K114)</f>
        <v>0</v>
      </c>
      <c r="L114" s="77">
        <f>SUM(PACIENTES!L114+COMEDOR!L114+JORNADA!L114+'DIETOLOGÍA(S)'!L114)</f>
        <v>0</v>
      </c>
      <c r="M114" s="77">
        <f>SUM(PACIENTES!M114+COMEDOR!M114+JORNADA!M114+'DIETOLOGÍA(S)'!M114)</f>
        <v>0</v>
      </c>
      <c r="N114" s="77">
        <f>SUM(PACIENTES!N114+COMEDOR!N114+JORNADA!N114+'DIETOLOGÍA(S)'!N114)</f>
        <v>0</v>
      </c>
      <c r="O114" s="77">
        <f>SUM(PACIENTES!O114+COMEDOR!O114+JORNADA!O114+'DIETOLOGÍA(S)'!O114)</f>
        <v>0</v>
      </c>
      <c r="P114" s="77">
        <f>SUM(PACIENTES!P114+COMEDOR!P114+JORNADA!P114+'DIETOLOGÍA(S)'!P114)</f>
        <v>0</v>
      </c>
      <c r="Q114" s="77">
        <f>SUM(PACIENTES!Q114+COMEDOR!Q114+JORNADA!Q114+'DIETOLOGÍA(S)'!Q114)</f>
        <v>2</v>
      </c>
      <c r="R114" s="77">
        <f>SUM(PACIENTES!R114+COMEDOR!R114+JORNADA!R114+'DIETOLOGÍA(S)'!R114)</f>
        <v>0</v>
      </c>
      <c r="S114" s="77">
        <f>SUM(PACIENTES!S114+COMEDOR!S114+JORNADA!S114+'DIETOLOGÍA(S)'!S114)</f>
        <v>0</v>
      </c>
      <c r="T114" s="77">
        <f>SUM(PACIENTES!T114+COMEDOR!T114+JORNADA!T114+'DIETOLOGÍA(S)'!T114)</f>
        <v>0</v>
      </c>
      <c r="U114" s="77">
        <f>SUM(PACIENTES!U114+COMEDOR!U114+JORNADA!U114+'DIETOLOGÍA(S)'!U114)</f>
        <v>0</v>
      </c>
      <c r="V114" s="77">
        <f>SUM(PACIENTES!V114+COMEDOR!V114+JORNADA!V114+'DIETOLOGÍA(S)'!V114)</f>
        <v>0</v>
      </c>
      <c r="W114" s="77">
        <f>SUM(PACIENTES!W114+COMEDOR!W114+JORNADA!W114+'DIETOLOGÍA(S)'!W114)</f>
        <v>0</v>
      </c>
      <c r="X114" s="77">
        <f>SUM(PACIENTES!X114+COMEDOR!X114+JORNADA!X114+'DIETOLOGÍA(S)'!X114)</f>
        <v>0</v>
      </c>
      <c r="Y114" s="77">
        <f>SUM(PACIENTES!Y114+COMEDOR!Y114+JORNADA!Y114+'DIETOLOGÍA(S)'!Y114)</f>
        <v>0</v>
      </c>
      <c r="Z114" s="77">
        <f>SUM(PACIENTES!Z114+COMEDOR!Z114+JORNADA!Z114+'DIETOLOGÍA(S)'!Z114)</f>
        <v>0</v>
      </c>
      <c r="AA114" s="77">
        <f>SUM(PACIENTES!AA114+COMEDOR!AA114+JORNADA!AA114+'DIETOLOGÍA(S)'!AA114)</f>
        <v>0</v>
      </c>
      <c r="AB114" s="77">
        <f>SUM(PACIENTES!AB114+COMEDOR!AB114+JORNADA!AB114+'DIETOLOGÍA(S)'!AB114)</f>
        <v>0</v>
      </c>
      <c r="AC114" s="77">
        <f>SUM(PACIENTES!AC114+COMEDOR!AC114+JORNADA!AC114+'DIETOLOGÍA(S)'!AC114)</f>
        <v>55</v>
      </c>
      <c r="AD114" s="77">
        <f>SUM(PACIENTES!AD114+COMEDOR!AD114+JORNADA!AD114+'DIETOLOGÍA(S)'!AD114)</f>
        <v>0</v>
      </c>
      <c r="AE114" s="77">
        <f>SUM(PACIENTES!AE114+COMEDOR!AE114+JORNADA!AE114+'DIETOLOGÍA(S)'!AE114)</f>
        <v>2</v>
      </c>
      <c r="AF114" s="77">
        <f>SUM(PACIENTES!AF114+COMEDOR!AF114+JORNADA!AF114+'DIETOLOGÍA(S)'!AF114)</f>
        <v>0</v>
      </c>
      <c r="AG114" s="6">
        <f>SUM(PACIENTES!AG114+COMEDOR!AG114+JORNADA!AG114+'DIETOLOGÍA(S)'!AG114)</f>
        <v>0</v>
      </c>
      <c r="AH114" s="6">
        <f>SUM(PACIENTES!AH114+COMEDOR!AH114+JORNADA!AH114+'DIETOLOGÍA(S)'!AH114)</f>
        <v>0</v>
      </c>
      <c r="AI114" s="9">
        <f t="shared" si="3"/>
        <v>94</v>
      </c>
    </row>
    <row r="115" spans="1:35" ht="15.75" customHeight="1">
      <c r="A115" s="90">
        <v>2212002006</v>
      </c>
      <c r="B115" s="92" t="s">
        <v>120</v>
      </c>
      <c r="C115" s="91" t="s">
        <v>6</v>
      </c>
      <c r="D115" s="77">
        <f>SUM(PACIENTES!D115+COMEDOR!D115+JORNADA!D115+'DIETOLOGÍA(S)'!D115)</f>
        <v>0</v>
      </c>
      <c r="E115" s="77">
        <f>SUM(PACIENTES!E115+COMEDOR!E115+JORNADA!E115+'DIETOLOGÍA(S)'!E115)</f>
        <v>0</v>
      </c>
      <c r="F115" s="77">
        <f>SUM(PACIENTES!F115+COMEDOR!F115+JORNADA!F115+'DIETOLOGÍA(S)'!F115)</f>
        <v>0</v>
      </c>
      <c r="G115" s="77">
        <f>SUM(PACIENTES!G115+COMEDOR!G115+JORNADA!G115+'DIETOLOGÍA(S)'!G115)</f>
        <v>0</v>
      </c>
      <c r="H115" s="77">
        <f>SUM(PACIENTES!H115+COMEDOR!H115+JORNADA!H115+'DIETOLOGÍA(S)'!H115)</f>
        <v>0</v>
      </c>
      <c r="I115" s="77">
        <f>SUM(PACIENTES!I115+COMEDOR!I115+JORNADA!I115+'DIETOLOGÍA(S)'!I115)</f>
        <v>1</v>
      </c>
      <c r="J115" s="77">
        <f>SUM(PACIENTES!J115+COMEDOR!J115+JORNADA!J115+'DIETOLOGÍA(S)'!J115)</f>
        <v>1</v>
      </c>
      <c r="K115" s="77">
        <f>SUM(PACIENTES!K115+COMEDOR!K115+JORNADA!K115+'DIETOLOGÍA(S)'!K115)</f>
        <v>0</v>
      </c>
      <c r="L115" s="77">
        <f>SUM(PACIENTES!L115+COMEDOR!L115+JORNADA!L115+'DIETOLOGÍA(S)'!L115)</f>
        <v>0</v>
      </c>
      <c r="M115" s="77">
        <f>SUM(PACIENTES!M115+COMEDOR!M115+JORNADA!M115+'DIETOLOGÍA(S)'!M115)</f>
        <v>0</v>
      </c>
      <c r="N115" s="77">
        <f>SUM(PACIENTES!N115+COMEDOR!N115+JORNADA!N115+'DIETOLOGÍA(S)'!N115)</f>
        <v>0</v>
      </c>
      <c r="O115" s="77">
        <f>SUM(PACIENTES!O115+COMEDOR!O115+JORNADA!O115+'DIETOLOGÍA(S)'!O115)</f>
        <v>0</v>
      </c>
      <c r="P115" s="77">
        <f>SUM(PACIENTES!P115+COMEDOR!P115+JORNADA!P115+'DIETOLOGÍA(S)'!P115)</f>
        <v>0</v>
      </c>
      <c r="Q115" s="77">
        <f>SUM(PACIENTES!Q115+COMEDOR!Q115+JORNADA!Q115+'DIETOLOGÍA(S)'!Q115)</f>
        <v>0</v>
      </c>
      <c r="R115" s="77">
        <f>SUM(PACIENTES!R115+COMEDOR!R115+JORNADA!R115+'DIETOLOGÍA(S)'!R115)</f>
        <v>0</v>
      </c>
      <c r="S115" s="77">
        <f>SUM(PACIENTES!S115+COMEDOR!S115+JORNADA!S115+'DIETOLOGÍA(S)'!S115)</f>
        <v>0</v>
      </c>
      <c r="T115" s="77">
        <f>SUM(PACIENTES!T115+COMEDOR!T115+JORNADA!T115+'DIETOLOGÍA(S)'!T115)</f>
        <v>0</v>
      </c>
      <c r="U115" s="77">
        <f>SUM(PACIENTES!U115+COMEDOR!U115+JORNADA!U115+'DIETOLOGÍA(S)'!U115)</f>
        <v>65</v>
      </c>
      <c r="V115" s="77">
        <f>SUM(PACIENTES!V115+COMEDOR!V115+JORNADA!V115+'DIETOLOGÍA(S)'!V115)</f>
        <v>0</v>
      </c>
      <c r="W115" s="77">
        <f>SUM(PACIENTES!W115+COMEDOR!W115+JORNADA!W115+'DIETOLOGÍA(S)'!W115)</f>
        <v>0</v>
      </c>
      <c r="X115" s="77">
        <f>SUM(PACIENTES!X115+COMEDOR!X115+JORNADA!X115+'DIETOLOGÍA(S)'!X115)</f>
        <v>0</v>
      </c>
      <c r="Y115" s="77">
        <f>SUM(PACIENTES!Y115+COMEDOR!Y115+JORNADA!Y115+'DIETOLOGÍA(S)'!Y115)</f>
        <v>0</v>
      </c>
      <c r="Z115" s="77">
        <f>SUM(PACIENTES!Z115+COMEDOR!Z115+JORNADA!Z115+'DIETOLOGÍA(S)'!Z115)</f>
        <v>0</v>
      </c>
      <c r="AA115" s="77">
        <f>SUM(PACIENTES!AA115+COMEDOR!AA115+JORNADA!AA115+'DIETOLOGÍA(S)'!AA115)</f>
        <v>0</v>
      </c>
      <c r="AB115" s="77">
        <f>SUM(PACIENTES!AB115+COMEDOR!AB115+JORNADA!AB115+'DIETOLOGÍA(S)'!AB115)</f>
        <v>0</v>
      </c>
      <c r="AC115" s="77">
        <f>SUM(PACIENTES!AC115+COMEDOR!AC115+JORNADA!AC115+'DIETOLOGÍA(S)'!AC115)</f>
        <v>0</v>
      </c>
      <c r="AD115" s="77">
        <f>SUM(PACIENTES!AD115+COMEDOR!AD115+JORNADA!AD115+'DIETOLOGÍA(S)'!AD115)</f>
        <v>0</v>
      </c>
      <c r="AE115" s="77">
        <f>SUM(PACIENTES!AE115+COMEDOR!AE115+JORNADA!AE115+'DIETOLOGÍA(S)'!AE115)</f>
        <v>0</v>
      </c>
      <c r="AF115" s="77">
        <f>SUM(PACIENTES!AF115+COMEDOR!AF115+JORNADA!AF115+'DIETOLOGÍA(S)'!AF115)</f>
        <v>0</v>
      </c>
      <c r="AG115" s="77">
        <f>SUM(PACIENTES!AG115+COMEDOR!AG115+JORNADA!AG115+'DIETOLOGÍA(S)'!AG115)</f>
        <v>0</v>
      </c>
      <c r="AH115" s="77">
        <f>SUM(PACIENTES!AH115+COMEDOR!AH115+JORNADA!AH115+'DIETOLOGÍA(S)'!AH115)</f>
        <v>0</v>
      </c>
      <c r="AI115" s="9">
        <f t="shared" si="3"/>
        <v>67</v>
      </c>
    </row>
    <row r="116" spans="1:35" ht="15.75" customHeight="1">
      <c r="A116" s="90">
        <v>2212002008</v>
      </c>
      <c r="B116" s="92" t="s">
        <v>121</v>
      </c>
      <c r="C116" s="91" t="s">
        <v>6</v>
      </c>
      <c r="D116" s="77">
        <f>SUM(PACIENTES!D116+COMEDOR!D116+JORNADA!D116+'DIETOLOGÍA(S)'!D116)</f>
        <v>0</v>
      </c>
      <c r="E116" s="77">
        <f>SUM(PACIENTES!E116+COMEDOR!E116+JORNADA!E116+'DIETOLOGÍA(S)'!E116)</f>
        <v>0</v>
      </c>
      <c r="F116" s="77">
        <f>SUM(PACIENTES!F116+COMEDOR!F116+JORNADA!F116+'DIETOLOGÍA(S)'!F116)</f>
        <v>0</v>
      </c>
      <c r="G116" s="77">
        <f>SUM(PACIENTES!G116+COMEDOR!G116+JORNADA!G116+'DIETOLOGÍA(S)'!G116)</f>
        <v>0</v>
      </c>
      <c r="H116" s="77">
        <f>SUM(PACIENTES!H116+COMEDOR!H116+JORNADA!H116+'DIETOLOGÍA(S)'!H116)</f>
        <v>0</v>
      </c>
      <c r="I116" s="77">
        <f>SUM(PACIENTES!I116+COMEDOR!I116+JORNADA!I116+'DIETOLOGÍA(S)'!I116)</f>
        <v>0</v>
      </c>
      <c r="J116" s="77">
        <f>SUM(PACIENTES!J116+COMEDOR!J116+JORNADA!J116+'DIETOLOGÍA(S)'!J116)</f>
        <v>2</v>
      </c>
      <c r="K116" s="77">
        <f>SUM(PACIENTES!K116+COMEDOR!K116+JORNADA!K116+'DIETOLOGÍA(S)'!K116)</f>
        <v>0</v>
      </c>
      <c r="L116" s="77">
        <f>SUM(PACIENTES!L116+COMEDOR!L116+JORNADA!L116+'DIETOLOGÍA(S)'!L116)</f>
        <v>0</v>
      </c>
      <c r="M116" s="77">
        <f>SUM(PACIENTES!M116+COMEDOR!M116+JORNADA!M116+'DIETOLOGÍA(S)'!M116)</f>
        <v>70</v>
      </c>
      <c r="N116" s="77">
        <f>SUM(PACIENTES!N116+COMEDOR!N116+JORNADA!N116+'DIETOLOGÍA(S)'!N116)</f>
        <v>60</v>
      </c>
      <c r="O116" s="77">
        <f>SUM(PACIENTES!O116+COMEDOR!O116+JORNADA!O116+'DIETOLOGÍA(S)'!O116)</f>
        <v>0</v>
      </c>
      <c r="P116" s="77">
        <f>SUM(PACIENTES!P116+COMEDOR!P116+JORNADA!P116+'DIETOLOGÍA(S)'!P116)</f>
        <v>1</v>
      </c>
      <c r="Q116" s="77">
        <f>SUM(PACIENTES!Q116+COMEDOR!Q116+JORNADA!Q116+'DIETOLOGÍA(S)'!Q116)</f>
        <v>0</v>
      </c>
      <c r="R116" s="77">
        <f>SUM(PACIENTES!R116+COMEDOR!R116+JORNADA!R116+'DIETOLOGÍA(S)'!R116)</f>
        <v>0</v>
      </c>
      <c r="S116" s="77">
        <f>SUM(PACIENTES!S116+COMEDOR!S116+JORNADA!S116+'DIETOLOGÍA(S)'!S116)</f>
        <v>0</v>
      </c>
      <c r="T116" s="77">
        <f>SUM(PACIENTES!T116+COMEDOR!T116+JORNADA!T116+'DIETOLOGÍA(S)'!T116)</f>
        <v>60</v>
      </c>
      <c r="U116" s="77">
        <f>SUM(PACIENTES!U116+COMEDOR!U116+JORNADA!U116+'DIETOLOGÍA(S)'!U116)</f>
        <v>0</v>
      </c>
      <c r="V116" s="77">
        <f>SUM(PACIENTES!V116+COMEDOR!V116+JORNADA!V116+'DIETOLOGÍA(S)'!V116)</f>
        <v>55</v>
      </c>
      <c r="W116" s="77">
        <f>SUM(PACIENTES!W116+COMEDOR!W116+JORNADA!W116+'DIETOLOGÍA(S)'!W116)</f>
        <v>0</v>
      </c>
      <c r="X116" s="77">
        <f>SUM(PACIENTES!X116+COMEDOR!X116+JORNADA!X116+'DIETOLOGÍA(S)'!X116)</f>
        <v>0</v>
      </c>
      <c r="Y116" s="77">
        <f>SUM(PACIENTES!Y116+COMEDOR!Y116+JORNADA!Y116+'DIETOLOGÍA(S)'!Y116)</f>
        <v>0</v>
      </c>
      <c r="Z116" s="77">
        <f>SUM(PACIENTES!Z116+COMEDOR!Z116+JORNADA!Z116+'DIETOLOGÍA(S)'!Z116)</f>
        <v>0</v>
      </c>
      <c r="AA116" s="77">
        <f>SUM(PACIENTES!AA116+COMEDOR!AA116+JORNADA!AA116+'DIETOLOGÍA(S)'!AA116)</f>
        <v>0</v>
      </c>
      <c r="AB116" s="77">
        <f>SUM(PACIENTES!AB116+COMEDOR!AB116+JORNADA!AB116+'DIETOLOGÍA(S)'!AB116)</f>
        <v>0</v>
      </c>
      <c r="AC116" s="77">
        <f>SUM(PACIENTES!AC116+COMEDOR!AC116+JORNADA!AC116+'DIETOLOGÍA(S)'!AC116)</f>
        <v>0</v>
      </c>
      <c r="AD116" s="77">
        <f>SUM(PACIENTES!AD116+COMEDOR!AD116+JORNADA!AD116+'DIETOLOGÍA(S)'!AD116)</f>
        <v>0</v>
      </c>
      <c r="AE116" s="77">
        <f>SUM(PACIENTES!AE116+COMEDOR!AE116+JORNADA!AE116+'DIETOLOGÍA(S)'!AE116)</f>
        <v>0</v>
      </c>
      <c r="AF116" s="77">
        <f>SUM(PACIENTES!AF116+COMEDOR!AF116+JORNADA!AF116+'DIETOLOGÍA(S)'!AF116)</f>
        <v>0</v>
      </c>
      <c r="AG116" s="6">
        <f>SUM(PACIENTES!AG116+COMEDOR!AG116+JORNADA!AG116+'DIETOLOGÍA(S)'!AG116)</f>
        <v>0</v>
      </c>
      <c r="AH116" s="6">
        <f>SUM(PACIENTES!AH116+COMEDOR!AH116+JORNADA!AH116+'DIETOLOGÍA(S)'!AH116)</f>
        <v>0</v>
      </c>
      <c r="AI116" s="9">
        <f t="shared" si="3"/>
        <v>248</v>
      </c>
    </row>
    <row r="117" spans="1:35" ht="15.75" customHeight="1">
      <c r="A117" s="90">
        <v>2212002012</v>
      </c>
      <c r="B117" s="92" t="s">
        <v>122</v>
      </c>
      <c r="C117" s="91" t="s">
        <v>6</v>
      </c>
      <c r="D117" s="77">
        <f>SUM(PACIENTES!D117+COMEDOR!D117+JORNADA!D117+'DIETOLOGÍA(S)'!D117)</f>
        <v>0</v>
      </c>
      <c r="E117" s="77">
        <f>SUM(PACIENTES!E117+COMEDOR!E117+JORNADA!E117+'DIETOLOGÍA(S)'!E117)</f>
        <v>75</v>
      </c>
      <c r="F117" s="77">
        <f>SUM(PACIENTES!F117+COMEDOR!F117+JORNADA!F117+'DIETOLOGÍA(S)'!F117)</f>
        <v>0</v>
      </c>
      <c r="G117" s="77">
        <f>SUM(PACIENTES!G117+COMEDOR!G117+JORNADA!G117+'DIETOLOGÍA(S)'!G117)</f>
        <v>0</v>
      </c>
      <c r="H117" s="77">
        <f>SUM(PACIENTES!H117+COMEDOR!H117+JORNADA!H117+'DIETOLOGÍA(S)'!H117)</f>
        <v>0</v>
      </c>
      <c r="I117" s="77">
        <f>SUM(PACIENTES!I117+COMEDOR!I117+JORNADA!I117+'DIETOLOGÍA(S)'!I117)</f>
        <v>0</v>
      </c>
      <c r="J117" s="77">
        <f>SUM(PACIENTES!J117+COMEDOR!J117+JORNADA!J117+'DIETOLOGÍA(S)'!J117)</f>
        <v>0</v>
      </c>
      <c r="K117" s="77">
        <f>SUM(PACIENTES!K117+COMEDOR!K117+JORNADA!K117+'DIETOLOGÍA(S)'!K117)</f>
        <v>0</v>
      </c>
      <c r="L117" s="77">
        <f>SUM(PACIENTES!L117+COMEDOR!L117+JORNADA!L117+'DIETOLOGÍA(S)'!L117)</f>
        <v>0</v>
      </c>
      <c r="M117" s="77">
        <f>SUM(PACIENTES!M117+COMEDOR!M117+JORNADA!M117+'DIETOLOGÍA(S)'!M117)</f>
        <v>0</v>
      </c>
      <c r="N117" s="77">
        <f>SUM(PACIENTES!N117+COMEDOR!N117+JORNADA!N117+'DIETOLOGÍA(S)'!N117)</f>
        <v>0</v>
      </c>
      <c r="O117" s="77">
        <f>SUM(PACIENTES!O117+COMEDOR!O117+JORNADA!O117+'DIETOLOGÍA(S)'!O117)</f>
        <v>0</v>
      </c>
      <c r="P117" s="77">
        <f>SUM(PACIENTES!P117+COMEDOR!P117+JORNADA!P117+'DIETOLOGÍA(S)'!P117)</f>
        <v>0</v>
      </c>
      <c r="Q117" s="77">
        <f>SUM(PACIENTES!Q117+COMEDOR!Q117+JORNADA!Q117+'DIETOLOGÍA(S)'!Q117)</f>
        <v>0</v>
      </c>
      <c r="R117" s="77">
        <f>SUM(PACIENTES!R117+COMEDOR!R117+JORNADA!R117+'DIETOLOGÍA(S)'!R117)</f>
        <v>0</v>
      </c>
      <c r="S117" s="77">
        <f>SUM(PACIENTES!S117+COMEDOR!S117+JORNADA!S117+'DIETOLOGÍA(S)'!S117)</f>
        <v>0</v>
      </c>
      <c r="T117" s="77">
        <f>SUM(PACIENTES!T117+COMEDOR!T117+JORNADA!T117+'DIETOLOGÍA(S)'!T117)</f>
        <v>0</v>
      </c>
      <c r="U117" s="77">
        <f>SUM(PACIENTES!U117+COMEDOR!U117+JORNADA!U117+'DIETOLOGÍA(S)'!U117)</f>
        <v>30</v>
      </c>
      <c r="V117" s="77">
        <f>SUM(PACIENTES!V117+COMEDOR!V117+JORNADA!V117+'DIETOLOGÍA(S)'!V117)</f>
        <v>0</v>
      </c>
      <c r="W117" s="77">
        <f>SUM(PACIENTES!W117+COMEDOR!W117+JORNADA!W117+'DIETOLOGÍA(S)'!W117)</f>
        <v>0</v>
      </c>
      <c r="X117" s="77">
        <f>SUM(PACIENTES!X117+COMEDOR!X117+JORNADA!X117+'DIETOLOGÍA(S)'!X117)</f>
        <v>0</v>
      </c>
      <c r="Y117" s="77">
        <f>SUM(PACIENTES!Y117+COMEDOR!Y117+JORNADA!Y117+'DIETOLOGÍA(S)'!Y117)</f>
        <v>0</v>
      </c>
      <c r="Z117" s="77">
        <f>SUM(PACIENTES!Z117+COMEDOR!Z117+JORNADA!Z117+'DIETOLOGÍA(S)'!Z117)</f>
        <v>0</v>
      </c>
      <c r="AA117" s="77">
        <f>SUM(PACIENTES!AA117+COMEDOR!AA117+JORNADA!AA117+'DIETOLOGÍA(S)'!AA117)</f>
        <v>0</v>
      </c>
      <c r="AB117" s="77">
        <f>SUM(PACIENTES!AB117+COMEDOR!AB117+JORNADA!AB117+'DIETOLOGÍA(S)'!AB117)</f>
        <v>0</v>
      </c>
      <c r="AC117" s="77">
        <f>SUM(PACIENTES!AC117+COMEDOR!AC117+JORNADA!AC117+'DIETOLOGÍA(S)'!AC117)</f>
        <v>0</v>
      </c>
      <c r="AD117" s="77">
        <f>SUM(PACIENTES!AD117+COMEDOR!AD117+JORNADA!AD117+'DIETOLOGÍA(S)'!AD117)</f>
        <v>0</v>
      </c>
      <c r="AE117" s="77">
        <f>SUM(PACIENTES!AE117+COMEDOR!AE117+JORNADA!AE117+'DIETOLOGÍA(S)'!AE117)</f>
        <v>2</v>
      </c>
      <c r="AF117" s="77">
        <f>SUM(PACIENTES!AF117+COMEDOR!AF117+JORNADA!AF117+'DIETOLOGÍA(S)'!AF117)</f>
        <v>0</v>
      </c>
      <c r="AG117" s="77">
        <f>SUM(PACIENTES!AG117+COMEDOR!AG117+JORNADA!AG117+'DIETOLOGÍA(S)'!AG117)</f>
        <v>0</v>
      </c>
      <c r="AH117" s="77">
        <f>SUM(PACIENTES!AH117+COMEDOR!AH117+JORNADA!AH117+'DIETOLOGÍA(S)'!AH117)</f>
        <v>0</v>
      </c>
      <c r="AI117" s="9">
        <f t="shared" si="3"/>
        <v>107</v>
      </c>
    </row>
    <row r="118" spans="1:35" ht="15.75" customHeight="1">
      <c r="A118" s="90">
        <v>2212002013</v>
      </c>
      <c r="B118" s="92" t="s">
        <v>123</v>
      </c>
      <c r="C118" s="91" t="s">
        <v>6</v>
      </c>
      <c r="D118" s="77">
        <f>SUM(PACIENTES!D118+COMEDOR!D118+JORNADA!D118+'DIETOLOGÍA(S)'!D118)</f>
        <v>0</v>
      </c>
      <c r="E118" s="77">
        <f>SUM(PACIENTES!E118+COMEDOR!E118+JORNADA!E118+'DIETOLOGÍA(S)'!E118)</f>
        <v>0</v>
      </c>
      <c r="F118" s="77">
        <f>SUM(PACIENTES!F118+COMEDOR!F118+JORNADA!F118+'DIETOLOGÍA(S)'!F118)</f>
        <v>0</v>
      </c>
      <c r="G118" s="77">
        <f>SUM(PACIENTES!G118+COMEDOR!G118+JORNADA!G118+'DIETOLOGÍA(S)'!G118)</f>
        <v>0</v>
      </c>
      <c r="H118" s="77">
        <f>SUM(PACIENTES!H118+COMEDOR!H118+JORNADA!H118+'DIETOLOGÍA(S)'!H118)</f>
        <v>80</v>
      </c>
      <c r="I118" s="77">
        <f>SUM(PACIENTES!I118+COMEDOR!I118+JORNADA!I118+'DIETOLOGÍA(S)'!I118)</f>
        <v>51</v>
      </c>
      <c r="J118" s="77">
        <f>SUM(PACIENTES!J118+COMEDOR!J118+JORNADA!J118+'DIETOLOGÍA(S)'!J118)</f>
        <v>0</v>
      </c>
      <c r="K118" s="77">
        <f>SUM(PACIENTES!K118+COMEDOR!K118+JORNADA!K118+'DIETOLOGÍA(S)'!K118)</f>
        <v>0</v>
      </c>
      <c r="L118" s="77">
        <f>SUM(PACIENTES!L118+COMEDOR!L118+JORNADA!L118+'DIETOLOGÍA(S)'!L118)</f>
        <v>30</v>
      </c>
      <c r="M118" s="77">
        <f>SUM(PACIENTES!M118+COMEDOR!M118+JORNADA!M118+'DIETOLOGÍA(S)'!M118)</f>
        <v>0</v>
      </c>
      <c r="N118" s="77">
        <f>SUM(PACIENTES!N118+COMEDOR!N118+JORNADA!N118+'DIETOLOGÍA(S)'!N118)</f>
        <v>30</v>
      </c>
      <c r="O118" s="77">
        <f>SUM(PACIENTES!O118+COMEDOR!O118+JORNADA!O118+'DIETOLOGÍA(S)'!O118)</f>
        <v>35</v>
      </c>
      <c r="P118" s="77">
        <f>SUM(PACIENTES!P118+COMEDOR!P118+JORNADA!P118+'DIETOLOGÍA(S)'!P118)</f>
        <v>0</v>
      </c>
      <c r="Q118" s="77">
        <f>SUM(PACIENTES!Q118+COMEDOR!Q118+JORNADA!Q118+'DIETOLOGÍA(S)'!Q118)</f>
        <v>27</v>
      </c>
      <c r="R118" s="77">
        <f>SUM(PACIENTES!R118+COMEDOR!R118+JORNADA!R118+'DIETOLOGÍA(S)'!R118)</f>
        <v>0</v>
      </c>
      <c r="S118" s="77">
        <f>SUM(PACIENTES!S118+COMEDOR!S118+JORNADA!S118+'DIETOLOGÍA(S)'!S118)</f>
        <v>0</v>
      </c>
      <c r="T118" s="77">
        <f>SUM(PACIENTES!T118+COMEDOR!T118+JORNADA!T118+'DIETOLOGÍA(S)'!T118)</f>
        <v>0</v>
      </c>
      <c r="U118" s="77">
        <f>SUM(PACIENTES!U118+COMEDOR!U118+JORNADA!U118+'DIETOLOGÍA(S)'!U118)</f>
        <v>0</v>
      </c>
      <c r="V118" s="77">
        <f>SUM(PACIENTES!V118+COMEDOR!V118+JORNADA!V118+'DIETOLOGÍA(S)'!V118)</f>
        <v>30</v>
      </c>
      <c r="W118" s="77">
        <f>SUM(PACIENTES!W118+COMEDOR!W118+JORNADA!W118+'DIETOLOGÍA(S)'!W118)</f>
        <v>81</v>
      </c>
      <c r="X118" s="77">
        <f>SUM(PACIENTES!X118+COMEDOR!X118+JORNADA!X118+'DIETOLOGÍA(S)'!X118)</f>
        <v>50</v>
      </c>
      <c r="Y118" s="77">
        <f>SUM(PACIENTES!Y118+COMEDOR!Y118+JORNADA!Y118+'DIETOLOGÍA(S)'!Y118)</f>
        <v>0</v>
      </c>
      <c r="Z118" s="77">
        <f>SUM(PACIENTES!Z118+COMEDOR!Z118+JORNADA!Z118+'DIETOLOGÍA(S)'!Z118)</f>
        <v>0</v>
      </c>
      <c r="AA118" s="77">
        <f>SUM(PACIENTES!AA118+COMEDOR!AA118+JORNADA!AA118+'DIETOLOGÍA(S)'!AA118)</f>
        <v>0</v>
      </c>
      <c r="AB118" s="77">
        <f>SUM(PACIENTES!AB118+COMEDOR!AB118+JORNADA!AB118+'DIETOLOGÍA(S)'!AB118)</f>
        <v>30</v>
      </c>
      <c r="AC118" s="77">
        <f>SUM(PACIENTES!AC118+COMEDOR!AC118+JORNADA!AC118+'DIETOLOGÍA(S)'!AC118)</f>
        <v>0</v>
      </c>
      <c r="AD118" s="77">
        <f>SUM(PACIENTES!AD118+COMEDOR!AD118+JORNADA!AD118+'DIETOLOGÍA(S)'!AD118)</f>
        <v>65</v>
      </c>
      <c r="AE118" s="77">
        <f>SUM(PACIENTES!AE118+COMEDOR!AE118+JORNADA!AE118+'DIETOLOGÍA(S)'!AE118)</f>
        <v>0</v>
      </c>
      <c r="AF118" s="77">
        <f>SUM(PACIENTES!AF118+COMEDOR!AF118+JORNADA!AF118+'DIETOLOGÍA(S)'!AF118)</f>
        <v>25</v>
      </c>
      <c r="AG118" s="6">
        <f>SUM(PACIENTES!AG118+COMEDOR!AG118+JORNADA!AG118+'DIETOLOGÍA(S)'!AG118)</f>
        <v>0</v>
      </c>
      <c r="AH118" s="6">
        <f>SUM(PACIENTES!AH118+COMEDOR!AH118+JORNADA!AH118+'DIETOLOGÍA(S)'!AH118)</f>
        <v>0</v>
      </c>
      <c r="AI118" s="9">
        <f t="shared" si="3"/>
        <v>534</v>
      </c>
    </row>
    <row r="119" spans="1:35" ht="15.75" customHeight="1">
      <c r="A119" s="90">
        <v>2212002015</v>
      </c>
      <c r="B119" s="92" t="s">
        <v>124</v>
      </c>
      <c r="C119" s="91" t="s">
        <v>6</v>
      </c>
      <c r="D119" s="77">
        <f>SUM(PACIENTES!D119+COMEDOR!D119+JORNADA!D119+'DIETOLOGÍA(S)'!D119)</f>
        <v>0</v>
      </c>
      <c r="E119" s="77">
        <f>SUM(PACIENTES!E119+COMEDOR!E119+JORNADA!E119+'DIETOLOGÍA(S)'!E119)</f>
        <v>0</v>
      </c>
      <c r="F119" s="77">
        <f>SUM(PACIENTES!F119+COMEDOR!F119+JORNADA!F119+'DIETOLOGÍA(S)'!F119)</f>
        <v>0</v>
      </c>
      <c r="G119" s="77">
        <f>SUM(PACIENTES!G119+COMEDOR!G119+JORNADA!G119+'DIETOLOGÍA(S)'!G119)</f>
        <v>0</v>
      </c>
      <c r="H119" s="77">
        <f>SUM(PACIENTES!H119+COMEDOR!H119+JORNADA!H119+'DIETOLOGÍA(S)'!H119)</f>
        <v>0</v>
      </c>
      <c r="I119" s="77">
        <f>SUM(PACIENTES!I119+COMEDOR!I119+JORNADA!I119+'DIETOLOGÍA(S)'!I119)</f>
        <v>0</v>
      </c>
      <c r="J119" s="77">
        <f>SUM(PACIENTES!J119+COMEDOR!J119+JORNADA!J119+'DIETOLOGÍA(S)'!J119)</f>
        <v>0</v>
      </c>
      <c r="K119" s="77">
        <f>SUM(PACIENTES!K119+COMEDOR!K119+JORNADA!K119+'DIETOLOGÍA(S)'!K119)</f>
        <v>0</v>
      </c>
      <c r="L119" s="77">
        <f>SUM(PACIENTES!L119+COMEDOR!L119+JORNADA!L119+'DIETOLOGÍA(S)'!L119)</f>
        <v>0</v>
      </c>
      <c r="M119" s="77">
        <f>SUM(PACIENTES!M119+COMEDOR!M119+JORNADA!M119+'DIETOLOGÍA(S)'!M119)</f>
        <v>0</v>
      </c>
      <c r="N119" s="77">
        <f>SUM(PACIENTES!N119+COMEDOR!N119+JORNADA!N119+'DIETOLOGÍA(S)'!N119)</f>
        <v>0</v>
      </c>
      <c r="O119" s="77">
        <f>SUM(PACIENTES!O119+COMEDOR!O119+JORNADA!O119+'DIETOLOGÍA(S)'!O119)</f>
        <v>0</v>
      </c>
      <c r="P119" s="77">
        <f>SUM(PACIENTES!P119+COMEDOR!P119+JORNADA!P119+'DIETOLOGÍA(S)'!P119)</f>
        <v>0</v>
      </c>
      <c r="Q119" s="77">
        <f>SUM(PACIENTES!Q119+COMEDOR!Q119+JORNADA!Q119+'DIETOLOGÍA(S)'!Q119)</f>
        <v>0</v>
      </c>
      <c r="R119" s="77">
        <f>SUM(PACIENTES!R119+COMEDOR!R119+JORNADA!R119+'DIETOLOGÍA(S)'!R119)</f>
        <v>0</v>
      </c>
      <c r="S119" s="77">
        <f>SUM(PACIENTES!S119+COMEDOR!S119+JORNADA!S119+'DIETOLOGÍA(S)'!S119)</f>
        <v>0</v>
      </c>
      <c r="T119" s="77">
        <f>SUM(PACIENTES!T119+COMEDOR!T119+JORNADA!T119+'DIETOLOGÍA(S)'!T119)</f>
        <v>0</v>
      </c>
      <c r="U119" s="77">
        <f>SUM(PACIENTES!U119+COMEDOR!U119+JORNADA!U119+'DIETOLOGÍA(S)'!U119)</f>
        <v>0</v>
      </c>
      <c r="V119" s="77">
        <f>SUM(PACIENTES!V119+COMEDOR!V119+JORNADA!V119+'DIETOLOGÍA(S)'!V119)</f>
        <v>0</v>
      </c>
      <c r="W119" s="77">
        <f>SUM(PACIENTES!W119+COMEDOR!W119+JORNADA!W119+'DIETOLOGÍA(S)'!W119)</f>
        <v>0</v>
      </c>
      <c r="X119" s="77">
        <f>SUM(PACIENTES!X119+COMEDOR!X119+JORNADA!X119+'DIETOLOGÍA(S)'!X119)</f>
        <v>0</v>
      </c>
      <c r="Y119" s="77">
        <f>SUM(PACIENTES!Y119+COMEDOR!Y119+JORNADA!Y119+'DIETOLOGÍA(S)'!Y119)</f>
        <v>0</v>
      </c>
      <c r="Z119" s="77">
        <f>SUM(PACIENTES!Z119+COMEDOR!Z119+JORNADA!Z119+'DIETOLOGÍA(S)'!Z119)</f>
        <v>0</v>
      </c>
      <c r="AA119" s="77">
        <f>SUM(PACIENTES!AA119+COMEDOR!AA119+JORNADA!AA119+'DIETOLOGÍA(S)'!AA119)</f>
        <v>0</v>
      </c>
      <c r="AB119" s="77">
        <f>SUM(PACIENTES!AB119+COMEDOR!AB119+JORNADA!AB119+'DIETOLOGÍA(S)'!AB119)</f>
        <v>0</v>
      </c>
      <c r="AC119" s="77">
        <f>SUM(PACIENTES!AC119+COMEDOR!AC119+JORNADA!AC119+'DIETOLOGÍA(S)'!AC119)</f>
        <v>0</v>
      </c>
      <c r="AD119" s="77">
        <f>SUM(PACIENTES!AD119+COMEDOR!AD119+JORNADA!AD119+'DIETOLOGÍA(S)'!AD119)</f>
        <v>0</v>
      </c>
      <c r="AE119" s="77">
        <f>SUM(PACIENTES!AE119+COMEDOR!AE119+JORNADA!AE119+'DIETOLOGÍA(S)'!AE119)</f>
        <v>0</v>
      </c>
      <c r="AF119" s="77">
        <f>SUM(PACIENTES!AF119+COMEDOR!AF119+JORNADA!AF119+'DIETOLOGÍA(S)'!AF119)</f>
        <v>0</v>
      </c>
      <c r="AG119" s="77">
        <f>SUM(PACIENTES!AG119+COMEDOR!AG119+JORNADA!AG119+'DIETOLOGÍA(S)'!AG119)</f>
        <v>0</v>
      </c>
      <c r="AH119" s="77">
        <f>SUM(PACIENTES!AH119+COMEDOR!AH119+JORNADA!AH119+'DIETOLOGÍA(S)'!AH119)</f>
        <v>0</v>
      </c>
      <c r="AI119" s="9">
        <f t="shared" si="3"/>
        <v>0</v>
      </c>
    </row>
    <row r="120" spans="1:35" ht="15.75" customHeight="1">
      <c r="A120" s="90">
        <v>2212002019</v>
      </c>
      <c r="B120" s="92" t="s">
        <v>125</v>
      </c>
      <c r="C120" s="91" t="s">
        <v>6</v>
      </c>
      <c r="D120" s="77">
        <f>SUM(PACIENTES!D120+COMEDOR!D120+JORNADA!D120+'DIETOLOGÍA(S)'!D120)</f>
        <v>0</v>
      </c>
      <c r="E120" s="77">
        <f>SUM(PACIENTES!E120+COMEDOR!E120+JORNADA!E120+'DIETOLOGÍA(S)'!E120)</f>
        <v>0</v>
      </c>
      <c r="F120" s="77">
        <f>SUM(PACIENTES!F120+COMEDOR!F120+JORNADA!F120+'DIETOLOGÍA(S)'!F120)</f>
        <v>0</v>
      </c>
      <c r="G120" s="77">
        <f>SUM(PACIENTES!G120+COMEDOR!G120+JORNADA!G120+'DIETOLOGÍA(S)'!G120)</f>
        <v>0</v>
      </c>
      <c r="H120" s="77">
        <f>SUM(PACIENTES!H120+COMEDOR!H120+JORNADA!H120+'DIETOLOGÍA(S)'!H120)</f>
        <v>0</v>
      </c>
      <c r="I120" s="77">
        <f>SUM(PACIENTES!I120+COMEDOR!I120+JORNADA!I120+'DIETOLOGÍA(S)'!I120)</f>
        <v>0</v>
      </c>
      <c r="J120" s="77">
        <f>SUM(PACIENTES!J120+COMEDOR!J120+JORNADA!J120+'DIETOLOGÍA(S)'!J120)</f>
        <v>0</v>
      </c>
      <c r="K120" s="77">
        <f>SUM(PACIENTES!K120+COMEDOR!K120+JORNADA!K120+'DIETOLOGÍA(S)'!K120)</f>
        <v>0</v>
      </c>
      <c r="L120" s="77">
        <f>SUM(PACIENTES!L120+COMEDOR!L120+JORNADA!L120+'DIETOLOGÍA(S)'!L120)</f>
        <v>0</v>
      </c>
      <c r="M120" s="77">
        <f>SUM(PACIENTES!M120+COMEDOR!M120+JORNADA!M120+'DIETOLOGÍA(S)'!M120)</f>
        <v>0</v>
      </c>
      <c r="N120" s="77">
        <f>SUM(PACIENTES!N120+COMEDOR!N120+JORNADA!N120+'DIETOLOGÍA(S)'!N120)</f>
        <v>0</v>
      </c>
      <c r="O120" s="77">
        <f>SUM(PACIENTES!O120+COMEDOR!O120+JORNADA!O120+'DIETOLOGÍA(S)'!O120)</f>
        <v>0</v>
      </c>
      <c r="P120" s="77">
        <f>SUM(PACIENTES!P120+COMEDOR!P120+JORNADA!P120+'DIETOLOGÍA(S)'!P120)</f>
        <v>0</v>
      </c>
      <c r="Q120" s="77">
        <f>SUM(PACIENTES!Q120+COMEDOR!Q120+JORNADA!Q120+'DIETOLOGÍA(S)'!Q120)</f>
        <v>2</v>
      </c>
      <c r="R120" s="77">
        <f>SUM(PACIENTES!R120+COMEDOR!R120+JORNADA!R120+'DIETOLOGÍA(S)'!R120)</f>
        <v>0</v>
      </c>
      <c r="S120" s="77">
        <f>SUM(PACIENTES!S120+COMEDOR!S120+JORNADA!S120+'DIETOLOGÍA(S)'!S120)</f>
        <v>0</v>
      </c>
      <c r="T120" s="77">
        <f>SUM(PACIENTES!T120+COMEDOR!T120+JORNADA!T120+'DIETOLOGÍA(S)'!T120)</f>
        <v>0</v>
      </c>
      <c r="U120" s="77">
        <f>SUM(PACIENTES!U120+COMEDOR!U120+JORNADA!U120+'DIETOLOGÍA(S)'!U120)</f>
        <v>0</v>
      </c>
      <c r="V120" s="77">
        <f>SUM(PACIENTES!V120+COMEDOR!V120+JORNADA!V120+'DIETOLOGÍA(S)'!V120)</f>
        <v>0</v>
      </c>
      <c r="W120" s="77">
        <f>SUM(PACIENTES!W120+COMEDOR!W120+JORNADA!W120+'DIETOLOGÍA(S)'!W120)</f>
        <v>0</v>
      </c>
      <c r="X120" s="77">
        <f>SUM(PACIENTES!X120+COMEDOR!X120+JORNADA!X120+'DIETOLOGÍA(S)'!X120)</f>
        <v>0</v>
      </c>
      <c r="Y120" s="77">
        <f>SUM(PACIENTES!Y120+COMEDOR!Y120+JORNADA!Y120+'DIETOLOGÍA(S)'!Y120)</f>
        <v>0</v>
      </c>
      <c r="Z120" s="77">
        <f>SUM(PACIENTES!Z120+COMEDOR!Z120+JORNADA!Z120+'DIETOLOGÍA(S)'!Z120)</f>
        <v>0</v>
      </c>
      <c r="AA120" s="77">
        <f>SUM(PACIENTES!AA120+COMEDOR!AA120+JORNADA!AA120+'DIETOLOGÍA(S)'!AA120)</f>
        <v>0</v>
      </c>
      <c r="AB120" s="77">
        <f>SUM(PACIENTES!AB120+COMEDOR!AB120+JORNADA!AB120+'DIETOLOGÍA(S)'!AB120)</f>
        <v>0</v>
      </c>
      <c r="AC120" s="77">
        <f>SUM(PACIENTES!AC120+COMEDOR!AC120+JORNADA!AC120+'DIETOLOGÍA(S)'!AC120)</f>
        <v>0</v>
      </c>
      <c r="AD120" s="77">
        <f>SUM(PACIENTES!AD120+COMEDOR!AD120+JORNADA!AD120+'DIETOLOGÍA(S)'!AD120)</f>
        <v>1</v>
      </c>
      <c r="AE120" s="77">
        <f>SUM(PACIENTES!AE120+COMEDOR!AE120+JORNADA!AE120+'DIETOLOGÍA(S)'!AE120)</f>
        <v>2</v>
      </c>
      <c r="AF120" s="77">
        <f>SUM(PACIENTES!AF120+COMEDOR!AF120+JORNADA!AF120+'DIETOLOGÍA(S)'!AF120)</f>
        <v>0</v>
      </c>
      <c r="AG120" s="6">
        <f>SUM(PACIENTES!AG120+COMEDOR!AG120+JORNADA!AG120+'DIETOLOGÍA(S)'!AG120)</f>
        <v>0</v>
      </c>
      <c r="AH120" s="6">
        <f>SUM(PACIENTES!AH120+COMEDOR!AH120+JORNADA!AH120+'DIETOLOGÍA(S)'!AH120)</f>
        <v>0</v>
      </c>
      <c r="AI120" s="9">
        <f t="shared" si="3"/>
        <v>5</v>
      </c>
    </row>
    <row r="121" spans="1:35" ht="15.75" customHeight="1">
      <c r="A121" s="90">
        <v>2212002020</v>
      </c>
      <c r="B121" s="92" t="s">
        <v>126</v>
      </c>
      <c r="C121" s="91" t="s">
        <v>6</v>
      </c>
      <c r="D121" s="77">
        <f>SUM(PACIENTES!D121+COMEDOR!D121+JORNADA!D121+'DIETOLOGÍA(S)'!D121)</f>
        <v>0</v>
      </c>
      <c r="E121" s="77">
        <f>SUM(PACIENTES!E121+COMEDOR!E121+JORNADA!E121+'DIETOLOGÍA(S)'!E121)</f>
        <v>0</v>
      </c>
      <c r="F121" s="77">
        <f>SUM(PACIENTES!F121+COMEDOR!F121+JORNADA!F121+'DIETOLOGÍA(S)'!F121)</f>
        <v>0</v>
      </c>
      <c r="G121" s="77">
        <f>SUM(PACIENTES!G121+COMEDOR!G121+JORNADA!G121+'DIETOLOGÍA(S)'!G121)</f>
        <v>0</v>
      </c>
      <c r="H121" s="77">
        <f>SUM(PACIENTES!H121+COMEDOR!H121+JORNADA!H121+'DIETOLOGÍA(S)'!H121)</f>
        <v>0</v>
      </c>
      <c r="I121" s="77">
        <f>SUM(PACIENTES!I121+COMEDOR!I121+JORNADA!I121+'DIETOLOGÍA(S)'!I121)</f>
        <v>0</v>
      </c>
      <c r="J121" s="77">
        <f>SUM(PACIENTES!J121+COMEDOR!J121+JORNADA!J121+'DIETOLOGÍA(S)'!J121)</f>
        <v>0</v>
      </c>
      <c r="K121" s="77">
        <f>SUM(PACIENTES!K121+COMEDOR!K121+JORNADA!K121+'DIETOLOGÍA(S)'!K121)</f>
        <v>0</v>
      </c>
      <c r="L121" s="77">
        <f>SUM(PACIENTES!L121+COMEDOR!L121+JORNADA!L121+'DIETOLOGÍA(S)'!L121)</f>
        <v>0</v>
      </c>
      <c r="M121" s="77">
        <f>SUM(PACIENTES!M121+COMEDOR!M121+JORNADA!M121+'DIETOLOGÍA(S)'!M121)</f>
        <v>0</v>
      </c>
      <c r="N121" s="77">
        <f>SUM(PACIENTES!N121+COMEDOR!N121+JORNADA!N121+'DIETOLOGÍA(S)'!N121)</f>
        <v>0</v>
      </c>
      <c r="O121" s="77">
        <f>SUM(PACIENTES!O121+COMEDOR!O121+JORNADA!O121+'DIETOLOGÍA(S)'!O121)</f>
        <v>0</v>
      </c>
      <c r="P121" s="77">
        <f>SUM(PACIENTES!P121+COMEDOR!P121+JORNADA!P121+'DIETOLOGÍA(S)'!P121)</f>
        <v>0</v>
      </c>
      <c r="Q121" s="77">
        <f>SUM(PACIENTES!Q121+COMEDOR!Q121+JORNADA!Q121+'DIETOLOGÍA(S)'!Q121)</f>
        <v>82</v>
      </c>
      <c r="R121" s="77">
        <f>SUM(PACIENTES!R121+COMEDOR!R121+JORNADA!R121+'DIETOLOGÍA(S)'!R121)</f>
        <v>0</v>
      </c>
      <c r="S121" s="77">
        <f>SUM(PACIENTES!S121+COMEDOR!S121+JORNADA!S121+'DIETOLOGÍA(S)'!S121)</f>
        <v>0</v>
      </c>
      <c r="T121" s="77">
        <f>SUM(PACIENTES!T121+COMEDOR!T121+JORNADA!T121+'DIETOLOGÍA(S)'!T121)</f>
        <v>0</v>
      </c>
      <c r="U121" s="77">
        <f>SUM(PACIENTES!U121+COMEDOR!U121+JORNADA!U121+'DIETOLOGÍA(S)'!U121)</f>
        <v>70</v>
      </c>
      <c r="V121" s="77">
        <f>SUM(PACIENTES!V121+COMEDOR!V121+JORNADA!V121+'DIETOLOGÍA(S)'!V121)</f>
        <v>0</v>
      </c>
      <c r="W121" s="77">
        <f>SUM(PACIENTES!W121+COMEDOR!W121+JORNADA!W121+'DIETOLOGÍA(S)'!W121)</f>
        <v>0</v>
      </c>
      <c r="X121" s="77">
        <f>SUM(PACIENTES!X121+COMEDOR!X121+JORNADA!X121+'DIETOLOGÍA(S)'!X121)</f>
        <v>0</v>
      </c>
      <c r="Y121" s="77">
        <f>SUM(PACIENTES!Y121+COMEDOR!Y121+JORNADA!Y121+'DIETOLOGÍA(S)'!Y121)</f>
        <v>0</v>
      </c>
      <c r="Z121" s="77">
        <f>SUM(PACIENTES!Z121+COMEDOR!Z121+JORNADA!Z121+'DIETOLOGÍA(S)'!Z121)</f>
        <v>0</v>
      </c>
      <c r="AA121" s="77">
        <f>SUM(PACIENTES!AA121+COMEDOR!AA121+JORNADA!AA121+'DIETOLOGÍA(S)'!AA121)</f>
        <v>0</v>
      </c>
      <c r="AB121" s="77">
        <f>SUM(PACIENTES!AB121+COMEDOR!AB121+JORNADA!AB121+'DIETOLOGÍA(S)'!AB121)</f>
        <v>0</v>
      </c>
      <c r="AC121" s="77">
        <f>SUM(PACIENTES!AC121+COMEDOR!AC121+JORNADA!AC121+'DIETOLOGÍA(S)'!AC121)</f>
        <v>0</v>
      </c>
      <c r="AD121" s="77">
        <f>SUM(PACIENTES!AD121+COMEDOR!AD121+JORNADA!AD121+'DIETOLOGÍA(S)'!AD121)</f>
        <v>0</v>
      </c>
      <c r="AE121" s="77">
        <f>SUM(PACIENTES!AE121+COMEDOR!AE121+JORNADA!AE121+'DIETOLOGÍA(S)'!AE121)</f>
        <v>0</v>
      </c>
      <c r="AF121" s="77">
        <f>SUM(PACIENTES!AF121+COMEDOR!AF121+JORNADA!AF121+'DIETOLOGÍA(S)'!AF121)</f>
        <v>80</v>
      </c>
      <c r="AG121" s="77">
        <f>SUM(PACIENTES!AG121+COMEDOR!AG121+JORNADA!AG121+'DIETOLOGÍA(S)'!AG121)</f>
        <v>0</v>
      </c>
      <c r="AH121" s="77">
        <f>SUM(PACIENTES!AH121+COMEDOR!AH121+JORNADA!AH121+'DIETOLOGÍA(S)'!AH121)</f>
        <v>70</v>
      </c>
      <c r="AI121" s="9">
        <f t="shared" si="3"/>
        <v>302</v>
      </c>
    </row>
    <row r="122" spans="1:35" ht="15.75" customHeight="1">
      <c r="A122" s="90">
        <v>2212002021</v>
      </c>
      <c r="B122" s="92" t="s">
        <v>127</v>
      </c>
      <c r="C122" s="91" t="s">
        <v>6</v>
      </c>
      <c r="D122" s="77">
        <f>SUM(PACIENTES!D122+COMEDOR!D122+JORNADA!D122+'DIETOLOGÍA(S)'!D122)</f>
        <v>0</v>
      </c>
      <c r="E122" s="77">
        <f>SUM(PACIENTES!E122+COMEDOR!E122+JORNADA!E122+'DIETOLOGÍA(S)'!E122)</f>
        <v>0</v>
      </c>
      <c r="F122" s="77">
        <f>SUM(PACIENTES!F122+COMEDOR!F122+JORNADA!F122+'DIETOLOGÍA(S)'!F122)</f>
        <v>0</v>
      </c>
      <c r="G122" s="77">
        <f>SUM(PACIENTES!G122+COMEDOR!G122+JORNADA!G122+'DIETOLOGÍA(S)'!G122)</f>
        <v>0</v>
      </c>
      <c r="H122" s="77">
        <f>SUM(PACIENTES!H122+COMEDOR!H122+JORNADA!H122+'DIETOLOGÍA(S)'!H122)</f>
        <v>0</v>
      </c>
      <c r="I122" s="77">
        <f>SUM(PACIENTES!I122+COMEDOR!I122+JORNADA!I122+'DIETOLOGÍA(S)'!I122)</f>
        <v>0</v>
      </c>
      <c r="J122" s="77">
        <f>SUM(PACIENTES!J122+COMEDOR!J122+JORNADA!J122+'DIETOLOGÍA(S)'!J122)</f>
        <v>0</v>
      </c>
      <c r="K122" s="77">
        <f>SUM(PACIENTES!K122+COMEDOR!K122+JORNADA!K122+'DIETOLOGÍA(S)'!K122)</f>
        <v>0</v>
      </c>
      <c r="L122" s="77">
        <f>SUM(PACIENTES!L122+COMEDOR!L122+JORNADA!L122+'DIETOLOGÍA(S)'!L122)</f>
        <v>0</v>
      </c>
      <c r="M122" s="77">
        <f>SUM(PACIENTES!M122+COMEDOR!M122+JORNADA!M122+'DIETOLOGÍA(S)'!M122)</f>
        <v>0</v>
      </c>
      <c r="N122" s="77">
        <f>SUM(PACIENTES!N122+COMEDOR!N122+JORNADA!N122+'DIETOLOGÍA(S)'!N122)</f>
        <v>0</v>
      </c>
      <c r="O122" s="77">
        <f>SUM(PACIENTES!O122+COMEDOR!O122+JORNADA!O122+'DIETOLOGÍA(S)'!O122)</f>
        <v>65</v>
      </c>
      <c r="P122" s="77">
        <f>SUM(PACIENTES!P122+COMEDOR!P122+JORNADA!P122+'DIETOLOGÍA(S)'!P122)</f>
        <v>0</v>
      </c>
      <c r="Q122" s="77">
        <f>SUM(PACIENTES!Q122+COMEDOR!Q122+JORNADA!Q122+'DIETOLOGÍA(S)'!Q122)</f>
        <v>0</v>
      </c>
      <c r="R122" s="77">
        <f>SUM(PACIENTES!R122+COMEDOR!R122+JORNADA!R122+'DIETOLOGÍA(S)'!R122)</f>
        <v>0</v>
      </c>
      <c r="S122" s="77">
        <f>SUM(PACIENTES!S122+COMEDOR!S122+JORNADA!S122+'DIETOLOGÍA(S)'!S122)</f>
        <v>0</v>
      </c>
      <c r="T122" s="77">
        <f>SUM(PACIENTES!T122+COMEDOR!T122+JORNADA!T122+'DIETOLOGÍA(S)'!T122)</f>
        <v>0</v>
      </c>
      <c r="U122" s="77">
        <f>SUM(PACIENTES!U122+COMEDOR!U122+JORNADA!U122+'DIETOLOGÍA(S)'!U122)</f>
        <v>0</v>
      </c>
      <c r="V122" s="77">
        <f>SUM(PACIENTES!V122+COMEDOR!V122+JORNADA!V122+'DIETOLOGÍA(S)'!V122)</f>
        <v>0</v>
      </c>
      <c r="W122" s="77">
        <f>SUM(PACIENTES!W122+COMEDOR!W122+JORNADA!W122+'DIETOLOGÍA(S)'!W122)</f>
        <v>0</v>
      </c>
      <c r="X122" s="77">
        <f>SUM(PACIENTES!X122+COMEDOR!X122+JORNADA!X122+'DIETOLOGÍA(S)'!X122)</f>
        <v>1</v>
      </c>
      <c r="Y122" s="77">
        <f>SUM(PACIENTES!Y122+COMEDOR!Y122+JORNADA!Y122+'DIETOLOGÍA(S)'!Y122)</f>
        <v>0</v>
      </c>
      <c r="Z122" s="77">
        <f>SUM(PACIENTES!Z122+COMEDOR!Z122+JORNADA!Z122+'DIETOLOGÍA(S)'!Z122)</f>
        <v>0</v>
      </c>
      <c r="AA122" s="77">
        <f>SUM(PACIENTES!AA122+COMEDOR!AA122+JORNADA!AA122+'DIETOLOGÍA(S)'!AA122)</f>
        <v>0</v>
      </c>
      <c r="AB122" s="77">
        <f>SUM(PACIENTES!AB122+COMEDOR!AB122+JORNADA!AB122+'DIETOLOGÍA(S)'!AB122)</f>
        <v>0</v>
      </c>
      <c r="AC122" s="77">
        <f>SUM(PACIENTES!AC122+COMEDOR!AC122+JORNADA!AC122+'DIETOLOGÍA(S)'!AC122)</f>
        <v>0</v>
      </c>
      <c r="AD122" s="77">
        <f>SUM(PACIENTES!AD122+COMEDOR!AD122+JORNADA!AD122+'DIETOLOGÍA(S)'!AD122)</f>
        <v>0</v>
      </c>
      <c r="AE122" s="77">
        <f>SUM(PACIENTES!AE122+COMEDOR!AE122+JORNADA!AE122+'DIETOLOGÍA(S)'!AE122)</f>
        <v>0</v>
      </c>
      <c r="AF122" s="77">
        <f>SUM(PACIENTES!AF122+COMEDOR!AF122+JORNADA!AF122+'DIETOLOGÍA(S)'!AF122)</f>
        <v>40</v>
      </c>
      <c r="AG122" s="6">
        <f>SUM(PACIENTES!AG122+COMEDOR!AG122+JORNADA!AG122+'DIETOLOGÍA(S)'!AG122)</f>
        <v>0</v>
      </c>
      <c r="AH122" s="6">
        <f>SUM(PACIENTES!AH122+COMEDOR!AH122+JORNADA!AH122+'DIETOLOGÍA(S)'!AH122)</f>
        <v>0</v>
      </c>
      <c r="AI122" s="9">
        <f t="shared" si="3"/>
        <v>106</v>
      </c>
    </row>
    <row r="123" spans="1:35" ht="15.75" customHeight="1">
      <c r="A123" s="90">
        <v>2212002024</v>
      </c>
      <c r="B123" s="92" t="s">
        <v>128</v>
      </c>
      <c r="C123" s="91" t="s">
        <v>6</v>
      </c>
      <c r="D123" s="77">
        <f>SUM(PACIENTES!D123+COMEDOR!D123+JORNADA!D123+'DIETOLOGÍA(S)'!D123)</f>
        <v>0</v>
      </c>
      <c r="E123" s="77">
        <f>SUM(PACIENTES!E123+COMEDOR!E123+JORNADA!E123+'DIETOLOGÍA(S)'!E123)</f>
        <v>0</v>
      </c>
      <c r="F123" s="77">
        <f>SUM(PACIENTES!F123+COMEDOR!F123+JORNADA!F123+'DIETOLOGÍA(S)'!F123)</f>
        <v>0</v>
      </c>
      <c r="G123" s="77">
        <f>SUM(PACIENTES!G123+COMEDOR!G123+JORNADA!G123+'DIETOLOGÍA(S)'!G123)</f>
        <v>0</v>
      </c>
      <c r="H123" s="77">
        <f>SUM(PACIENTES!H123+COMEDOR!H123+JORNADA!H123+'DIETOLOGÍA(S)'!H123)</f>
        <v>0</v>
      </c>
      <c r="I123" s="77">
        <f>SUM(PACIENTES!I123+COMEDOR!I123+JORNADA!I123+'DIETOLOGÍA(S)'!I123)</f>
        <v>0</v>
      </c>
      <c r="J123" s="77">
        <f>SUM(PACIENTES!J123+COMEDOR!J123+JORNADA!J123+'DIETOLOGÍA(S)'!J123)</f>
        <v>0</v>
      </c>
      <c r="K123" s="77">
        <f>SUM(PACIENTES!K123+COMEDOR!K123+JORNADA!K123+'DIETOLOGÍA(S)'!K123)</f>
        <v>0</v>
      </c>
      <c r="L123" s="77">
        <f>SUM(PACIENTES!L123+COMEDOR!L123+JORNADA!L123+'DIETOLOGÍA(S)'!L123)</f>
        <v>0</v>
      </c>
      <c r="M123" s="77">
        <f>SUM(PACIENTES!M123+COMEDOR!M123+JORNADA!M123+'DIETOLOGÍA(S)'!M123)</f>
        <v>0</v>
      </c>
      <c r="N123" s="77">
        <f>SUM(PACIENTES!N123+COMEDOR!N123+JORNADA!N123+'DIETOLOGÍA(S)'!N123)</f>
        <v>0</v>
      </c>
      <c r="O123" s="77">
        <f>SUM(PACIENTES!O123+COMEDOR!O123+JORNADA!O123+'DIETOLOGÍA(S)'!O123)</f>
        <v>0</v>
      </c>
      <c r="P123" s="77">
        <f>SUM(PACIENTES!P123+COMEDOR!P123+JORNADA!P123+'DIETOLOGÍA(S)'!P123)</f>
        <v>0</v>
      </c>
      <c r="Q123" s="77">
        <f>SUM(PACIENTES!Q123+COMEDOR!Q123+JORNADA!Q123+'DIETOLOGÍA(S)'!Q123)</f>
        <v>3</v>
      </c>
      <c r="R123" s="77">
        <f>SUM(PACIENTES!R123+COMEDOR!R123+JORNADA!R123+'DIETOLOGÍA(S)'!R123)</f>
        <v>0</v>
      </c>
      <c r="S123" s="77">
        <f>SUM(PACIENTES!S123+COMEDOR!S123+JORNADA!S123+'DIETOLOGÍA(S)'!S123)</f>
        <v>0</v>
      </c>
      <c r="T123" s="77">
        <f>SUM(PACIENTES!T123+COMEDOR!T123+JORNADA!T123+'DIETOLOGÍA(S)'!T123)</f>
        <v>0</v>
      </c>
      <c r="U123" s="77">
        <f>SUM(PACIENTES!U123+COMEDOR!U123+JORNADA!U123+'DIETOLOGÍA(S)'!U123)</f>
        <v>0</v>
      </c>
      <c r="V123" s="77">
        <f>SUM(PACIENTES!V123+COMEDOR!V123+JORNADA!V123+'DIETOLOGÍA(S)'!V123)</f>
        <v>0</v>
      </c>
      <c r="W123" s="77">
        <f>SUM(PACIENTES!W123+COMEDOR!W123+JORNADA!W123+'DIETOLOGÍA(S)'!W123)</f>
        <v>0</v>
      </c>
      <c r="X123" s="77">
        <f>SUM(PACIENTES!X123+COMEDOR!X123+JORNADA!X123+'DIETOLOGÍA(S)'!X123)</f>
        <v>0</v>
      </c>
      <c r="Y123" s="77">
        <f>SUM(PACIENTES!Y123+COMEDOR!Y123+JORNADA!Y123+'DIETOLOGÍA(S)'!Y123)</f>
        <v>0</v>
      </c>
      <c r="Z123" s="77">
        <f>SUM(PACIENTES!Z123+COMEDOR!Z123+JORNADA!Z123+'DIETOLOGÍA(S)'!Z123)</f>
        <v>0</v>
      </c>
      <c r="AA123" s="77">
        <f>SUM(PACIENTES!AA123+COMEDOR!AA123+JORNADA!AA123+'DIETOLOGÍA(S)'!AA123)</f>
        <v>0</v>
      </c>
      <c r="AB123" s="77">
        <f>SUM(PACIENTES!AB123+COMEDOR!AB123+JORNADA!AB123+'DIETOLOGÍA(S)'!AB123)</f>
        <v>0</v>
      </c>
      <c r="AC123" s="77">
        <f>SUM(PACIENTES!AC123+COMEDOR!AC123+JORNADA!AC123+'DIETOLOGÍA(S)'!AC123)</f>
        <v>0</v>
      </c>
      <c r="AD123" s="77">
        <f>SUM(PACIENTES!AD123+COMEDOR!AD123+JORNADA!AD123+'DIETOLOGÍA(S)'!AD123)</f>
        <v>0</v>
      </c>
      <c r="AE123" s="77">
        <f>SUM(PACIENTES!AE123+COMEDOR!AE123+JORNADA!AE123+'DIETOLOGÍA(S)'!AE123)</f>
        <v>0</v>
      </c>
      <c r="AF123" s="77">
        <f>SUM(PACIENTES!AF123+COMEDOR!AF123+JORNADA!AF123+'DIETOLOGÍA(S)'!AF123)</f>
        <v>0</v>
      </c>
      <c r="AG123" s="77">
        <f>SUM(PACIENTES!AG123+COMEDOR!AG123+JORNADA!AG123+'DIETOLOGÍA(S)'!AG123)</f>
        <v>45</v>
      </c>
      <c r="AH123" s="77">
        <f>SUM(PACIENTES!AH123+COMEDOR!AH123+JORNADA!AH123+'DIETOLOGÍA(S)'!AH123)</f>
        <v>0</v>
      </c>
      <c r="AI123" s="9">
        <f t="shared" si="3"/>
        <v>48</v>
      </c>
    </row>
    <row r="124" spans="1:35" ht="15.75" customHeight="1">
      <c r="A124" s="90">
        <v>2212002032</v>
      </c>
      <c r="B124" s="92" t="s">
        <v>129</v>
      </c>
      <c r="C124" s="91" t="s">
        <v>6</v>
      </c>
      <c r="D124" s="77">
        <f>SUM(PACIENTES!D124+COMEDOR!D124+JORNADA!D124+'DIETOLOGÍA(S)'!D124)</f>
        <v>0</v>
      </c>
      <c r="E124" s="77">
        <f>SUM(PACIENTES!E124+COMEDOR!E124+JORNADA!E124+'DIETOLOGÍA(S)'!E124)</f>
        <v>0</v>
      </c>
      <c r="F124" s="77">
        <f>SUM(PACIENTES!F124+COMEDOR!F124+JORNADA!F124+'DIETOLOGÍA(S)'!F124)</f>
        <v>0</v>
      </c>
      <c r="G124" s="77">
        <f>SUM(PACIENTES!G124+COMEDOR!G124+JORNADA!G124+'DIETOLOGÍA(S)'!G124)</f>
        <v>0</v>
      </c>
      <c r="H124" s="77">
        <f>SUM(PACIENTES!H124+COMEDOR!H124+JORNADA!H124+'DIETOLOGÍA(S)'!H124)</f>
        <v>0</v>
      </c>
      <c r="I124" s="77">
        <f>SUM(PACIENTES!I124+COMEDOR!I124+JORNADA!I124+'DIETOLOGÍA(S)'!I124)</f>
        <v>0</v>
      </c>
      <c r="J124" s="77">
        <f>SUM(PACIENTES!J124+COMEDOR!J124+JORNADA!J124+'DIETOLOGÍA(S)'!J124)</f>
        <v>0</v>
      </c>
      <c r="K124" s="77">
        <f>SUM(PACIENTES!K124+COMEDOR!K124+JORNADA!K124+'DIETOLOGÍA(S)'!K124)</f>
        <v>0</v>
      </c>
      <c r="L124" s="77">
        <f>SUM(PACIENTES!L124+COMEDOR!L124+JORNADA!L124+'DIETOLOGÍA(S)'!L124)</f>
        <v>0</v>
      </c>
      <c r="M124" s="77">
        <f>SUM(PACIENTES!M124+COMEDOR!M124+JORNADA!M124+'DIETOLOGÍA(S)'!M124)</f>
        <v>0</v>
      </c>
      <c r="N124" s="77">
        <f>SUM(PACIENTES!N124+COMEDOR!N124+JORNADA!N124+'DIETOLOGÍA(S)'!N124)</f>
        <v>0</v>
      </c>
      <c r="O124" s="77">
        <f>SUM(PACIENTES!O124+COMEDOR!O124+JORNADA!O124+'DIETOLOGÍA(S)'!O124)</f>
        <v>0</v>
      </c>
      <c r="P124" s="77">
        <f>SUM(PACIENTES!P124+COMEDOR!P124+JORNADA!P124+'DIETOLOGÍA(S)'!P124)</f>
        <v>0</v>
      </c>
      <c r="Q124" s="77">
        <f>SUM(PACIENTES!Q124+COMEDOR!Q124+JORNADA!Q124+'DIETOLOGÍA(S)'!Q124)</f>
        <v>0</v>
      </c>
      <c r="R124" s="77">
        <f>SUM(PACIENTES!R124+COMEDOR!R124+JORNADA!R124+'DIETOLOGÍA(S)'!R124)</f>
        <v>0</v>
      </c>
      <c r="S124" s="77">
        <f>SUM(PACIENTES!S124+COMEDOR!S124+JORNADA!S124+'DIETOLOGÍA(S)'!S124)</f>
        <v>0</v>
      </c>
      <c r="T124" s="77">
        <f>SUM(PACIENTES!T124+COMEDOR!T124+JORNADA!T124+'DIETOLOGÍA(S)'!T124)</f>
        <v>0</v>
      </c>
      <c r="U124" s="77">
        <f>SUM(PACIENTES!U124+COMEDOR!U124+JORNADA!U124+'DIETOLOGÍA(S)'!U124)</f>
        <v>0</v>
      </c>
      <c r="V124" s="77">
        <f>SUM(PACIENTES!V124+COMEDOR!V124+JORNADA!V124+'DIETOLOGÍA(S)'!V124)</f>
        <v>0</v>
      </c>
      <c r="W124" s="77">
        <f>SUM(PACIENTES!W124+COMEDOR!W124+JORNADA!W124+'DIETOLOGÍA(S)'!W124)</f>
        <v>0</v>
      </c>
      <c r="X124" s="77">
        <f>SUM(PACIENTES!X124+COMEDOR!X124+JORNADA!X124+'DIETOLOGÍA(S)'!X124)</f>
        <v>0</v>
      </c>
      <c r="Y124" s="77">
        <f>SUM(PACIENTES!Y124+COMEDOR!Y124+JORNADA!Y124+'DIETOLOGÍA(S)'!Y124)</f>
        <v>0</v>
      </c>
      <c r="Z124" s="77">
        <f>SUM(PACIENTES!Z124+COMEDOR!Z124+JORNADA!Z124+'DIETOLOGÍA(S)'!Z124)</f>
        <v>0</v>
      </c>
      <c r="AA124" s="77">
        <f>SUM(PACIENTES!AA124+COMEDOR!AA124+JORNADA!AA124+'DIETOLOGÍA(S)'!AA124)</f>
        <v>0</v>
      </c>
      <c r="AB124" s="77">
        <f>SUM(PACIENTES!AB124+COMEDOR!AB124+JORNADA!AB124+'DIETOLOGÍA(S)'!AB124)</f>
        <v>0</v>
      </c>
      <c r="AC124" s="77">
        <f>SUM(PACIENTES!AC124+COMEDOR!AC124+JORNADA!AC124+'DIETOLOGÍA(S)'!AC124)</f>
        <v>0</v>
      </c>
      <c r="AD124" s="77">
        <f>SUM(PACIENTES!AD124+COMEDOR!AD124+JORNADA!AD124+'DIETOLOGÍA(S)'!AD124)</f>
        <v>0</v>
      </c>
      <c r="AE124" s="77">
        <f>SUM(PACIENTES!AE124+COMEDOR!AE124+JORNADA!AE124+'DIETOLOGÍA(S)'!AE124)</f>
        <v>0</v>
      </c>
      <c r="AF124" s="77">
        <f>SUM(PACIENTES!AF124+COMEDOR!AF124+JORNADA!AF124+'DIETOLOGÍA(S)'!AF124)</f>
        <v>0</v>
      </c>
      <c r="AG124" s="6">
        <f>SUM(PACIENTES!AG124+COMEDOR!AG124+JORNADA!AG124+'DIETOLOGÍA(S)'!AG124)</f>
        <v>0</v>
      </c>
      <c r="AH124" s="6">
        <f>SUM(PACIENTES!AH124+COMEDOR!AH124+JORNADA!AH124+'DIETOLOGÍA(S)'!AH124)</f>
        <v>0</v>
      </c>
      <c r="AI124" s="9">
        <f t="shared" si="3"/>
        <v>0</v>
      </c>
    </row>
    <row r="125" spans="1:35" ht="15.75" customHeight="1">
      <c r="A125" s="90">
        <v>2212002033</v>
      </c>
      <c r="B125" s="92" t="s">
        <v>130</v>
      </c>
      <c r="C125" s="91" t="s">
        <v>6</v>
      </c>
      <c r="D125" s="77">
        <f>SUM(PACIENTES!D125+COMEDOR!D125+JORNADA!D125+'DIETOLOGÍA(S)'!D125)</f>
        <v>20</v>
      </c>
      <c r="E125" s="77">
        <f>SUM(PACIENTES!E125+COMEDOR!E125+JORNADA!E125+'DIETOLOGÍA(S)'!E125)</f>
        <v>30</v>
      </c>
      <c r="F125" s="77">
        <f>SUM(PACIENTES!F125+COMEDOR!F125+JORNADA!F125+'DIETOLOGÍA(S)'!F125)</f>
        <v>70</v>
      </c>
      <c r="G125" s="77">
        <f>SUM(PACIENTES!G125+COMEDOR!G125+JORNADA!G125+'DIETOLOGÍA(S)'!G125)</f>
        <v>75</v>
      </c>
      <c r="H125" s="77">
        <f>SUM(PACIENTES!H125+COMEDOR!H125+JORNADA!H125+'DIETOLOGÍA(S)'!H125)</f>
        <v>0</v>
      </c>
      <c r="I125" s="77">
        <f>SUM(PACIENTES!I125+COMEDOR!I125+JORNADA!I125+'DIETOLOGÍA(S)'!I125)</f>
        <v>50</v>
      </c>
      <c r="J125" s="77">
        <f>SUM(PACIENTES!J125+COMEDOR!J125+JORNADA!J125+'DIETOLOGÍA(S)'!J125)</f>
        <v>230</v>
      </c>
      <c r="K125" s="77">
        <f>SUM(PACIENTES!K125+COMEDOR!K125+JORNADA!K125+'DIETOLOGÍA(S)'!K125)</f>
        <v>85</v>
      </c>
      <c r="L125" s="77">
        <f>SUM(PACIENTES!L125+COMEDOR!L125+JORNADA!L125+'DIETOLOGÍA(S)'!L125)</f>
        <v>50</v>
      </c>
      <c r="M125" s="77">
        <f>SUM(PACIENTES!M125+COMEDOR!M125+JORNADA!M125+'DIETOLOGÍA(S)'!M125)</f>
        <v>40</v>
      </c>
      <c r="N125" s="77">
        <f>SUM(PACIENTES!N125+COMEDOR!N125+JORNADA!N125+'DIETOLOGÍA(S)'!N125)</f>
        <v>70</v>
      </c>
      <c r="O125" s="77">
        <f>SUM(PACIENTES!O125+COMEDOR!O125+JORNADA!O125+'DIETOLOGÍA(S)'!O125)</f>
        <v>0</v>
      </c>
      <c r="P125" s="77">
        <f>SUM(PACIENTES!P125+COMEDOR!P125+JORNADA!P125+'DIETOLOGÍA(S)'!P125)</f>
        <v>30</v>
      </c>
      <c r="Q125" s="77">
        <f>SUM(PACIENTES!Q125+COMEDOR!Q125+JORNADA!Q125+'DIETOLOGÍA(S)'!Q125)</f>
        <v>105</v>
      </c>
      <c r="R125" s="77">
        <f>SUM(PACIENTES!R125+COMEDOR!R125+JORNADA!R125+'DIETOLOGÍA(S)'!R125)</f>
        <v>115</v>
      </c>
      <c r="S125" s="77">
        <f>SUM(PACIENTES!S125+COMEDOR!S125+JORNADA!S125+'DIETOLOGÍA(S)'!S125)</f>
        <v>20</v>
      </c>
      <c r="T125" s="77">
        <f>SUM(PACIENTES!T125+COMEDOR!T125+JORNADA!T125+'DIETOLOGÍA(S)'!T125)</f>
        <v>10</v>
      </c>
      <c r="U125" s="77">
        <f>SUM(PACIENTES!U125+COMEDOR!U125+JORNADA!U125+'DIETOLOGÍA(S)'!U125)</f>
        <v>0</v>
      </c>
      <c r="V125" s="77">
        <f>SUM(PACIENTES!V125+COMEDOR!V125+JORNADA!V125+'DIETOLOGÍA(S)'!V125)</f>
        <v>30</v>
      </c>
      <c r="W125" s="77">
        <f>SUM(PACIENTES!W125+COMEDOR!W125+JORNADA!W125+'DIETOLOGÍA(S)'!W125)</f>
        <v>0</v>
      </c>
      <c r="X125" s="77">
        <f>SUM(PACIENTES!X125+COMEDOR!X125+JORNADA!X125+'DIETOLOGÍA(S)'!X125)</f>
        <v>50</v>
      </c>
      <c r="Y125" s="77">
        <f>SUM(PACIENTES!Y125+COMEDOR!Y125+JORNADA!Y125+'DIETOLOGÍA(S)'!Y125)</f>
        <v>270</v>
      </c>
      <c r="Z125" s="77">
        <f>SUM(PACIENTES!Z125+COMEDOR!Z125+JORNADA!Z125+'DIETOLOGÍA(S)'!Z125)</f>
        <v>85</v>
      </c>
      <c r="AA125" s="77">
        <f>SUM(PACIENTES!AA125+COMEDOR!AA125+JORNADA!AA125+'DIETOLOGÍA(S)'!AA125)</f>
        <v>0</v>
      </c>
      <c r="AB125" s="77">
        <f>SUM(PACIENTES!AB125+COMEDOR!AB125+JORNADA!AB125+'DIETOLOGÍA(S)'!AB125)</f>
        <v>0</v>
      </c>
      <c r="AC125" s="77">
        <f>SUM(PACIENTES!AC125+COMEDOR!AC125+JORNADA!AC125+'DIETOLOGÍA(S)'!AC125)</f>
        <v>65</v>
      </c>
      <c r="AD125" s="77">
        <f>SUM(PACIENTES!AD125+COMEDOR!AD125+JORNADA!AD125+'DIETOLOGÍA(S)'!AD125)</f>
        <v>86</v>
      </c>
      <c r="AE125" s="77">
        <f>SUM(PACIENTES!AE125+COMEDOR!AE125+JORNADA!AE125+'DIETOLOGÍA(S)'!AE125)</f>
        <v>32</v>
      </c>
      <c r="AF125" s="77">
        <f>SUM(PACIENTES!AF125+COMEDOR!AF125+JORNADA!AF125+'DIETOLOGÍA(S)'!AF125)</f>
        <v>105</v>
      </c>
      <c r="AG125" s="77">
        <f>SUM(PACIENTES!AG125+COMEDOR!AG125+JORNADA!AG125+'DIETOLOGÍA(S)'!AG125)</f>
        <v>115</v>
      </c>
      <c r="AH125" s="77">
        <f>SUM(PACIENTES!AH125+COMEDOR!AH125+JORNADA!AH125+'DIETOLOGÍA(S)'!AH125)</f>
        <v>0</v>
      </c>
      <c r="AI125" s="9">
        <f t="shared" si="3"/>
        <v>1838</v>
      </c>
    </row>
    <row r="126" spans="1:35" ht="15.75" customHeight="1">
      <c r="A126" s="90">
        <v>2212002037</v>
      </c>
      <c r="B126" s="92" t="s">
        <v>131</v>
      </c>
      <c r="C126" s="91" t="s">
        <v>6</v>
      </c>
      <c r="D126" s="77">
        <f>SUM(PACIENTES!D126+COMEDOR!D126+JORNADA!D126+'DIETOLOGÍA(S)'!D126)</f>
        <v>0</v>
      </c>
      <c r="E126" s="77">
        <f>SUM(PACIENTES!E126+COMEDOR!E126+JORNADA!E126+'DIETOLOGÍA(S)'!E126)</f>
        <v>0</v>
      </c>
      <c r="F126" s="77">
        <f>SUM(PACIENTES!F126+COMEDOR!F126+JORNADA!F126+'DIETOLOGÍA(S)'!F126)</f>
        <v>0</v>
      </c>
      <c r="G126" s="77">
        <f>SUM(PACIENTES!G126+COMEDOR!G126+JORNADA!G126+'DIETOLOGÍA(S)'!G126)</f>
        <v>0</v>
      </c>
      <c r="H126" s="77">
        <f>SUM(PACIENTES!H126+COMEDOR!H126+JORNADA!H126+'DIETOLOGÍA(S)'!H126)</f>
        <v>0</v>
      </c>
      <c r="I126" s="77">
        <f>SUM(PACIENTES!I126+COMEDOR!I126+JORNADA!I126+'DIETOLOGÍA(S)'!I126)</f>
        <v>0</v>
      </c>
      <c r="J126" s="77">
        <f>SUM(PACIENTES!J126+COMEDOR!J126+JORNADA!J126+'DIETOLOGÍA(S)'!J126)</f>
        <v>2</v>
      </c>
      <c r="K126" s="77">
        <f>SUM(PACIENTES!K126+COMEDOR!K126+JORNADA!K126+'DIETOLOGÍA(S)'!K126)</f>
        <v>0</v>
      </c>
      <c r="L126" s="77">
        <f>SUM(PACIENTES!L126+COMEDOR!L126+JORNADA!L126+'DIETOLOGÍA(S)'!L126)</f>
        <v>0</v>
      </c>
      <c r="M126" s="77">
        <f>SUM(PACIENTES!M126+COMEDOR!M126+JORNADA!M126+'DIETOLOGÍA(S)'!M126)</f>
        <v>0</v>
      </c>
      <c r="N126" s="77">
        <f>SUM(PACIENTES!N126+COMEDOR!N126+JORNADA!N126+'DIETOLOGÍA(S)'!N126)</f>
        <v>0</v>
      </c>
      <c r="O126" s="77">
        <f>SUM(PACIENTES!O126+COMEDOR!O126+JORNADA!O126+'DIETOLOGÍA(S)'!O126)</f>
        <v>0</v>
      </c>
      <c r="P126" s="77">
        <f>SUM(PACIENTES!P126+COMEDOR!P126+JORNADA!P126+'DIETOLOGÍA(S)'!P126)</f>
        <v>0</v>
      </c>
      <c r="Q126" s="77">
        <f>SUM(PACIENTES!Q126+COMEDOR!Q126+JORNADA!Q126+'DIETOLOGÍA(S)'!Q126)</f>
        <v>0</v>
      </c>
      <c r="R126" s="77">
        <f>SUM(PACIENTES!R126+COMEDOR!R126+JORNADA!R126+'DIETOLOGÍA(S)'!R126)</f>
        <v>0</v>
      </c>
      <c r="S126" s="77">
        <f>SUM(PACIENTES!S126+COMEDOR!S126+JORNADA!S126+'DIETOLOGÍA(S)'!S126)</f>
        <v>0</v>
      </c>
      <c r="T126" s="77">
        <f>SUM(PACIENTES!T126+COMEDOR!T126+JORNADA!T126+'DIETOLOGÍA(S)'!T126)</f>
        <v>0</v>
      </c>
      <c r="U126" s="77">
        <f>SUM(PACIENTES!U126+COMEDOR!U126+JORNADA!U126+'DIETOLOGÍA(S)'!U126)</f>
        <v>0</v>
      </c>
      <c r="V126" s="77">
        <f>SUM(PACIENTES!V126+COMEDOR!V126+JORNADA!V126+'DIETOLOGÍA(S)'!V126)</f>
        <v>0</v>
      </c>
      <c r="W126" s="77">
        <f>SUM(PACIENTES!W126+COMEDOR!W126+JORNADA!W126+'DIETOLOGÍA(S)'!W126)</f>
        <v>0</v>
      </c>
      <c r="X126" s="77">
        <f>SUM(PACIENTES!X126+COMEDOR!X126+JORNADA!X126+'DIETOLOGÍA(S)'!X126)</f>
        <v>0</v>
      </c>
      <c r="Y126" s="77">
        <f>SUM(PACIENTES!Y126+COMEDOR!Y126+JORNADA!Y126+'DIETOLOGÍA(S)'!Y126)</f>
        <v>0</v>
      </c>
      <c r="Z126" s="77">
        <f>SUM(PACIENTES!Z126+COMEDOR!Z126+JORNADA!Z126+'DIETOLOGÍA(S)'!Z126)</f>
        <v>0</v>
      </c>
      <c r="AA126" s="77">
        <f>SUM(PACIENTES!AA126+COMEDOR!AA126+JORNADA!AA126+'DIETOLOGÍA(S)'!AA126)</f>
        <v>0</v>
      </c>
      <c r="AB126" s="77">
        <f>SUM(PACIENTES!AB126+COMEDOR!AB126+JORNADA!AB126+'DIETOLOGÍA(S)'!AB126)</f>
        <v>0</v>
      </c>
      <c r="AC126" s="77">
        <f>SUM(PACIENTES!AC126+COMEDOR!AC126+JORNADA!AC126+'DIETOLOGÍA(S)'!AC126)</f>
        <v>0</v>
      </c>
      <c r="AD126" s="77">
        <f>SUM(PACIENTES!AD126+COMEDOR!AD126+JORNADA!AD126+'DIETOLOGÍA(S)'!AD126)</f>
        <v>0</v>
      </c>
      <c r="AE126" s="77">
        <f>SUM(PACIENTES!AE126+COMEDOR!AE126+JORNADA!AE126+'DIETOLOGÍA(S)'!AE126)</f>
        <v>0</v>
      </c>
      <c r="AF126" s="77">
        <f>SUM(PACIENTES!AF126+COMEDOR!AF126+JORNADA!AF126+'DIETOLOGÍA(S)'!AF126)</f>
        <v>0</v>
      </c>
      <c r="AG126" s="6">
        <f>SUM(PACIENTES!AG126+COMEDOR!AG126+JORNADA!AG126+'DIETOLOGÍA(S)'!AG126)</f>
        <v>0</v>
      </c>
      <c r="AH126" s="6">
        <f>SUM(PACIENTES!AH126+COMEDOR!AH126+JORNADA!AH126+'DIETOLOGÍA(S)'!AH126)</f>
        <v>0</v>
      </c>
      <c r="AI126" s="9">
        <f t="shared" si="3"/>
        <v>2</v>
      </c>
    </row>
    <row r="127" spans="1:35" ht="15.75" customHeight="1">
      <c r="A127" s="90">
        <v>2212002039</v>
      </c>
      <c r="B127" s="92" t="s">
        <v>132</v>
      </c>
      <c r="C127" s="91" t="s">
        <v>6</v>
      </c>
      <c r="D127" s="77">
        <f>SUM(PACIENTES!D127+COMEDOR!D127+JORNADA!D127+'DIETOLOGÍA(S)'!D127)</f>
        <v>0</v>
      </c>
      <c r="E127" s="77">
        <f>SUM(PACIENTES!E127+COMEDOR!E127+JORNADA!E127+'DIETOLOGÍA(S)'!E127)</f>
        <v>0</v>
      </c>
      <c r="F127" s="77">
        <f>SUM(PACIENTES!F127+COMEDOR!F127+JORNADA!F127+'DIETOLOGÍA(S)'!F127)</f>
        <v>0</v>
      </c>
      <c r="G127" s="77">
        <f>SUM(PACIENTES!G127+COMEDOR!G127+JORNADA!G127+'DIETOLOGÍA(S)'!G127)</f>
        <v>0</v>
      </c>
      <c r="H127" s="77">
        <f>SUM(PACIENTES!H127+COMEDOR!H127+JORNADA!H127+'DIETOLOGÍA(S)'!H127)</f>
        <v>0</v>
      </c>
      <c r="I127" s="77">
        <f>SUM(PACIENTES!I127+COMEDOR!I127+JORNADA!I127+'DIETOLOGÍA(S)'!I127)</f>
        <v>1</v>
      </c>
      <c r="J127" s="77">
        <f>SUM(PACIENTES!J127+COMEDOR!J127+JORNADA!J127+'DIETOLOGÍA(S)'!J127)</f>
        <v>0</v>
      </c>
      <c r="K127" s="77">
        <f>SUM(PACIENTES!K127+COMEDOR!K127+JORNADA!K127+'DIETOLOGÍA(S)'!K127)</f>
        <v>0</v>
      </c>
      <c r="L127" s="77">
        <f>SUM(PACIENTES!L127+COMEDOR!L127+JORNADA!L127+'DIETOLOGÍA(S)'!L127)</f>
        <v>0</v>
      </c>
      <c r="M127" s="77">
        <f>SUM(PACIENTES!M127+COMEDOR!M127+JORNADA!M127+'DIETOLOGÍA(S)'!M127)</f>
        <v>0</v>
      </c>
      <c r="N127" s="77">
        <f>SUM(PACIENTES!N127+COMEDOR!N127+JORNADA!N127+'DIETOLOGÍA(S)'!N127)</f>
        <v>0</v>
      </c>
      <c r="O127" s="77">
        <f>SUM(PACIENTES!O127+COMEDOR!O127+JORNADA!O127+'DIETOLOGÍA(S)'!O127)</f>
        <v>0</v>
      </c>
      <c r="P127" s="77">
        <f>SUM(PACIENTES!P127+COMEDOR!P127+JORNADA!P127+'DIETOLOGÍA(S)'!P127)</f>
        <v>0</v>
      </c>
      <c r="Q127" s="77">
        <f>SUM(PACIENTES!Q127+COMEDOR!Q127+JORNADA!Q127+'DIETOLOGÍA(S)'!Q127)</f>
        <v>0</v>
      </c>
      <c r="R127" s="77">
        <f>SUM(PACIENTES!R127+COMEDOR!R127+JORNADA!R127+'DIETOLOGÍA(S)'!R127)</f>
        <v>0</v>
      </c>
      <c r="S127" s="77">
        <f>SUM(PACIENTES!S127+COMEDOR!S127+JORNADA!S127+'DIETOLOGÍA(S)'!S127)</f>
        <v>0</v>
      </c>
      <c r="T127" s="77">
        <f>SUM(PACIENTES!T127+COMEDOR!T127+JORNADA!T127+'DIETOLOGÍA(S)'!T127)</f>
        <v>0</v>
      </c>
      <c r="U127" s="77">
        <f>SUM(PACIENTES!U127+COMEDOR!U127+JORNADA!U127+'DIETOLOGÍA(S)'!U127)</f>
        <v>0</v>
      </c>
      <c r="V127" s="77">
        <f>SUM(PACIENTES!V127+COMEDOR!V127+JORNADA!V127+'DIETOLOGÍA(S)'!V127)</f>
        <v>0</v>
      </c>
      <c r="W127" s="77">
        <f>SUM(PACIENTES!W127+COMEDOR!W127+JORNADA!W127+'DIETOLOGÍA(S)'!W127)</f>
        <v>0</v>
      </c>
      <c r="X127" s="77">
        <f>SUM(PACIENTES!X127+COMEDOR!X127+JORNADA!X127+'DIETOLOGÍA(S)'!X127)</f>
        <v>0</v>
      </c>
      <c r="Y127" s="77">
        <f>SUM(PACIENTES!Y127+COMEDOR!Y127+JORNADA!Y127+'DIETOLOGÍA(S)'!Y127)</f>
        <v>0</v>
      </c>
      <c r="Z127" s="77">
        <f>SUM(PACIENTES!Z127+COMEDOR!Z127+JORNADA!Z127+'DIETOLOGÍA(S)'!Z127)</f>
        <v>0</v>
      </c>
      <c r="AA127" s="77">
        <f>SUM(PACIENTES!AA127+COMEDOR!AA127+JORNADA!AA127+'DIETOLOGÍA(S)'!AA127)</f>
        <v>0</v>
      </c>
      <c r="AB127" s="77">
        <f>SUM(PACIENTES!AB127+COMEDOR!AB127+JORNADA!AB127+'DIETOLOGÍA(S)'!AB127)</f>
        <v>0</v>
      </c>
      <c r="AC127" s="77">
        <f>SUM(PACIENTES!AC127+COMEDOR!AC127+JORNADA!AC127+'DIETOLOGÍA(S)'!AC127)</f>
        <v>0</v>
      </c>
      <c r="AD127" s="77">
        <f>SUM(PACIENTES!AD127+COMEDOR!AD127+JORNADA!AD127+'DIETOLOGÍA(S)'!AD127)</f>
        <v>1</v>
      </c>
      <c r="AE127" s="77">
        <f>SUM(PACIENTES!AE127+COMEDOR!AE127+JORNADA!AE127+'DIETOLOGÍA(S)'!AE127)</f>
        <v>3</v>
      </c>
      <c r="AF127" s="77">
        <f>SUM(PACIENTES!AF127+COMEDOR!AF127+JORNADA!AF127+'DIETOLOGÍA(S)'!AF127)</f>
        <v>0</v>
      </c>
      <c r="AG127" s="77">
        <f>SUM(PACIENTES!AG127+COMEDOR!AG127+JORNADA!AG127+'DIETOLOGÍA(S)'!AG127)</f>
        <v>0</v>
      </c>
      <c r="AH127" s="77">
        <f>SUM(PACIENTES!AH127+COMEDOR!AH127+JORNADA!AH127+'DIETOLOGÍA(S)'!AH127)</f>
        <v>0</v>
      </c>
      <c r="AI127" s="9">
        <f t="shared" si="3"/>
        <v>5</v>
      </c>
    </row>
    <row r="128" spans="1:35" ht="15.75" customHeight="1">
      <c r="A128" s="90">
        <v>2212002041</v>
      </c>
      <c r="B128" s="92" t="s">
        <v>133</v>
      </c>
      <c r="C128" s="91" t="s">
        <v>6</v>
      </c>
      <c r="D128" s="77">
        <f>SUM(PACIENTES!D128+COMEDOR!D128+JORNADA!D128+'DIETOLOGÍA(S)'!D128)</f>
        <v>0</v>
      </c>
      <c r="E128" s="77">
        <f>SUM(PACIENTES!E128+COMEDOR!E128+JORNADA!E128+'DIETOLOGÍA(S)'!E128)</f>
        <v>0</v>
      </c>
      <c r="F128" s="77">
        <f>SUM(PACIENTES!F128+COMEDOR!F128+JORNADA!F128+'DIETOLOGÍA(S)'!F128)</f>
        <v>0</v>
      </c>
      <c r="G128" s="77">
        <f>SUM(PACIENTES!G128+COMEDOR!G128+JORNADA!G128+'DIETOLOGÍA(S)'!G128)</f>
        <v>0</v>
      </c>
      <c r="H128" s="77">
        <f>SUM(PACIENTES!H128+COMEDOR!H128+JORNADA!H128+'DIETOLOGÍA(S)'!H128)</f>
        <v>0</v>
      </c>
      <c r="I128" s="77">
        <f>SUM(PACIENTES!I128+COMEDOR!I128+JORNADA!I128+'DIETOLOGÍA(S)'!I128)</f>
        <v>0</v>
      </c>
      <c r="J128" s="77">
        <f>SUM(PACIENTES!J128+COMEDOR!J128+JORNADA!J128+'DIETOLOGÍA(S)'!J128)</f>
        <v>0</v>
      </c>
      <c r="K128" s="77">
        <f>SUM(PACIENTES!K128+COMEDOR!K128+JORNADA!K128+'DIETOLOGÍA(S)'!K128)</f>
        <v>0</v>
      </c>
      <c r="L128" s="77">
        <f>SUM(PACIENTES!L128+COMEDOR!L128+JORNADA!L128+'DIETOLOGÍA(S)'!L128)</f>
        <v>0</v>
      </c>
      <c r="M128" s="77">
        <f>SUM(PACIENTES!M128+COMEDOR!M128+JORNADA!M128+'DIETOLOGÍA(S)'!M128)</f>
        <v>0</v>
      </c>
      <c r="N128" s="77">
        <f>SUM(PACIENTES!N128+COMEDOR!N128+JORNADA!N128+'DIETOLOGÍA(S)'!N128)</f>
        <v>0</v>
      </c>
      <c r="O128" s="77">
        <f>SUM(PACIENTES!O128+COMEDOR!O128+JORNADA!O128+'DIETOLOGÍA(S)'!O128)</f>
        <v>0</v>
      </c>
      <c r="P128" s="77">
        <f>SUM(PACIENTES!P128+COMEDOR!P128+JORNADA!P128+'DIETOLOGÍA(S)'!P128)</f>
        <v>75</v>
      </c>
      <c r="Q128" s="77">
        <f>SUM(PACIENTES!Q128+COMEDOR!Q128+JORNADA!Q128+'DIETOLOGÍA(S)'!Q128)</f>
        <v>0</v>
      </c>
      <c r="R128" s="77">
        <f>SUM(PACIENTES!R128+COMEDOR!R128+JORNADA!R128+'DIETOLOGÍA(S)'!R128)</f>
        <v>0</v>
      </c>
      <c r="S128" s="77">
        <f>SUM(PACIENTES!S128+COMEDOR!S128+JORNADA!S128+'DIETOLOGÍA(S)'!S128)</f>
        <v>0</v>
      </c>
      <c r="T128" s="77">
        <f>SUM(PACIENTES!T128+COMEDOR!T128+JORNADA!T128+'DIETOLOGÍA(S)'!T128)</f>
        <v>0</v>
      </c>
      <c r="U128" s="77">
        <f>SUM(PACIENTES!U128+COMEDOR!U128+JORNADA!U128+'DIETOLOGÍA(S)'!U128)</f>
        <v>0</v>
      </c>
      <c r="V128" s="77">
        <f>SUM(PACIENTES!V128+COMEDOR!V128+JORNADA!V128+'DIETOLOGÍA(S)'!V128)</f>
        <v>0</v>
      </c>
      <c r="W128" s="77">
        <f>SUM(PACIENTES!W128+COMEDOR!W128+JORNADA!W128+'DIETOLOGÍA(S)'!W128)</f>
        <v>0</v>
      </c>
      <c r="X128" s="77">
        <f>SUM(PACIENTES!X128+COMEDOR!X128+JORNADA!X128+'DIETOLOGÍA(S)'!X128)</f>
        <v>0</v>
      </c>
      <c r="Y128" s="77">
        <f>SUM(PACIENTES!Y128+COMEDOR!Y128+JORNADA!Y128+'DIETOLOGÍA(S)'!Y128)</f>
        <v>0</v>
      </c>
      <c r="Z128" s="77">
        <f>SUM(PACIENTES!Z128+COMEDOR!Z128+JORNADA!Z128+'DIETOLOGÍA(S)'!Z128)</f>
        <v>0</v>
      </c>
      <c r="AA128" s="77">
        <f>SUM(PACIENTES!AA128+COMEDOR!AA128+JORNADA!AA128+'DIETOLOGÍA(S)'!AA128)</f>
        <v>0</v>
      </c>
      <c r="AB128" s="77">
        <f>SUM(PACIENTES!AB128+COMEDOR!AB128+JORNADA!AB128+'DIETOLOGÍA(S)'!AB128)</f>
        <v>0</v>
      </c>
      <c r="AC128" s="77">
        <f>SUM(PACIENTES!AC128+COMEDOR!AC128+JORNADA!AC128+'DIETOLOGÍA(S)'!AC128)</f>
        <v>0</v>
      </c>
      <c r="AD128" s="77">
        <f>SUM(PACIENTES!AD128+COMEDOR!AD128+JORNADA!AD128+'DIETOLOGÍA(S)'!AD128)</f>
        <v>0</v>
      </c>
      <c r="AE128" s="77">
        <f>SUM(PACIENTES!AE128+COMEDOR!AE128+JORNADA!AE128+'DIETOLOGÍA(S)'!AE128)</f>
        <v>75</v>
      </c>
      <c r="AF128" s="77">
        <f>SUM(PACIENTES!AF128+COMEDOR!AF128+JORNADA!AF128+'DIETOLOGÍA(S)'!AF128)</f>
        <v>30</v>
      </c>
      <c r="AG128" s="6">
        <f>SUM(PACIENTES!AG128+COMEDOR!AG128+JORNADA!AG128+'DIETOLOGÍA(S)'!AG128)</f>
        <v>0</v>
      </c>
      <c r="AH128" s="6">
        <f>SUM(PACIENTES!AH128+COMEDOR!AH128+JORNADA!AH128+'DIETOLOGÍA(S)'!AH128)</f>
        <v>0</v>
      </c>
      <c r="AI128" s="9">
        <f t="shared" si="3"/>
        <v>180</v>
      </c>
    </row>
    <row r="129" spans="1:35" ht="15.75" customHeight="1">
      <c r="A129" s="90">
        <v>2212002042</v>
      </c>
      <c r="B129" s="92" t="s">
        <v>134</v>
      </c>
      <c r="C129" s="91" t="s">
        <v>6</v>
      </c>
      <c r="D129" s="77">
        <f>SUM(PACIENTES!D129+COMEDOR!D129+JORNADA!D129+'DIETOLOGÍA(S)'!D129)</f>
        <v>0</v>
      </c>
      <c r="E129" s="77">
        <f>SUM(PACIENTES!E129+COMEDOR!E129+JORNADA!E129+'DIETOLOGÍA(S)'!E129)</f>
        <v>0</v>
      </c>
      <c r="F129" s="77">
        <f>SUM(PACIENTES!F129+COMEDOR!F129+JORNADA!F129+'DIETOLOGÍA(S)'!F129)</f>
        <v>0</v>
      </c>
      <c r="G129" s="77">
        <f>SUM(PACIENTES!G129+COMEDOR!G129+JORNADA!G129+'DIETOLOGÍA(S)'!G129)</f>
        <v>0</v>
      </c>
      <c r="H129" s="77">
        <f>SUM(PACIENTES!H129+COMEDOR!H129+JORNADA!H129+'DIETOLOGÍA(S)'!H129)</f>
        <v>0</v>
      </c>
      <c r="I129" s="77">
        <f>SUM(PACIENTES!I129+COMEDOR!I129+JORNADA!I129+'DIETOLOGÍA(S)'!I129)</f>
        <v>0</v>
      </c>
      <c r="J129" s="77">
        <f>SUM(PACIENTES!J129+COMEDOR!J129+JORNADA!J129+'DIETOLOGÍA(S)'!J129)</f>
        <v>0</v>
      </c>
      <c r="K129" s="77">
        <f>SUM(PACIENTES!K129+COMEDOR!K129+JORNADA!K129+'DIETOLOGÍA(S)'!K129)</f>
        <v>0</v>
      </c>
      <c r="L129" s="77">
        <f>SUM(PACIENTES!L129+COMEDOR!L129+JORNADA!L129+'DIETOLOGÍA(S)'!L129)</f>
        <v>0</v>
      </c>
      <c r="M129" s="77">
        <f>SUM(PACIENTES!M129+COMEDOR!M129+JORNADA!M129+'DIETOLOGÍA(S)'!M129)</f>
        <v>0</v>
      </c>
      <c r="N129" s="77">
        <f>SUM(PACIENTES!N129+COMEDOR!N129+JORNADA!N129+'DIETOLOGÍA(S)'!N129)</f>
        <v>0</v>
      </c>
      <c r="O129" s="77">
        <f>SUM(PACIENTES!O129+COMEDOR!O129+JORNADA!O129+'DIETOLOGÍA(S)'!O129)</f>
        <v>0</v>
      </c>
      <c r="P129" s="77">
        <f>SUM(PACIENTES!P129+COMEDOR!P129+JORNADA!P129+'DIETOLOGÍA(S)'!P129)</f>
        <v>0</v>
      </c>
      <c r="Q129" s="77">
        <f>SUM(PACIENTES!Q129+COMEDOR!Q129+JORNADA!Q129+'DIETOLOGÍA(S)'!Q129)</f>
        <v>2</v>
      </c>
      <c r="R129" s="77">
        <f>SUM(PACIENTES!R129+COMEDOR!R129+JORNADA!R129+'DIETOLOGÍA(S)'!R129)</f>
        <v>0</v>
      </c>
      <c r="S129" s="77">
        <f>SUM(PACIENTES!S129+COMEDOR!S129+JORNADA!S129+'DIETOLOGÍA(S)'!S129)</f>
        <v>0</v>
      </c>
      <c r="T129" s="77">
        <f>SUM(PACIENTES!T129+COMEDOR!T129+JORNADA!T129+'DIETOLOGÍA(S)'!T129)</f>
        <v>0</v>
      </c>
      <c r="U129" s="77">
        <f>SUM(PACIENTES!U129+COMEDOR!U129+JORNADA!U129+'DIETOLOGÍA(S)'!U129)</f>
        <v>0</v>
      </c>
      <c r="V129" s="77">
        <f>SUM(PACIENTES!V129+COMEDOR!V129+JORNADA!V129+'DIETOLOGÍA(S)'!V129)</f>
        <v>0</v>
      </c>
      <c r="W129" s="77">
        <f>SUM(PACIENTES!W129+COMEDOR!W129+JORNADA!W129+'DIETOLOGÍA(S)'!W129)</f>
        <v>0</v>
      </c>
      <c r="X129" s="77">
        <f>SUM(PACIENTES!X129+COMEDOR!X129+JORNADA!X129+'DIETOLOGÍA(S)'!X129)</f>
        <v>0</v>
      </c>
      <c r="Y129" s="77">
        <f>SUM(PACIENTES!Y129+COMEDOR!Y129+JORNADA!Y129+'DIETOLOGÍA(S)'!Y129)</f>
        <v>0</v>
      </c>
      <c r="Z129" s="77">
        <f>SUM(PACIENTES!Z129+COMEDOR!Z129+JORNADA!Z129+'DIETOLOGÍA(S)'!Z129)</f>
        <v>0</v>
      </c>
      <c r="AA129" s="77">
        <f>SUM(PACIENTES!AA129+COMEDOR!AA129+JORNADA!AA129+'DIETOLOGÍA(S)'!AA129)</f>
        <v>0</v>
      </c>
      <c r="AB129" s="77">
        <f>SUM(PACIENTES!AB129+COMEDOR!AB129+JORNADA!AB129+'DIETOLOGÍA(S)'!AB129)</f>
        <v>0</v>
      </c>
      <c r="AC129" s="77">
        <f>SUM(PACIENTES!AC129+COMEDOR!AC129+JORNADA!AC129+'DIETOLOGÍA(S)'!AC129)</f>
        <v>0</v>
      </c>
      <c r="AD129" s="77">
        <f>SUM(PACIENTES!AD129+COMEDOR!AD129+JORNADA!AD129+'DIETOLOGÍA(S)'!AD129)</f>
        <v>0</v>
      </c>
      <c r="AE129" s="77">
        <f>SUM(PACIENTES!AE129+COMEDOR!AE129+JORNADA!AE129+'DIETOLOGÍA(S)'!AE129)</f>
        <v>0</v>
      </c>
      <c r="AF129" s="77">
        <f>SUM(PACIENTES!AF129+COMEDOR!AF129+JORNADA!AF129+'DIETOLOGÍA(S)'!AF129)</f>
        <v>0</v>
      </c>
      <c r="AG129" s="77">
        <f>SUM(PACIENTES!AG129+COMEDOR!AG129+JORNADA!AG129+'DIETOLOGÍA(S)'!AG129)</f>
        <v>0</v>
      </c>
      <c r="AH129" s="77">
        <f>SUM(PACIENTES!AH129+COMEDOR!AH129+JORNADA!AH129+'DIETOLOGÍA(S)'!AH129)</f>
        <v>0</v>
      </c>
      <c r="AI129" s="9">
        <f t="shared" si="3"/>
        <v>2</v>
      </c>
    </row>
    <row r="130" spans="1:35" ht="15.75" customHeight="1">
      <c r="A130" s="90">
        <v>2212002043</v>
      </c>
      <c r="B130" s="92" t="s">
        <v>135</v>
      </c>
      <c r="C130" s="91" t="s">
        <v>6</v>
      </c>
      <c r="D130" s="6">
        <f>SUM(PACIENTES!D130+COMEDOR!D130+JORNADA!D130+'DIETOLOGÍA(S)'!D130)</f>
        <v>0</v>
      </c>
      <c r="E130" s="6">
        <f>SUM(PACIENTES!E130+COMEDOR!E130+JORNADA!E130+'DIETOLOGÍA(S)'!E130)</f>
        <v>0</v>
      </c>
      <c r="F130" s="6">
        <f>SUM(PACIENTES!F130+COMEDOR!F130+JORNADA!F130+'DIETOLOGÍA(S)'!F130)</f>
        <v>0</v>
      </c>
      <c r="G130" s="6">
        <f>SUM(PACIENTES!G130+COMEDOR!G130+JORNADA!G130+'DIETOLOGÍA(S)'!G130)</f>
        <v>0</v>
      </c>
      <c r="H130" s="6">
        <f>SUM(PACIENTES!H130+COMEDOR!H130+JORNADA!H130+'DIETOLOGÍA(S)'!H130)</f>
        <v>0</v>
      </c>
      <c r="I130" s="6">
        <f>SUM(PACIENTES!I130+COMEDOR!I130+JORNADA!I130+'DIETOLOGÍA(S)'!I130)</f>
        <v>0</v>
      </c>
      <c r="J130" s="6">
        <f>SUM(PACIENTES!J130+COMEDOR!J130+JORNADA!J130+'DIETOLOGÍA(S)'!J130)</f>
        <v>0</v>
      </c>
      <c r="K130" s="6">
        <f>SUM(PACIENTES!K130+COMEDOR!K130+JORNADA!K130+'DIETOLOGÍA(S)'!K130)</f>
        <v>0</v>
      </c>
      <c r="L130" s="6">
        <f>SUM(PACIENTES!L130+COMEDOR!L130+JORNADA!L130+'DIETOLOGÍA(S)'!L130)</f>
        <v>0</v>
      </c>
      <c r="M130" s="6">
        <f>SUM(PACIENTES!M130+COMEDOR!M130+JORNADA!M130+'DIETOLOGÍA(S)'!M130)</f>
        <v>0</v>
      </c>
      <c r="N130" s="6">
        <f>SUM(PACIENTES!N130+COMEDOR!N130+JORNADA!N130+'DIETOLOGÍA(S)'!N130)</f>
        <v>0</v>
      </c>
      <c r="O130" s="6">
        <f>SUM(PACIENTES!O130+COMEDOR!O130+JORNADA!O130+'DIETOLOGÍA(S)'!O130)</f>
        <v>0</v>
      </c>
      <c r="P130" s="6">
        <f>SUM(PACIENTES!P130+COMEDOR!P130+JORNADA!P130+'DIETOLOGÍA(S)'!P130)</f>
        <v>0</v>
      </c>
      <c r="Q130" s="6">
        <f>SUM(PACIENTES!Q130+COMEDOR!Q130+JORNADA!Q130+'DIETOLOGÍA(S)'!Q130)</f>
        <v>2</v>
      </c>
      <c r="R130" s="6">
        <f>SUM(PACIENTES!R130+COMEDOR!R130+JORNADA!R130+'DIETOLOGÍA(S)'!R130)</f>
        <v>0</v>
      </c>
      <c r="S130" s="6">
        <f>SUM(PACIENTES!S130+COMEDOR!S130+JORNADA!S130+'DIETOLOGÍA(S)'!S130)</f>
        <v>0</v>
      </c>
      <c r="T130" s="6">
        <f>SUM(PACIENTES!T130+COMEDOR!T130+JORNADA!T130+'DIETOLOGÍA(S)'!T130)</f>
        <v>0</v>
      </c>
      <c r="U130" s="6">
        <f>SUM(PACIENTES!U130+COMEDOR!U130+JORNADA!U130+'DIETOLOGÍA(S)'!U130)</f>
        <v>0</v>
      </c>
      <c r="V130" s="6">
        <f>SUM(PACIENTES!V130+COMEDOR!V130+JORNADA!V130+'DIETOLOGÍA(S)'!V130)</f>
        <v>0</v>
      </c>
      <c r="W130" s="6">
        <f>SUM(PACIENTES!W130+COMEDOR!W130+JORNADA!W130+'DIETOLOGÍA(S)'!W130)</f>
        <v>0</v>
      </c>
      <c r="X130" s="6">
        <f>SUM(PACIENTES!X130+COMEDOR!X130+JORNADA!X130+'DIETOLOGÍA(S)'!X130)</f>
        <v>0</v>
      </c>
      <c r="Y130" s="6">
        <f>SUM(PACIENTES!Y130+COMEDOR!Y130+JORNADA!Y130+'DIETOLOGÍA(S)'!Y130)</f>
        <v>0</v>
      </c>
      <c r="Z130" s="6">
        <f>SUM(PACIENTES!Z130+COMEDOR!Z130+JORNADA!Z130+'DIETOLOGÍA(S)'!Z130)</f>
        <v>0</v>
      </c>
      <c r="AA130" s="6">
        <f>SUM(PACIENTES!AA130+COMEDOR!AA130+JORNADA!AA130+'DIETOLOGÍA(S)'!AA130)</f>
        <v>0</v>
      </c>
      <c r="AB130" s="6">
        <f>SUM(PACIENTES!AB130+COMEDOR!AB130+JORNADA!AB130+'DIETOLOGÍA(S)'!AB130)</f>
        <v>0</v>
      </c>
      <c r="AC130" s="6">
        <f>SUM(PACIENTES!AC130+COMEDOR!AC130+JORNADA!AC130+'DIETOLOGÍA(S)'!AC130)</f>
        <v>0</v>
      </c>
      <c r="AD130" s="6">
        <f>SUM(PACIENTES!AD130+COMEDOR!AD130+JORNADA!AD130+'DIETOLOGÍA(S)'!AD130)</f>
        <v>0</v>
      </c>
      <c r="AE130" s="6">
        <f>SUM(PACIENTES!AE130+COMEDOR!AE130+JORNADA!AE130+'DIETOLOGÍA(S)'!AE130)</f>
        <v>0</v>
      </c>
      <c r="AF130" s="6">
        <f>SUM(PACIENTES!AF130+COMEDOR!AF130+JORNADA!AF130+'DIETOLOGÍA(S)'!AF130)</f>
        <v>0</v>
      </c>
      <c r="AG130" s="6">
        <f>SUM(PACIENTES!AG130+COMEDOR!AG130+JORNADA!AG130+'DIETOLOGÍA(S)'!AG130)</f>
        <v>0</v>
      </c>
      <c r="AH130" s="6">
        <f>SUM(PACIENTES!AH130+COMEDOR!AH130+JORNADA!AH130+'DIETOLOGÍA(S)'!AH130)</f>
        <v>0</v>
      </c>
      <c r="AI130" s="9">
        <f t="shared" si="3"/>
        <v>2</v>
      </c>
    </row>
    <row r="131" spans="1:35" ht="15.75" customHeight="1">
      <c r="A131" s="94">
        <v>2212002044</v>
      </c>
      <c r="B131" s="95" t="s">
        <v>136</v>
      </c>
      <c r="C131" s="96" t="s">
        <v>6</v>
      </c>
      <c r="D131" s="289">
        <f>SUM(PACIENTES!D131+COMEDOR!D131+JORNADA!D131+'DIETOLOGÍA(S)'!D131)</f>
        <v>0</v>
      </c>
      <c r="E131" s="289">
        <f>SUM(PACIENTES!E131+COMEDOR!E131+JORNADA!E131+'DIETOLOGÍA(S)'!E131)</f>
        <v>0</v>
      </c>
      <c r="F131" s="289">
        <f>SUM(PACIENTES!F131+COMEDOR!F131+JORNADA!F131+'DIETOLOGÍA(S)'!F131)</f>
        <v>0</v>
      </c>
      <c r="G131" s="289">
        <f>SUM(PACIENTES!G131+COMEDOR!G131+JORNADA!G131+'DIETOLOGÍA(S)'!G131)</f>
        <v>0</v>
      </c>
      <c r="H131" s="289">
        <f>SUM(PACIENTES!H131+COMEDOR!H131+JORNADA!H131+'DIETOLOGÍA(S)'!H131)</f>
        <v>0</v>
      </c>
      <c r="I131" s="289">
        <f>SUM(PACIENTES!I131+COMEDOR!I131+JORNADA!I131+'DIETOLOGÍA(S)'!I131)</f>
        <v>0</v>
      </c>
      <c r="J131" s="289">
        <f>SUM(PACIENTES!J131+COMEDOR!J131+JORNADA!J131+'DIETOLOGÍA(S)'!J131)</f>
        <v>0</v>
      </c>
      <c r="K131" s="289">
        <f>SUM(PACIENTES!K131+COMEDOR!K131+JORNADA!K131+'DIETOLOGÍA(S)'!K131)</f>
        <v>0</v>
      </c>
      <c r="L131" s="289">
        <f>SUM(PACIENTES!L131+COMEDOR!L131+JORNADA!L131+'DIETOLOGÍA(S)'!L131)</f>
        <v>0</v>
      </c>
      <c r="M131" s="289">
        <f>SUM(PACIENTES!M131+COMEDOR!M131+JORNADA!M131+'DIETOLOGÍA(S)'!M131)</f>
        <v>0</v>
      </c>
      <c r="N131" s="289">
        <f>SUM(PACIENTES!N131+COMEDOR!N131+JORNADA!N131+'DIETOLOGÍA(S)'!N131)</f>
        <v>0</v>
      </c>
      <c r="O131" s="289">
        <f>SUM(PACIENTES!O131+COMEDOR!O131+JORNADA!O131+'DIETOLOGÍA(S)'!O131)</f>
        <v>0</v>
      </c>
      <c r="P131" s="289">
        <f>SUM(PACIENTES!P131+COMEDOR!P131+JORNADA!P131+'DIETOLOGÍA(S)'!P131)</f>
        <v>0</v>
      </c>
      <c r="Q131" s="289">
        <f>SUM(PACIENTES!Q131+COMEDOR!Q131+JORNADA!Q131+'DIETOLOGÍA(S)'!Q131)</f>
        <v>0</v>
      </c>
      <c r="R131" s="289">
        <f>SUM(PACIENTES!R131+COMEDOR!R131+JORNADA!R131+'DIETOLOGÍA(S)'!R131)</f>
        <v>0</v>
      </c>
      <c r="S131" s="289">
        <f>SUM(PACIENTES!S131+COMEDOR!S131+JORNADA!S131+'DIETOLOGÍA(S)'!S131)</f>
        <v>0</v>
      </c>
      <c r="T131" s="289">
        <f>SUM(PACIENTES!T131+COMEDOR!T131+JORNADA!T131+'DIETOLOGÍA(S)'!T131)</f>
        <v>0</v>
      </c>
      <c r="U131" s="289">
        <f>SUM(PACIENTES!U131+COMEDOR!U131+JORNADA!U131+'DIETOLOGÍA(S)'!U131)</f>
        <v>0</v>
      </c>
      <c r="V131" s="289">
        <f>SUM(PACIENTES!V131+COMEDOR!V131+JORNADA!V131+'DIETOLOGÍA(S)'!V131)</f>
        <v>0</v>
      </c>
      <c r="W131" s="289">
        <f>SUM(PACIENTES!W131+COMEDOR!W131+JORNADA!W131+'DIETOLOGÍA(S)'!W131)</f>
        <v>0</v>
      </c>
      <c r="X131" s="289">
        <f>SUM(PACIENTES!X131+COMEDOR!X131+JORNADA!X131+'DIETOLOGÍA(S)'!X131)</f>
        <v>0</v>
      </c>
      <c r="Y131" s="289">
        <f>SUM(PACIENTES!Y131+COMEDOR!Y131+JORNADA!Y131+'DIETOLOGÍA(S)'!Y131)</f>
        <v>0</v>
      </c>
      <c r="Z131" s="289">
        <f>SUM(PACIENTES!Z131+COMEDOR!Z131+JORNADA!Z131+'DIETOLOGÍA(S)'!Z131)</f>
        <v>0</v>
      </c>
      <c r="AA131" s="289">
        <f>SUM(PACIENTES!AA131+COMEDOR!AA131+JORNADA!AA131+'DIETOLOGÍA(S)'!AA131)</f>
        <v>0</v>
      </c>
      <c r="AB131" s="289">
        <f>SUM(PACIENTES!AB131+COMEDOR!AB131+JORNADA!AB131+'DIETOLOGÍA(S)'!AB131)</f>
        <v>0</v>
      </c>
      <c r="AC131" s="289">
        <f>SUM(PACIENTES!AC131+COMEDOR!AC131+JORNADA!AC131+'DIETOLOGÍA(S)'!AC131)</f>
        <v>0</v>
      </c>
      <c r="AD131" s="289">
        <f>SUM(PACIENTES!AD131+COMEDOR!AD131+JORNADA!AD131+'DIETOLOGÍA(S)'!AD131)</f>
        <v>0</v>
      </c>
      <c r="AE131" s="289">
        <f>SUM(PACIENTES!AE131+COMEDOR!AE131+JORNADA!AE131+'DIETOLOGÍA(S)'!AE131)</f>
        <v>0</v>
      </c>
      <c r="AF131" s="289">
        <f>SUM(PACIENTES!AF131+COMEDOR!AF131+JORNADA!AF131+'DIETOLOGÍA(S)'!AF131)</f>
        <v>0</v>
      </c>
      <c r="AG131" s="289">
        <f>SUM(PACIENTES!AG131+COMEDOR!AG131+JORNADA!AG131+'DIETOLOGÍA(S)'!AG131)</f>
        <v>0</v>
      </c>
      <c r="AH131" s="289">
        <f>SUM(PACIENTES!AH131+COMEDOR!AH131+JORNADA!AH131+'DIETOLOGÍA(S)'!AH131)</f>
        <v>0</v>
      </c>
      <c r="AI131" s="40">
        <f t="shared" si="3"/>
        <v>0</v>
      </c>
    </row>
    <row r="132" spans="1:35" ht="18.75" customHeight="1">
      <c r="A132" s="618" t="s">
        <v>137</v>
      </c>
      <c r="B132" s="606"/>
      <c r="C132" s="606"/>
      <c r="D132" s="606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606"/>
      <c r="Y132" s="606"/>
      <c r="Z132" s="606"/>
      <c r="AA132" s="606"/>
      <c r="AB132" s="606"/>
      <c r="AC132" s="606"/>
      <c r="AD132" s="606"/>
      <c r="AE132" s="606"/>
      <c r="AF132" s="606"/>
      <c r="AG132" s="606"/>
      <c r="AH132" s="607"/>
      <c r="AI132" s="44"/>
    </row>
    <row r="133" spans="1:35" ht="15.75" customHeight="1">
      <c r="A133" s="99">
        <v>2212006001</v>
      </c>
      <c r="B133" s="100" t="s">
        <v>138</v>
      </c>
      <c r="C133" s="101" t="s">
        <v>6</v>
      </c>
      <c r="D133" s="77">
        <f>SUM(PACIENTES!D133+COMEDOR!D133+JORNADA!D133+'DIETOLOGÍA(S)'!D133)</f>
        <v>125</v>
      </c>
      <c r="E133" s="77">
        <f>SUM(PACIENTES!E133+COMEDOR!E133+JORNADA!E133+'DIETOLOGÍA(S)'!E133)</f>
        <v>100</v>
      </c>
      <c r="F133" s="77">
        <f>SUM(PACIENTES!F133+COMEDOR!F133+JORNADA!F133+'DIETOLOGÍA(S)'!F133)</f>
        <v>0</v>
      </c>
      <c r="G133" s="77">
        <f>SUM(PACIENTES!G133+COMEDOR!G133+JORNADA!G133+'DIETOLOGÍA(S)'!G133)</f>
        <v>30</v>
      </c>
      <c r="H133" s="77">
        <f>SUM(PACIENTES!H133+COMEDOR!H133+JORNADA!H133+'DIETOLOGÍA(S)'!H133)</f>
        <v>145</v>
      </c>
      <c r="I133" s="77">
        <f>SUM(PACIENTES!I133+COMEDOR!I133+JORNADA!I133+'DIETOLOGÍA(S)'!I133)</f>
        <v>76</v>
      </c>
      <c r="J133" s="77">
        <f>SUM(PACIENTES!J133+COMEDOR!J133+JORNADA!J133+'DIETOLOGÍA(S)'!J133)</f>
        <v>0</v>
      </c>
      <c r="K133" s="77">
        <f>SUM(PACIENTES!K133+COMEDOR!K133+JORNADA!K133+'DIETOLOGÍA(S)'!K133)</f>
        <v>30</v>
      </c>
      <c r="L133" s="77">
        <f>SUM(PACIENTES!L133+COMEDOR!L133+JORNADA!L133+'DIETOLOGÍA(S)'!L133)</f>
        <v>0</v>
      </c>
      <c r="M133" s="77">
        <f>SUM(PACIENTES!M133+COMEDOR!M133+JORNADA!M133+'DIETOLOGÍA(S)'!M133)</f>
        <v>30</v>
      </c>
      <c r="N133" s="77">
        <f>SUM(PACIENTES!N133+COMEDOR!N133+JORNADA!N133+'DIETOLOGÍA(S)'!N133)</f>
        <v>0</v>
      </c>
      <c r="O133" s="77">
        <f>SUM(PACIENTES!O133+COMEDOR!O133+JORNADA!O133+'DIETOLOGÍA(S)'!O133)</f>
        <v>140</v>
      </c>
      <c r="P133" s="77">
        <f>SUM(PACIENTES!P133+COMEDOR!P133+JORNADA!P133+'DIETOLOGÍA(S)'!P133)</f>
        <v>0</v>
      </c>
      <c r="Q133" s="77">
        <f>SUM(PACIENTES!Q133+COMEDOR!Q133+JORNADA!Q133+'DIETOLOGÍA(S)'!Q133)</f>
        <v>0</v>
      </c>
      <c r="R133" s="77">
        <f>SUM(PACIENTES!R133+COMEDOR!R133+JORNADA!R133+'DIETOLOGÍA(S)'!R133)</f>
        <v>115</v>
      </c>
      <c r="S133" s="77">
        <f>SUM(PACIENTES!S133+COMEDOR!S133+JORNADA!S133+'DIETOLOGÍA(S)'!S133)</f>
        <v>140</v>
      </c>
      <c r="T133" s="77">
        <f>SUM(PACIENTES!T133+COMEDOR!T133+JORNADA!T133+'DIETOLOGÍA(S)'!T133)</f>
        <v>100</v>
      </c>
      <c r="U133" s="77">
        <f>SUM(PACIENTES!U133+COMEDOR!U133+JORNADA!U133+'DIETOLOGÍA(S)'!U133)</f>
        <v>75</v>
      </c>
      <c r="V133" s="77">
        <f>SUM(PACIENTES!V133+COMEDOR!V133+JORNADA!V133+'DIETOLOGÍA(S)'!V133)</f>
        <v>30</v>
      </c>
      <c r="W133" s="77">
        <f>SUM(PACIENTES!W133+COMEDOR!W133+JORNADA!W133+'DIETOLOGÍA(S)'!W133)</f>
        <v>145</v>
      </c>
      <c r="X133" s="77">
        <f>SUM(PACIENTES!X133+COMEDOR!X133+JORNADA!X133+'DIETOLOGÍA(S)'!X133)</f>
        <v>75</v>
      </c>
      <c r="Y133" s="77">
        <f>SUM(PACIENTES!Y133+COMEDOR!Y133+JORNADA!Y133+'DIETOLOGÍA(S)'!Y133)</f>
        <v>0</v>
      </c>
      <c r="Z133" s="77">
        <f>SUM(PACIENTES!Z133+COMEDOR!Z133+JORNADA!Z133+'DIETOLOGÍA(S)'!Z133)</f>
        <v>30</v>
      </c>
      <c r="AA133" s="77">
        <f>SUM(PACIENTES!AA133+COMEDOR!AA133+JORNADA!AA133+'DIETOLOGÍA(S)'!AA133)</f>
        <v>140</v>
      </c>
      <c r="AB133" s="77">
        <f>SUM(PACIENTES!AB133+COMEDOR!AB133+JORNADA!AB133+'DIETOLOGÍA(S)'!AB133)</f>
        <v>135</v>
      </c>
      <c r="AC133" s="77">
        <f>SUM(PACIENTES!AC133+COMEDOR!AC133+JORNADA!AC133+'DIETOLOGÍA(S)'!AC133)</f>
        <v>65</v>
      </c>
      <c r="AD133" s="77">
        <f>SUM(PACIENTES!AD133+COMEDOR!AD133+JORNADA!AD133+'DIETOLOGÍA(S)'!AD133)</f>
        <v>31</v>
      </c>
      <c r="AE133" s="77">
        <f>SUM(PACIENTES!AE133+COMEDOR!AE133+JORNADA!AE133+'DIETOLOGÍA(S)'!AE133)</f>
        <v>65</v>
      </c>
      <c r="AF133" s="77">
        <f>SUM(PACIENTES!AF133+COMEDOR!AF133+JORNADA!AF133+'DIETOLOGÍA(S)'!AF133)</f>
        <v>0</v>
      </c>
      <c r="AG133" s="77">
        <f>SUM(PACIENTES!AG133+COMEDOR!AG133+JORNADA!AG133+'DIETOLOGÍA(S)'!AG133)</f>
        <v>115</v>
      </c>
      <c r="AH133" s="77">
        <f>SUM(PACIENTES!AH133+COMEDOR!AH133+JORNADA!AH133+'DIETOLOGÍA(S)'!AH133)</f>
        <v>95</v>
      </c>
      <c r="AI133" s="48">
        <f t="shared" ref="AI133:AI141" si="4">SUM(D133:AH133)</f>
        <v>2032</v>
      </c>
    </row>
    <row r="134" spans="1:35" ht="15.75" customHeight="1">
      <c r="A134" s="103">
        <v>2212006003</v>
      </c>
      <c r="B134" s="104" t="s">
        <v>139</v>
      </c>
      <c r="C134" s="105" t="s">
        <v>6</v>
      </c>
      <c r="D134" s="77">
        <f>SUM(PACIENTES!D134+COMEDOR!D134+JORNADA!D134+'DIETOLOGÍA(S)'!D134)</f>
        <v>0</v>
      </c>
      <c r="E134" s="77">
        <f>SUM(PACIENTES!E134+COMEDOR!E134+JORNADA!E134+'DIETOLOGÍA(S)'!E134)</f>
        <v>0</v>
      </c>
      <c r="F134" s="77">
        <f>SUM(PACIENTES!F134+COMEDOR!F134+JORNADA!F134+'DIETOLOGÍA(S)'!F134)</f>
        <v>40</v>
      </c>
      <c r="G134" s="77">
        <f>SUM(PACIENTES!G134+COMEDOR!G134+JORNADA!G134+'DIETOLOGÍA(S)'!G134)</f>
        <v>0</v>
      </c>
      <c r="H134" s="77">
        <f>SUM(PACIENTES!H134+COMEDOR!H134+JORNADA!H134+'DIETOLOGÍA(S)'!H134)</f>
        <v>0</v>
      </c>
      <c r="I134" s="77">
        <f>SUM(PACIENTES!I134+COMEDOR!I134+JORNADA!I134+'DIETOLOGÍA(S)'!I134)</f>
        <v>0</v>
      </c>
      <c r="J134" s="77">
        <f>SUM(PACIENTES!J134+COMEDOR!J134+JORNADA!J134+'DIETOLOGÍA(S)'!J134)</f>
        <v>70</v>
      </c>
      <c r="K134" s="77">
        <f>SUM(PACIENTES!K134+COMEDOR!K134+JORNADA!K134+'DIETOLOGÍA(S)'!K134)</f>
        <v>0</v>
      </c>
      <c r="L134" s="77">
        <f>SUM(PACIENTES!L134+COMEDOR!L134+JORNADA!L134+'DIETOLOGÍA(S)'!L134)</f>
        <v>0</v>
      </c>
      <c r="M134" s="77">
        <f>SUM(PACIENTES!M134+COMEDOR!M134+JORNADA!M134+'DIETOLOGÍA(S)'!M134)</f>
        <v>0</v>
      </c>
      <c r="N134" s="77">
        <f>SUM(PACIENTES!N134+COMEDOR!N134+JORNADA!N134+'DIETOLOGÍA(S)'!N134)</f>
        <v>0</v>
      </c>
      <c r="O134" s="77">
        <f>SUM(PACIENTES!O134+COMEDOR!O134+JORNADA!O134+'DIETOLOGÍA(S)'!O134)</f>
        <v>0</v>
      </c>
      <c r="P134" s="77">
        <f>SUM(PACIENTES!P134+COMEDOR!P134+JORNADA!P134+'DIETOLOGÍA(S)'!P134)</f>
        <v>0</v>
      </c>
      <c r="Q134" s="77">
        <f>SUM(PACIENTES!Q134+COMEDOR!Q134+JORNADA!Q134+'DIETOLOGÍA(S)'!Q134)</f>
        <v>0</v>
      </c>
      <c r="R134" s="77">
        <f>SUM(PACIENTES!R134+COMEDOR!R134+JORNADA!R134+'DIETOLOGÍA(S)'!R134)</f>
        <v>60</v>
      </c>
      <c r="S134" s="77">
        <f>SUM(PACIENTES!S134+COMEDOR!S134+JORNADA!S134+'DIETOLOGÍA(S)'!S134)</f>
        <v>0</v>
      </c>
      <c r="T134" s="77">
        <f>SUM(PACIENTES!T134+COMEDOR!T134+JORNADA!T134+'DIETOLOGÍA(S)'!T134)</f>
        <v>0</v>
      </c>
      <c r="U134" s="77">
        <f>SUM(PACIENTES!U134+COMEDOR!U134+JORNADA!U134+'DIETOLOGÍA(S)'!U134)</f>
        <v>0</v>
      </c>
      <c r="V134" s="77">
        <f>SUM(PACIENTES!V134+COMEDOR!V134+JORNADA!V134+'DIETOLOGÍA(S)'!V134)</f>
        <v>75</v>
      </c>
      <c r="W134" s="77">
        <f>SUM(PACIENTES!W134+COMEDOR!W134+JORNADA!W134+'DIETOLOGÍA(S)'!W134)</f>
        <v>0</v>
      </c>
      <c r="X134" s="77">
        <f>SUM(PACIENTES!X134+COMEDOR!X134+JORNADA!X134+'DIETOLOGÍA(S)'!X134)</f>
        <v>2</v>
      </c>
      <c r="Y134" s="77">
        <f>SUM(PACIENTES!Y134+COMEDOR!Y134+JORNADA!Y134+'DIETOLOGÍA(S)'!Y134)</f>
        <v>70</v>
      </c>
      <c r="Z134" s="77">
        <f>SUM(PACIENTES!Z134+COMEDOR!Z134+JORNADA!Z134+'DIETOLOGÍA(S)'!Z134)</f>
        <v>0</v>
      </c>
      <c r="AA134" s="77">
        <f>SUM(PACIENTES!AA134+COMEDOR!AA134+JORNADA!AA134+'DIETOLOGÍA(S)'!AA134)</f>
        <v>0</v>
      </c>
      <c r="AB134" s="77">
        <f>SUM(PACIENTES!AB134+COMEDOR!AB134+JORNADA!AB134+'DIETOLOGÍA(S)'!AB134)</f>
        <v>0</v>
      </c>
      <c r="AC134" s="77">
        <f>SUM(PACIENTES!AC134+COMEDOR!AC134+JORNADA!AC134+'DIETOLOGÍA(S)'!AC134)</f>
        <v>0</v>
      </c>
      <c r="AD134" s="77">
        <f>SUM(PACIENTES!AD134+COMEDOR!AD134+JORNADA!AD134+'DIETOLOGÍA(S)'!AD134)</f>
        <v>75</v>
      </c>
      <c r="AE134" s="77">
        <f>SUM(PACIENTES!AE134+COMEDOR!AE134+JORNADA!AE134+'DIETOLOGÍA(S)'!AE134)</f>
        <v>0</v>
      </c>
      <c r="AF134" s="77">
        <f>SUM(PACIENTES!AF134+COMEDOR!AF134+JORNADA!AF134+'DIETOLOGÍA(S)'!AF134)</f>
        <v>0</v>
      </c>
      <c r="AG134" s="77">
        <f>SUM(PACIENTES!AG134+COMEDOR!AG134+JORNADA!AG134+'DIETOLOGÍA(S)'!AG134)</f>
        <v>60</v>
      </c>
      <c r="AH134" s="77">
        <f>SUM(PACIENTES!AH134+COMEDOR!AH134+JORNADA!AH134+'DIETOLOGÍA(S)'!AH134)</f>
        <v>0</v>
      </c>
      <c r="AI134" s="9">
        <f t="shared" si="4"/>
        <v>452</v>
      </c>
    </row>
    <row r="135" spans="1:35" ht="15.75" customHeight="1">
      <c r="A135" s="103">
        <v>2212006004</v>
      </c>
      <c r="B135" s="106" t="s">
        <v>140</v>
      </c>
      <c r="C135" s="105" t="s">
        <v>6</v>
      </c>
      <c r="D135" s="77">
        <f>SUM(PACIENTES!D135+COMEDOR!D135+JORNADA!D135+'DIETOLOGÍA(S)'!D135)</f>
        <v>75</v>
      </c>
      <c r="E135" s="77">
        <f>SUM(PACIENTES!E135+COMEDOR!E135+JORNADA!E135+'DIETOLOGÍA(S)'!E135)</f>
        <v>0</v>
      </c>
      <c r="F135" s="77">
        <f>SUM(PACIENTES!F135+COMEDOR!F135+JORNADA!F135+'DIETOLOGÍA(S)'!F135)</f>
        <v>70</v>
      </c>
      <c r="G135" s="77">
        <f>SUM(PACIENTES!G135+COMEDOR!G135+JORNADA!G135+'DIETOLOGÍA(S)'!G135)</f>
        <v>0</v>
      </c>
      <c r="H135" s="77">
        <f>SUM(PACIENTES!H135+COMEDOR!H135+JORNADA!H135+'DIETOLOGÍA(S)'!H135)</f>
        <v>25</v>
      </c>
      <c r="I135" s="77">
        <f>SUM(PACIENTES!I135+COMEDOR!I135+JORNADA!I135+'DIETOLOGÍA(S)'!I135)</f>
        <v>78</v>
      </c>
      <c r="J135" s="77">
        <f>SUM(PACIENTES!J135+COMEDOR!J135+JORNADA!J135+'DIETOLOGÍA(S)'!J135)</f>
        <v>47</v>
      </c>
      <c r="K135" s="77">
        <f>SUM(PACIENTES!K135+COMEDOR!K135+JORNADA!K135+'DIETOLOGÍA(S)'!K135)</f>
        <v>75</v>
      </c>
      <c r="L135" s="77">
        <f>SUM(PACIENTES!L135+COMEDOR!L135+JORNADA!L135+'DIETOLOGÍA(S)'!L135)</f>
        <v>75</v>
      </c>
      <c r="M135" s="77">
        <f>SUM(PACIENTES!M135+COMEDOR!M135+JORNADA!M135+'DIETOLOGÍA(S)'!M135)</f>
        <v>76</v>
      </c>
      <c r="N135" s="77">
        <f>SUM(PACIENTES!N135+COMEDOR!N135+JORNADA!N135+'DIETOLOGÍA(S)'!N135)</f>
        <v>0</v>
      </c>
      <c r="O135" s="77">
        <f>SUM(PACIENTES!O135+COMEDOR!O135+JORNADA!O135+'DIETOLOGÍA(S)'!O135)</f>
        <v>70</v>
      </c>
      <c r="P135" s="77">
        <f>SUM(PACIENTES!P135+COMEDOR!P135+JORNADA!P135+'DIETOLOGÍA(S)'!P135)</f>
        <v>3</v>
      </c>
      <c r="Q135" s="77">
        <f>SUM(PACIENTES!Q135+COMEDOR!Q135+JORNADA!Q135+'DIETOLOGÍA(S)'!Q135)</f>
        <v>32</v>
      </c>
      <c r="R135" s="77">
        <f>SUM(PACIENTES!R135+COMEDOR!R135+JORNADA!R135+'DIETOLOGÍA(S)'!R135)</f>
        <v>55</v>
      </c>
      <c r="S135" s="77">
        <f>SUM(PACIENTES!S135+COMEDOR!S135+JORNADA!S135+'DIETOLOGÍA(S)'!S135)</f>
        <v>75</v>
      </c>
      <c r="T135" s="77">
        <f>SUM(PACIENTES!T135+COMEDOR!T135+JORNADA!T135+'DIETOLOGÍA(S)'!T135)</f>
        <v>25</v>
      </c>
      <c r="U135" s="77">
        <f>SUM(PACIENTES!U135+COMEDOR!U135+JORNADA!U135+'DIETOLOGÍA(S)'!U135)</f>
        <v>0</v>
      </c>
      <c r="V135" s="77">
        <f>SUM(PACIENTES!V135+COMEDOR!V135+JORNADA!V135+'DIETOLOGÍA(S)'!V135)</f>
        <v>115</v>
      </c>
      <c r="W135" s="77">
        <f>SUM(PACIENTES!W135+COMEDOR!W135+JORNADA!W135+'DIETOLOGÍA(S)'!W135)</f>
        <v>3</v>
      </c>
      <c r="X135" s="77">
        <f>SUM(PACIENTES!X135+COMEDOR!X135+JORNADA!X135+'DIETOLOGÍA(S)'!X135)</f>
        <v>82</v>
      </c>
      <c r="Y135" s="77">
        <f>SUM(PACIENTES!Y135+COMEDOR!Y135+JORNADA!Y135+'DIETOLOGÍA(S)'!Y135)</f>
        <v>0</v>
      </c>
      <c r="Z135" s="77">
        <f>SUM(PACIENTES!Z135+COMEDOR!Z135+JORNADA!Z135+'DIETOLOGÍA(S)'!Z135)</f>
        <v>75</v>
      </c>
      <c r="AA135" s="77">
        <f>SUM(PACIENTES!AA135+COMEDOR!AA135+JORNADA!AA135+'DIETOLOGÍA(S)'!AA135)</f>
        <v>0</v>
      </c>
      <c r="AB135" s="77">
        <f>SUM(PACIENTES!AB135+COMEDOR!AB135+JORNADA!AB135+'DIETOLOGÍA(S)'!AB135)</f>
        <v>0</v>
      </c>
      <c r="AC135" s="77">
        <f>SUM(PACIENTES!AC135+COMEDOR!AC135+JORNADA!AC135+'DIETOLOGÍA(S)'!AC135)</f>
        <v>85</v>
      </c>
      <c r="AD135" s="77">
        <f>SUM(PACIENTES!AD135+COMEDOR!AD135+JORNADA!AD135+'DIETOLOGÍA(S)'!AD135)</f>
        <v>29</v>
      </c>
      <c r="AE135" s="77">
        <f>SUM(PACIENTES!AE135+COMEDOR!AE135+JORNADA!AE135+'DIETOLOGÍA(S)'!AE135)</f>
        <v>7</v>
      </c>
      <c r="AF135" s="77">
        <f>SUM(PACIENTES!AF135+COMEDOR!AF135+JORNADA!AF135+'DIETOLOGÍA(S)'!AF135)</f>
        <v>0</v>
      </c>
      <c r="AG135" s="77">
        <f>SUM(PACIENTES!AG135+COMEDOR!AG135+JORNADA!AG135+'DIETOLOGÍA(S)'!AG135)</f>
        <v>35</v>
      </c>
      <c r="AH135" s="77">
        <f>SUM(PACIENTES!AH135+COMEDOR!AH135+JORNADA!AH135+'DIETOLOGÍA(S)'!AH135)</f>
        <v>70</v>
      </c>
      <c r="AI135" s="9">
        <f t="shared" si="4"/>
        <v>1282</v>
      </c>
    </row>
    <row r="136" spans="1:35" ht="15.75" customHeight="1">
      <c r="A136" s="103">
        <v>2212006005</v>
      </c>
      <c r="B136" s="106" t="s">
        <v>141</v>
      </c>
      <c r="C136" s="105" t="s">
        <v>6</v>
      </c>
      <c r="D136" s="77">
        <f>SUM(PACIENTES!D136+COMEDOR!D136+JORNADA!D136+'DIETOLOGÍA(S)'!D136)</f>
        <v>0</v>
      </c>
      <c r="E136" s="77">
        <f>SUM(PACIENTES!E136+COMEDOR!E136+JORNADA!E136+'DIETOLOGÍA(S)'!E136)</f>
        <v>30</v>
      </c>
      <c r="F136" s="77">
        <f>SUM(PACIENTES!F136+COMEDOR!F136+JORNADA!F136+'DIETOLOGÍA(S)'!F136)</f>
        <v>0</v>
      </c>
      <c r="G136" s="77">
        <f>SUM(PACIENTES!G136+COMEDOR!G136+JORNADA!G136+'DIETOLOGÍA(S)'!G136)</f>
        <v>0</v>
      </c>
      <c r="H136" s="77">
        <f>SUM(PACIENTES!H136+COMEDOR!H136+JORNADA!H136+'DIETOLOGÍA(S)'!H136)</f>
        <v>0</v>
      </c>
      <c r="I136" s="77">
        <f>SUM(PACIENTES!I136+COMEDOR!I136+JORNADA!I136+'DIETOLOGÍA(S)'!I136)</f>
        <v>0</v>
      </c>
      <c r="J136" s="77">
        <f>SUM(PACIENTES!J136+COMEDOR!J136+JORNADA!J136+'DIETOLOGÍA(S)'!J136)</f>
        <v>0</v>
      </c>
      <c r="K136" s="77">
        <f>SUM(PACIENTES!K136+COMEDOR!K136+JORNADA!K136+'DIETOLOGÍA(S)'!K136)</f>
        <v>30</v>
      </c>
      <c r="L136" s="77">
        <f>SUM(PACIENTES!L136+COMEDOR!L136+JORNADA!L136+'DIETOLOGÍA(S)'!L136)</f>
        <v>0</v>
      </c>
      <c r="M136" s="77">
        <f>SUM(PACIENTES!M136+COMEDOR!M136+JORNADA!M136+'DIETOLOGÍA(S)'!M136)</f>
        <v>0</v>
      </c>
      <c r="N136" s="77">
        <f>SUM(PACIENTES!N136+COMEDOR!N136+JORNADA!N136+'DIETOLOGÍA(S)'!N136)</f>
        <v>0</v>
      </c>
      <c r="O136" s="77">
        <f>SUM(PACIENTES!O136+COMEDOR!O136+JORNADA!O136+'DIETOLOGÍA(S)'!O136)</f>
        <v>0</v>
      </c>
      <c r="P136" s="77">
        <f>SUM(PACIENTES!P136+COMEDOR!P136+JORNADA!P136+'DIETOLOGÍA(S)'!P136)</f>
        <v>70</v>
      </c>
      <c r="Q136" s="77">
        <f>SUM(PACIENTES!Q136+COMEDOR!Q136+JORNADA!Q136+'DIETOLOGÍA(S)'!Q136)</f>
        <v>0</v>
      </c>
      <c r="R136" s="77">
        <f>SUM(PACIENTES!R136+COMEDOR!R136+JORNADA!R136+'DIETOLOGÍA(S)'!R136)</f>
        <v>0</v>
      </c>
      <c r="S136" s="77">
        <f>SUM(PACIENTES!S136+COMEDOR!S136+JORNADA!S136+'DIETOLOGÍA(S)'!S136)</f>
        <v>0</v>
      </c>
      <c r="T136" s="77">
        <f>SUM(PACIENTES!T136+COMEDOR!T136+JORNADA!T136+'DIETOLOGÍA(S)'!T136)</f>
        <v>0</v>
      </c>
      <c r="U136" s="77">
        <f>SUM(PACIENTES!U136+COMEDOR!U136+JORNADA!U136+'DIETOLOGÍA(S)'!U136)</f>
        <v>0</v>
      </c>
      <c r="V136" s="77">
        <f>SUM(PACIENTES!V136+COMEDOR!V136+JORNADA!V136+'DIETOLOGÍA(S)'!V136)</f>
        <v>0</v>
      </c>
      <c r="W136" s="77">
        <f>SUM(PACIENTES!W136+COMEDOR!W136+JORNADA!W136+'DIETOLOGÍA(S)'!W136)</f>
        <v>0</v>
      </c>
      <c r="X136" s="77">
        <f>SUM(PACIENTES!X136+COMEDOR!X136+JORNADA!X136+'DIETOLOGÍA(S)'!X136)</f>
        <v>0</v>
      </c>
      <c r="Y136" s="77">
        <f>SUM(PACIENTES!Y136+COMEDOR!Y136+JORNADA!Y136+'DIETOLOGÍA(S)'!Y136)</f>
        <v>0</v>
      </c>
      <c r="Z136" s="77">
        <f>SUM(PACIENTES!Z136+COMEDOR!Z136+JORNADA!Z136+'DIETOLOGÍA(S)'!Z136)</f>
        <v>30</v>
      </c>
      <c r="AA136" s="77">
        <f>SUM(PACIENTES!AA136+COMEDOR!AA136+JORNADA!AA136+'DIETOLOGÍA(S)'!AA136)</f>
        <v>0</v>
      </c>
      <c r="AB136" s="77">
        <f>SUM(PACIENTES!AB136+COMEDOR!AB136+JORNADA!AB136+'DIETOLOGÍA(S)'!AB136)</f>
        <v>0</v>
      </c>
      <c r="AC136" s="77">
        <f>SUM(PACIENTES!AC136+COMEDOR!AC136+JORNADA!AC136+'DIETOLOGÍA(S)'!AC136)</f>
        <v>0</v>
      </c>
      <c r="AD136" s="77">
        <f>SUM(PACIENTES!AD136+COMEDOR!AD136+JORNADA!AD136+'DIETOLOGÍA(S)'!AD136)</f>
        <v>0</v>
      </c>
      <c r="AE136" s="77">
        <f>SUM(PACIENTES!AE136+COMEDOR!AE136+JORNADA!AE136+'DIETOLOGÍA(S)'!AE136)</f>
        <v>70</v>
      </c>
      <c r="AF136" s="77">
        <f>SUM(PACIENTES!AF136+COMEDOR!AF136+JORNADA!AF136+'DIETOLOGÍA(S)'!AF136)</f>
        <v>0</v>
      </c>
      <c r="AG136" s="77">
        <f>SUM(PACIENTES!AG136+COMEDOR!AG136+JORNADA!AG136+'DIETOLOGÍA(S)'!AG136)</f>
        <v>0</v>
      </c>
      <c r="AH136" s="77">
        <f>SUM(PACIENTES!AH136+COMEDOR!AH136+JORNADA!AH136+'DIETOLOGÍA(S)'!AH136)</f>
        <v>45</v>
      </c>
      <c r="AI136" s="9">
        <f t="shared" si="4"/>
        <v>275</v>
      </c>
    </row>
    <row r="137" spans="1:35" ht="15.75" customHeight="1">
      <c r="A137" s="103">
        <v>2212006006</v>
      </c>
      <c r="B137" s="106" t="s">
        <v>142</v>
      </c>
      <c r="C137" s="105" t="s">
        <v>6</v>
      </c>
      <c r="D137" s="77">
        <f>SUM(PACIENTES!D137+COMEDOR!D137+JORNADA!D137+'DIETOLOGÍA(S)'!D137)</f>
        <v>0</v>
      </c>
      <c r="E137" s="77">
        <f>SUM(PACIENTES!E137+COMEDOR!E137+JORNADA!E137+'DIETOLOGÍA(S)'!E137)</f>
        <v>0</v>
      </c>
      <c r="F137" s="77">
        <f>SUM(PACIENTES!F137+COMEDOR!F137+JORNADA!F137+'DIETOLOGÍA(S)'!F137)</f>
        <v>0</v>
      </c>
      <c r="G137" s="77">
        <f>SUM(PACIENTES!G137+COMEDOR!G137+JORNADA!G137+'DIETOLOGÍA(S)'!G137)</f>
        <v>0</v>
      </c>
      <c r="H137" s="77">
        <f>SUM(PACIENTES!H137+COMEDOR!H137+JORNADA!H137+'DIETOLOGÍA(S)'!H137)</f>
        <v>30</v>
      </c>
      <c r="I137" s="77">
        <f>SUM(PACIENTES!I137+COMEDOR!I137+JORNADA!I137+'DIETOLOGÍA(S)'!I137)</f>
        <v>0</v>
      </c>
      <c r="J137" s="77">
        <f>SUM(PACIENTES!J137+COMEDOR!J137+JORNADA!J137+'DIETOLOGÍA(S)'!J137)</f>
        <v>2</v>
      </c>
      <c r="K137" s="77">
        <f>SUM(PACIENTES!K137+COMEDOR!K137+JORNADA!K137+'DIETOLOGÍA(S)'!K137)</f>
        <v>0</v>
      </c>
      <c r="L137" s="77">
        <f>SUM(PACIENTES!L137+COMEDOR!L137+JORNADA!L137+'DIETOLOGÍA(S)'!L137)</f>
        <v>0</v>
      </c>
      <c r="M137" s="77">
        <f>SUM(PACIENTES!M137+COMEDOR!M137+JORNADA!M137+'DIETOLOGÍA(S)'!M137)</f>
        <v>0</v>
      </c>
      <c r="N137" s="77">
        <f>SUM(PACIENTES!N137+COMEDOR!N137+JORNADA!N137+'DIETOLOGÍA(S)'!N137)</f>
        <v>0</v>
      </c>
      <c r="O137" s="77">
        <f>SUM(PACIENTES!O137+COMEDOR!O137+JORNADA!O137+'DIETOLOGÍA(S)'!O137)</f>
        <v>0</v>
      </c>
      <c r="P137" s="77">
        <f>SUM(PACIENTES!P137+COMEDOR!P137+JORNADA!P137+'DIETOLOGÍA(S)'!P137)</f>
        <v>40</v>
      </c>
      <c r="Q137" s="77">
        <f>SUM(PACIENTES!Q137+COMEDOR!Q137+JORNADA!Q137+'DIETOLOGÍA(S)'!Q137)</f>
        <v>72</v>
      </c>
      <c r="R137" s="77">
        <f>SUM(PACIENTES!R137+COMEDOR!R137+JORNADA!R137+'DIETOLOGÍA(S)'!R137)</f>
        <v>0</v>
      </c>
      <c r="S137" s="77">
        <f>SUM(PACIENTES!S137+COMEDOR!S137+JORNADA!S137+'DIETOLOGÍA(S)'!S137)</f>
        <v>0</v>
      </c>
      <c r="T137" s="77">
        <f>SUM(PACIENTES!T137+COMEDOR!T137+JORNADA!T137+'DIETOLOGÍA(S)'!T137)</f>
        <v>0</v>
      </c>
      <c r="U137" s="77">
        <f>SUM(PACIENTES!U137+COMEDOR!U137+JORNADA!U137+'DIETOLOGÍA(S)'!U137)</f>
        <v>0</v>
      </c>
      <c r="V137" s="77">
        <f>SUM(PACIENTES!V137+COMEDOR!V137+JORNADA!V137+'DIETOLOGÍA(S)'!V137)</f>
        <v>0</v>
      </c>
      <c r="W137" s="77">
        <f>SUM(PACIENTES!W137+COMEDOR!W137+JORNADA!W137+'DIETOLOGÍA(S)'!W137)</f>
        <v>0</v>
      </c>
      <c r="X137" s="77">
        <f>SUM(PACIENTES!X137+COMEDOR!X137+JORNADA!X137+'DIETOLOGÍA(S)'!X137)</f>
        <v>2</v>
      </c>
      <c r="Y137" s="77">
        <f>SUM(PACIENTES!Y137+COMEDOR!Y137+JORNADA!Y137+'DIETOLOGÍA(S)'!Y137)</f>
        <v>0</v>
      </c>
      <c r="Z137" s="77">
        <f>SUM(PACIENTES!Z137+COMEDOR!Z137+JORNADA!Z137+'DIETOLOGÍA(S)'!Z137)</f>
        <v>0</v>
      </c>
      <c r="AA137" s="77">
        <f>SUM(PACIENTES!AA137+COMEDOR!AA137+JORNADA!AA137+'DIETOLOGÍA(S)'!AA137)</f>
        <v>0</v>
      </c>
      <c r="AB137" s="77">
        <f>SUM(PACIENTES!AB137+COMEDOR!AB137+JORNADA!AB137+'DIETOLOGÍA(S)'!AB137)</f>
        <v>0</v>
      </c>
      <c r="AC137" s="77">
        <f>SUM(PACIENTES!AC137+COMEDOR!AC137+JORNADA!AC137+'DIETOLOGÍA(S)'!AC137)</f>
        <v>33</v>
      </c>
      <c r="AD137" s="77">
        <f>SUM(PACIENTES!AD137+COMEDOR!AD137+JORNADA!AD137+'DIETOLOGÍA(S)'!AD137)</f>
        <v>0</v>
      </c>
      <c r="AE137" s="77">
        <f>SUM(PACIENTES!AE137+COMEDOR!AE137+JORNADA!AE137+'DIETOLOGÍA(S)'!AE137)</f>
        <v>2</v>
      </c>
      <c r="AF137" s="77">
        <f>SUM(PACIENTES!AF137+COMEDOR!AF137+JORNADA!AF137+'DIETOLOGÍA(S)'!AF137)</f>
        <v>70</v>
      </c>
      <c r="AG137" s="77">
        <f>SUM(PACIENTES!AG137+COMEDOR!AG137+JORNADA!AG137+'DIETOLOGÍA(S)'!AG137)</f>
        <v>0</v>
      </c>
      <c r="AH137" s="77">
        <f>SUM(PACIENTES!AH137+COMEDOR!AH137+JORNADA!AH137+'DIETOLOGÍA(S)'!AH137)</f>
        <v>0</v>
      </c>
      <c r="AI137" s="9">
        <f t="shared" si="4"/>
        <v>251</v>
      </c>
    </row>
    <row r="138" spans="1:35" ht="15.75" customHeight="1">
      <c r="A138" s="103">
        <v>2212006009</v>
      </c>
      <c r="B138" s="106" t="s">
        <v>143</v>
      </c>
      <c r="C138" s="105" t="s">
        <v>6</v>
      </c>
      <c r="D138" s="77">
        <f>SUM(PACIENTES!D138+COMEDOR!D138+JORNADA!D138+'DIETOLOGÍA(S)'!D138)</f>
        <v>0</v>
      </c>
      <c r="E138" s="77">
        <f>SUM(PACIENTES!E138+COMEDOR!E138+JORNADA!E138+'DIETOLOGÍA(S)'!E138)</f>
        <v>0</v>
      </c>
      <c r="F138" s="77">
        <f>SUM(PACIENTES!F138+COMEDOR!F138+JORNADA!F138+'DIETOLOGÍA(S)'!F138)</f>
        <v>30</v>
      </c>
      <c r="G138" s="77">
        <f>SUM(PACIENTES!G138+COMEDOR!G138+JORNADA!G138+'DIETOLOGÍA(S)'!G138)</f>
        <v>0</v>
      </c>
      <c r="H138" s="77">
        <f>SUM(PACIENTES!H138+COMEDOR!H138+JORNADA!H138+'DIETOLOGÍA(S)'!H138)</f>
        <v>0</v>
      </c>
      <c r="I138" s="77">
        <f>SUM(PACIENTES!I138+COMEDOR!I138+JORNADA!I138+'DIETOLOGÍA(S)'!I138)</f>
        <v>0</v>
      </c>
      <c r="J138" s="77">
        <f>SUM(PACIENTES!J138+COMEDOR!J138+JORNADA!J138+'DIETOLOGÍA(S)'!J138)</f>
        <v>3</v>
      </c>
      <c r="K138" s="77">
        <f>SUM(PACIENTES!K138+COMEDOR!K138+JORNADA!K138+'DIETOLOGÍA(S)'!K138)</f>
        <v>0</v>
      </c>
      <c r="L138" s="77">
        <f>SUM(PACIENTES!L138+COMEDOR!L138+JORNADA!L138+'DIETOLOGÍA(S)'!L138)</f>
        <v>0</v>
      </c>
      <c r="M138" s="77">
        <f>SUM(PACIENTES!M138+COMEDOR!M138+JORNADA!M138+'DIETOLOGÍA(S)'!M138)</f>
        <v>30</v>
      </c>
      <c r="N138" s="77">
        <f>SUM(PACIENTES!N138+COMEDOR!N138+JORNADA!N138+'DIETOLOGÍA(S)'!N138)</f>
        <v>0</v>
      </c>
      <c r="O138" s="77">
        <f>SUM(PACIENTES!O138+COMEDOR!O138+JORNADA!O138+'DIETOLOGÍA(S)'!O138)</f>
        <v>0</v>
      </c>
      <c r="P138" s="77">
        <f>SUM(PACIENTES!P138+COMEDOR!P138+JORNADA!P138+'DIETOLOGÍA(S)'!P138)</f>
        <v>11</v>
      </c>
      <c r="Q138" s="77">
        <f>SUM(PACIENTES!Q138+COMEDOR!Q138+JORNADA!Q138+'DIETOLOGÍA(S)'!Q138)</f>
        <v>3</v>
      </c>
      <c r="R138" s="77">
        <f>SUM(PACIENTES!R138+COMEDOR!R138+JORNADA!R138+'DIETOLOGÍA(S)'!R138)</f>
        <v>0</v>
      </c>
      <c r="S138" s="77">
        <f>SUM(PACIENTES!S138+COMEDOR!S138+JORNADA!S138+'DIETOLOGÍA(S)'!S138)</f>
        <v>0</v>
      </c>
      <c r="T138" s="77">
        <f>SUM(PACIENTES!T138+COMEDOR!T138+JORNADA!T138+'DIETOLOGÍA(S)'!T138)</f>
        <v>0</v>
      </c>
      <c r="U138" s="77">
        <f>SUM(PACIENTES!U138+COMEDOR!U138+JORNADA!U138+'DIETOLOGÍA(S)'!U138)</f>
        <v>0</v>
      </c>
      <c r="V138" s="77">
        <f>SUM(PACIENTES!V138+COMEDOR!V138+JORNADA!V138+'DIETOLOGÍA(S)'!V138)</f>
        <v>30</v>
      </c>
      <c r="W138" s="77">
        <f>SUM(PACIENTES!W138+COMEDOR!W138+JORNADA!W138+'DIETOLOGÍA(S)'!W138)</f>
        <v>0</v>
      </c>
      <c r="X138" s="77">
        <f>SUM(PACIENTES!X138+COMEDOR!X138+JORNADA!X138+'DIETOLOGÍA(S)'!X138)</f>
        <v>3</v>
      </c>
      <c r="Y138" s="77">
        <f>SUM(PACIENTES!Y138+COMEDOR!Y138+JORNADA!Y138+'DIETOLOGÍA(S)'!Y138)</f>
        <v>0</v>
      </c>
      <c r="Z138" s="77">
        <f>SUM(PACIENTES!Z138+COMEDOR!Z138+JORNADA!Z138+'DIETOLOGÍA(S)'!Z138)</f>
        <v>0</v>
      </c>
      <c r="AA138" s="77">
        <f>SUM(PACIENTES!AA138+COMEDOR!AA138+JORNADA!AA138+'DIETOLOGÍA(S)'!AA138)</f>
        <v>0</v>
      </c>
      <c r="AB138" s="77">
        <f>SUM(PACIENTES!AB138+COMEDOR!AB138+JORNADA!AB138+'DIETOLOGÍA(S)'!AB138)</f>
        <v>0</v>
      </c>
      <c r="AC138" s="77">
        <f>SUM(PACIENTES!AC138+COMEDOR!AC138+JORNADA!AC138+'DIETOLOGÍA(S)'!AC138)</f>
        <v>0</v>
      </c>
      <c r="AD138" s="77">
        <f>SUM(PACIENTES!AD138+COMEDOR!AD138+JORNADA!AD138+'DIETOLOGÍA(S)'!AD138)</f>
        <v>1</v>
      </c>
      <c r="AE138" s="77">
        <f>SUM(PACIENTES!AE138+COMEDOR!AE138+JORNADA!AE138+'DIETOLOGÍA(S)'!AE138)</f>
        <v>13</v>
      </c>
      <c r="AF138" s="77">
        <f>SUM(PACIENTES!AF138+COMEDOR!AF138+JORNADA!AF138+'DIETOLOGÍA(S)'!AF138)</f>
        <v>0</v>
      </c>
      <c r="AG138" s="77">
        <f>SUM(PACIENTES!AG138+COMEDOR!AG138+JORNADA!AG138+'DIETOLOGÍA(S)'!AG138)</f>
        <v>0</v>
      </c>
      <c r="AH138" s="77">
        <f>SUM(PACIENTES!AH138+COMEDOR!AH138+JORNADA!AH138+'DIETOLOGÍA(S)'!AH138)</f>
        <v>0</v>
      </c>
      <c r="AI138" s="9">
        <f t="shared" si="4"/>
        <v>124</v>
      </c>
    </row>
    <row r="139" spans="1:35" ht="15.75" customHeight="1">
      <c r="A139" s="103">
        <v>2212006011</v>
      </c>
      <c r="B139" s="106" t="s">
        <v>144</v>
      </c>
      <c r="C139" s="105" t="s">
        <v>8</v>
      </c>
      <c r="D139" s="77">
        <f>SUM(PACIENTES!D139+COMEDOR!D139+JORNADA!D139+'DIETOLOGÍA(S)'!D139)</f>
        <v>0</v>
      </c>
      <c r="E139" s="77">
        <f>SUM(PACIENTES!E139+COMEDOR!E139+JORNADA!E139+'DIETOLOGÍA(S)'!E139)</f>
        <v>0</v>
      </c>
      <c r="F139" s="77">
        <f>SUM(PACIENTES!F139+COMEDOR!F139+JORNADA!F139+'DIETOLOGÍA(S)'!F139)</f>
        <v>0</v>
      </c>
      <c r="G139" s="77">
        <f>SUM(PACIENTES!G139+COMEDOR!G139+JORNADA!G139+'DIETOLOGÍA(S)'!G139)</f>
        <v>0</v>
      </c>
      <c r="H139" s="77">
        <f>SUM(PACIENTES!H139+COMEDOR!H139+JORNADA!H139+'DIETOLOGÍA(S)'!H139)</f>
        <v>0</v>
      </c>
      <c r="I139" s="77">
        <f>SUM(PACIENTES!I139+COMEDOR!I139+JORNADA!I139+'DIETOLOGÍA(S)'!I139)</f>
        <v>0</v>
      </c>
      <c r="J139" s="77">
        <f>SUM(PACIENTES!J139+COMEDOR!J139+JORNADA!J139+'DIETOLOGÍA(S)'!J139)</f>
        <v>0</v>
      </c>
      <c r="K139" s="77">
        <f>SUM(PACIENTES!K139+COMEDOR!K139+JORNADA!K139+'DIETOLOGÍA(S)'!K139)</f>
        <v>0</v>
      </c>
      <c r="L139" s="77">
        <f>SUM(PACIENTES!L139+COMEDOR!L139+JORNADA!L139+'DIETOLOGÍA(S)'!L139)</f>
        <v>0</v>
      </c>
      <c r="M139" s="77">
        <f>SUM(PACIENTES!M139+COMEDOR!M139+JORNADA!M139+'DIETOLOGÍA(S)'!M139)</f>
        <v>0</v>
      </c>
      <c r="N139" s="77">
        <f>SUM(PACIENTES!N139+COMEDOR!N139+JORNADA!N139+'DIETOLOGÍA(S)'!N139)</f>
        <v>0</v>
      </c>
      <c r="O139" s="77">
        <f>SUM(PACIENTES!O139+COMEDOR!O139+JORNADA!O139+'DIETOLOGÍA(S)'!O139)</f>
        <v>0</v>
      </c>
      <c r="P139" s="77">
        <f>SUM(PACIENTES!P139+COMEDOR!P139+JORNADA!P139+'DIETOLOGÍA(S)'!P139)</f>
        <v>0</v>
      </c>
      <c r="Q139" s="77">
        <f>SUM(PACIENTES!Q139+COMEDOR!Q139+JORNADA!Q139+'DIETOLOGÍA(S)'!Q139)</f>
        <v>0</v>
      </c>
      <c r="R139" s="77">
        <f>SUM(PACIENTES!R139+COMEDOR!R139+JORNADA!R139+'DIETOLOGÍA(S)'!R139)</f>
        <v>0</v>
      </c>
      <c r="S139" s="77">
        <f>SUM(PACIENTES!S139+COMEDOR!S139+JORNADA!S139+'DIETOLOGÍA(S)'!S139)</f>
        <v>0</v>
      </c>
      <c r="T139" s="77">
        <f>SUM(PACIENTES!T139+COMEDOR!T139+JORNADA!T139+'DIETOLOGÍA(S)'!T139)</f>
        <v>0</v>
      </c>
      <c r="U139" s="77">
        <f>SUM(PACIENTES!U139+COMEDOR!U139+JORNADA!U139+'DIETOLOGÍA(S)'!U139)</f>
        <v>0</v>
      </c>
      <c r="V139" s="77">
        <f>SUM(PACIENTES!V139+COMEDOR!V139+JORNADA!V139+'DIETOLOGÍA(S)'!V139)</f>
        <v>0</v>
      </c>
      <c r="W139" s="77">
        <f>SUM(PACIENTES!W139+COMEDOR!W139+JORNADA!W139+'DIETOLOGÍA(S)'!W139)</f>
        <v>0</v>
      </c>
      <c r="X139" s="77">
        <f>SUM(PACIENTES!X139+COMEDOR!X139+JORNADA!X139+'DIETOLOGÍA(S)'!X139)</f>
        <v>0</v>
      </c>
      <c r="Y139" s="77">
        <f>SUM(PACIENTES!Y139+COMEDOR!Y139+JORNADA!Y139+'DIETOLOGÍA(S)'!Y139)</f>
        <v>0</v>
      </c>
      <c r="Z139" s="77">
        <f>SUM(PACIENTES!Z139+COMEDOR!Z139+JORNADA!Z139+'DIETOLOGÍA(S)'!Z139)</f>
        <v>0</v>
      </c>
      <c r="AA139" s="77">
        <f>SUM(PACIENTES!AA139+COMEDOR!AA139+JORNADA!AA139+'DIETOLOGÍA(S)'!AA139)</f>
        <v>0</v>
      </c>
      <c r="AB139" s="77">
        <f>SUM(PACIENTES!AB139+COMEDOR!AB139+JORNADA!AB139+'DIETOLOGÍA(S)'!AB139)</f>
        <v>0</v>
      </c>
      <c r="AC139" s="77">
        <f>SUM(PACIENTES!AC139+COMEDOR!AC139+JORNADA!AC139+'DIETOLOGÍA(S)'!AC139)</f>
        <v>0</v>
      </c>
      <c r="AD139" s="77">
        <f>SUM(PACIENTES!AD139+COMEDOR!AD139+JORNADA!AD139+'DIETOLOGÍA(S)'!AD139)</f>
        <v>0</v>
      </c>
      <c r="AE139" s="77">
        <f>SUM(PACIENTES!AE139+COMEDOR!AE139+JORNADA!AE139+'DIETOLOGÍA(S)'!AE139)</f>
        <v>0</v>
      </c>
      <c r="AF139" s="77">
        <f>SUM(PACIENTES!AF139+COMEDOR!AF139+JORNADA!AF139+'DIETOLOGÍA(S)'!AF139)</f>
        <v>0</v>
      </c>
      <c r="AG139" s="77">
        <f>SUM(PACIENTES!AG139+COMEDOR!AG139+JORNADA!AG139+'DIETOLOGÍA(S)'!AG139)</f>
        <v>0</v>
      </c>
      <c r="AH139" s="77">
        <f>SUM(PACIENTES!AH139+COMEDOR!AH139+JORNADA!AH139+'DIETOLOGÍA(S)'!AH139)</f>
        <v>0</v>
      </c>
      <c r="AI139" s="9">
        <f t="shared" si="4"/>
        <v>0</v>
      </c>
    </row>
    <row r="140" spans="1:35" ht="15.75" customHeight="1">
      <c r="A140" s="103">
        <v>2212006012</v>
      </c>
      <c r="B140" s="106" t="s">
        <v>145</v>
      </c>
      <c r="C140" s="105" t="s">
        <v>8</v>
      </c>
      <c r="D140" s="77">
        <f>SUM(PACIENTES!D140+COMEDOR!D140+JORNADA!D140+'DIETOLOGÍA(S)'!D140)</f>
        <v>0</v>
      </c>
      <c r="E140" s="77">
        <f>SUM(PACIENTES!E140+COMEDOR!E140+JORNADA!E140+'DIETOLOGÍA(S)'!E140)</f>
        <v>0</v>
      </c>
      <c r="F140" s="77">
        <f>SUM(PACIENTES!F140+COMEDOR!F140+JORNADA!F140+'DIETOLOGÍA(S)'!F140)</f>
        <v>0</v>
      </c>
      <c r="G140" s="77">
        <f>SUM(PACIENTES!G140+COMEDOR!G140+JORNADA!G140+'DIETOLOGÍA(S)'!G140)</f>
        <v>0</v>
      </c>
      <c r="H140" s="77">
        <f>SUM(PACIENTES!H140+COMEDOR!H140+JORNADA!H140+'DIETOLOGÍA(S)'!H140)</f>
        <v>0</v>
      </c>
      <c r="I140" s="77">
        <f>SUM(PACIENTES!I140+COMEDOR!I140+JORNADA!I140+'DIETOLOGÍA(S)'!I140)</f>
        <v>0</v>
      </c>
      <c r="J140" s="77">
        <f>SUM(PACIENTES!J140+COMEDOR!J140+JORNADA!J140+'DIETOLOGÍA(S)'!J140)</f>
        <v>2</v>
      </c>
      <c r="K140" s="77">
        <f>SUM(PACIENTES!K140+COMEDOR!K140+JORNADA!K140+'DIETOLOGÍA(S)'!K140)</f>
        <v>0</v>
      </c>
      <c r="L140" s="77">
        <f>SUM(PACIENTES!L140+COMEDOR!L140+JORNADA!L140+'DIETOLOGÍA(S)'!L140)</f>
        <v>0</v>
      </c>
      <c r="M140" s="77">
        <f>SUM(PACIENTES!M140+COMEDOR!M140+JORNADA!M140+'DIETOLOGÍA(S)'!M140)</f>
        <v>0</v>
      </c>
      <c r="N140" s="77">
        <f>SUM(PACIENTES!N140+COMEDOR!N140+JORNADA!N140+'DIETOLOGÍA(S)'!N140)</f>
        <v>0</v>
      </c>
      <c r="O140" s="77">
        <f>SUM(PACIENTES!O140+COMEDOR!O140+JORNADA!O140+'DIETOLOGÍA(S)'!O140)</f>
        <v>0</v>
      </c>
      <c r="P140" s="77">
        <f>SUM(PACIENTES!P140+COMEDOR!P140+JORNADA!P140+'DIETOLOGÍA(S)'!P140)</f>
        <v>0</v>
      </c>
      <c r="Q140" s="77">
        <f>SUM(PACIENTES!Q140+COMEDOR!Q140+JORNADA!Q140+'DIETOLOGÍA(S)'!Q140)</f>
        <v>0</v>
      </c>
      <c r="R140" s="77">
        <f>SUM(PACIENTES!R140+COMEDOR!R140+JORNADA!R140+'DIETOLOGÍA(S)'!R140)</f>
        <v>0</v>
      </c>
      <c r="S140" s="77">
        <f>SUM(PACIENTES!S140+COMEDOR!S140+JORNADA!S140+'DIETOLOGÍA(S)'!S140)</f>
        <v>0</v>
      </c>
      <c r="T140" s="77">
        <f>SUM(PACIENTES!T140+COMEDOR!T140+JORNADA!T140+'DIETOLOGÍA(S)'!T140)</f>
        <v>0</v>
      </c>
      <c r="U140" s="77">
        <f>SUM(PACIENTES!U140+COMEDOR!U140+JORNADA!U140+'DIETOLOGÍA(S)'!U140)</f>
        <v>0</v>
      </c>
      <c r="V140" s="77">
        <f>SUM(PACIENTES!V140+COMEDOR!V140+JORNADA!V140+'DIETOLOGÍA(S)'!V140)</f>
        <v>0</v>
      </c>
      <c r="W140" s="77">
        <f>SUM(PACIENTES!W140+COMEDOR!W140+JORNADA!W140+'DIETOLOGÍA(S)'!W140)</f>
        <v>0</v>
      </c>
      <c r="X140" s="77">
        <f>SUM(PACIENTES!X140+COMEDOR!X140+JORNADA!X140+'DIETOLOGÍA(S)'!X140)</f>
        <v>0</v>
      </c>
      <c r="Y140" s="77">
        <f>SUM(PACIENTES!Y140+COMEDOR!Y140+JORNADA!Y140+'DIETOLOGÍA(S)'!Y140)</f>
        <v>0</v>
      </c>
      <c r="Z140" s="77">
        <f>SUM(PACIENTES!Z140+COMEDOR!Z140+JORNADA!Z140+'DIETOLOGÍA(S)'!Z140)</f>
        <v>0</v>
      </c>
      <c r="AA140" s="77">
        <f>SUM(PACIENTES!AA140+COMEDOR!AA140+JORNADA!AA140+'DIETOLOGÍA(S)'!AA140)</f>
        <v>0</v>
      </c>
      <c r="AB140" s="77">
        <f>SUM(PACIENTES!AB140+COMEDOR!AB140+JORNADA!AB140+'DIETOLOGÍA(S)'!AB140)</f>
        <v>0</v>
      </c>
      <c r="AC140" s="77">
        <f>SUM(PACIENTES!AC140+COMEDOR!AC140+JORNADA!AC140+'DIETOLOGÍA(S)'!AC140)</f>
        <v>0</v>
      </c>
      <c r="AD140" s="77">
        <f>SUM(PACIENTES!AD140+COMEDOR!AD140+JORNADA!AD140+'DIETOLOGÍA(S)'!AD140)</f>
        <v>0</v>
      </c>
      <c r="AE140" s="77">
        <f>SUM(PACIENTES!AE140+COMEDOR!AE140+JORNADA!AE140+'DIETOLOGÍA(S)'!AE140)</f>
        <v>2</v>
      </c>
      <c r="AF140" s="77">
        <f>SUM(PACIENTES!AF140+COMEDOR!AF140+JORNADA!AF140+'DIETOLOGÍA(S)'!AF140)</f>
        <v>0</v>
      </c>
      <c r="AG140" s="77">
        <f>SUM(PACIENTES!AG140+COMEDOR!AG140+JORNADA!AG140+'DIETOLOGÍA(S)'!AG140)</f>
        <v>0</v>
      </c>
      <c r="AH140" s="77">
        <f>SUM(PACIENTES!AH140+COMEDOR!AH140+JORNADA!AH140+'DIETOLOGÍA(S)'!AH140)</f>
        <v>0</v>
      </c>
      <c r="AI140" s="9">
        <f t="shared" si="4"/>
        <v>4</v>
      </c>
    </row>
    <row r="141" spans="1:35" ht="15.75" customHeight="1">
      <c r="A141" s="103">
        <v>2212006013</v>
      </c>
      <c r="B141" s="109" t="s">
        <v>146</v>
      </c>
      <c r="C141" s="110" t="s">
        <v>6</v>
      </c>
      <c r="D141" s="289">
        <f>SUM(PACIENTES!D141+COMEDOR!D141+JORNADA!D141+'DIETOLOGÍA(S)'!D141)</f>
        <v>0</v>
      </c>
      <c r="E141" s="289">
        <f>SUM(PACIENTES!E141+COMEDOR!E141+JORNADA!E141+'DIETOLOGÍA(S)'!E141)</f>
        <v>0</v>
      </c>
      <c r="F141" s="289">
        <f>SUM(PACIENTES!F141+COMEDOR!F141+JORNADA!F141+'DIETOLOGÍA(S)'!F141)</f>
        <v>0</v>
      </c>
      <c r="G141" s="289">
        <f>SUM(PACIENTES!G141+COMEDOR!G141+JORNADA!G141+'DIETOLOGÍA(S)'!G141)</f>
        <v>0</v>
      </c>
      <c r="H141" s="289">
        <f>SUM(PACIENTES!H141+COMEDOR!H141+JORNADA!H141+'DIETOLOGÍA(S)'!H141)</f>
        <v>0</v>
      </c>
      <c r="I141" s="289">
        <f>SUM(PACIENTES!I141+COMEDOR!I141+JORNADA!I141+'DIETOLOGÍA(S)'!I141)</f>
        <v>0</v>
      </c>
      <c r="J141" s="289">
        <f>SUM(PACIENTES!J141+COMEDOR!J141+JORNADA!J141+'DIETOLOGÍA(S)'!J141)</f>
        <v>0</v>
      </c>
      <c r="K141" s="289">
        <f>SUM(PACIENTES!K141+COMEDOR!K141+JORNADA!K141+'DIETOLOGÍA(S)'!K141)</f>
        <v>0</v>
      </c>
      <c r="L141" s="289">
        <f>SUM(PACIENTES!L141+COMEDOR!L141+JORNADA!L141+'DIETOLOGÍA(S)'!L141)</f>
        <v>65</v>
      </c>
      <c r="M141" s="289">
        <f>SUM(PACIENTES!M141+COMEDOR!M141+JORNADA!M141+'DIETOLOGÍA(S)'!M141)</f>
        <v>0</v>
      </c>
      <c r="N141" s="289">
        <f>SUM(PACIENTES!N141+COMEDOR!N141+JORNADA!N141+'DIETOLOGÍA(S)'!N141)</f>
        <v>0</v>
      </c>
      <c r="O141" s="289">
        <f>SUM(PACIENTES!O141+COMEDOR!O141+JORNADA!O141+'DIETOLOGÍA(S)'!O141)</f>
        <v>0</v>
      </c>
      <c r="P141" s="289">
        <f>SUM(PACIENTES!P141+COMEDOR!P141+JORNADA!P141+'DIETOLOGÍA(S)'!P141)</f>
        <v>0</v>
      </c>
      <c r="Q141" s="289">
        <f>SUM(PACIENTES!Q141+COMEDOR!Q141+JORNADA!Q141+'DIETOLOGÍA(S)'!Q141)</f>
        <v>0</v>
      </c>
      <c r="R141" s="289">
        <f>SUM(PACIENTES!R141+COMEDOR!R141+JORNADA!R141+'DIETOLOGÍA(S)'!R141)</f>
        <v>0</v>
      </c>
      <c r="S141" s="289">
        <f>SUM(PACIENTES!S141+COMEDOR!S141+JORNADA!S141+'DIETOLOGÍA(S)'!S141)</f>
        <v>0</v>
      </c>
      <c r="T141" s="289">
        <f>SUM(PACIENTES!T141+COMEDOR!T141+JORNADA!T141+'DIETOLOGÍA(S)'!T141)</f>
        <v>0</v>
      </c>
      <c r="U141" s="289">
        <f>SUM(PACIENTES!U141+COMEDOR!U141+JORNADA!U141+'DIETOLOGÍA(S)'!U141)</f>
        <v>0</v>
      </c>
      <c r="V141" s="289">
        <f>SUM(PACIENTES!V141+COMEDOR!V141+JORNADA!V141+'DIETOLOGÍA(S)'!V141)</f>
        <v>0</v>
      </c>
      <c r="W141" s="289">
        <f>SUM(PACIENTES!W141+COMEDOR!W141+JORNADA!W141+'DIETOLOGÍA(S)'!W141)</f>
        <v>0</v>
      </c>
      <c r="X141" s="289">
        <f>SUM(PACIENTES!X141+COMEDOR!X141+JORNADA!X141+'DIETOLOGÍA(S)'!X141)</f>
        <v>0</v>
      </c>
      <c r="Y141" s="289">
        <f>SUM(PACIENTES!Y141+COMEDOR!Y141+JORNADA!Y141+'DIETOLOGÍA(S)'!Y141)</f>
        <v>0</v>
      </c>
      <c r="Z141" s="289">
        <f>SUM(PACIENTES!Z141+COMEDOR!Z141+JORNADA!Z141+'DIETOLOGÍA(S)'!Z141)</f>
        <v>0</v>
      </c>
      <c r="AA141" s="289">
        <f>SUM(PACIENTES!AA141+COMEDOR!AA141+JORNADA!AA141+'DIETOLOGÍA(S)'!AA141)</f>
        <v>0</v>
      </c>
      <c r="AB141" s="289">
        <f>SUM(PACIENTES!AB141+COMEDOR!AB141+JORNADA!AB141+'DIETOLOGÍA(S)'!AB141)</f>
        <v>0</v>
      </c>
      <c r="AC141" s="289">
        <f>SUM(PACIENTES!AC141+COMEDOR!AC141+JORNADA!AC141+'DIETOLOGÍA(S)'!AC141)</f>
        <v>0</v>
      </c>
      <c r="AD141" s="289">
        <f>SUM(PACIENTES!AD141+COMEDOR!AD141+JORNADA!AD141+'DIETOLOGÍA(S)'!AD141)</f>
        <v>0</v>
      </c>
      <c r="AE141" s="289">
        <f>SUM(PACIENTES!AE141+COMEDOR!AE141+JORNADA!AE141+'DIETOLOGÍA(S)'!AE141)</f>
        <v>0</v>
      </c>
      <c r="AF141" s="289">
        <f>SUM(PACIENTES!AF141+COMEDOR!AF141+JORNADA!AF141+'DIETOLOGÍA(S)'!AF141)</f>
        <v>0</v>
      </c>
      <c r="AG141" s="289">
        <f>SUM(PACIENTES!AG141+COMEDOR!AG141+JORNADA!AG141+'DIETOLOGÍA(S)'!AG141)</f>
        <v>0</v>
      </c>
      <c r="AH141" s="289">
        <f>SUM(PACIENTES!AH141+COMEDOR!AH141+JORNADA!AH141+'DIETOLOGÍA(S)'!AH141)</f>
        <v>0</v>
      </c>
      <c r="AI141" s="40">
        <f t="shared" si="4"/>
        <v>65</v>
      </c>
    </row>
    <row r="142" spans="1:35" ht="18.75" customHeight="1">
      <c r="A142" s="619" t="s">
        <v>147</v>
      </c>
      <c r="B142" s="606"/>
      <c r="C142" s="606"/>
      <c r="D142" s="606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606"/>
      <c r="W142" s="606"/>
      <c r="X142" s="606"/>
      <c r="Y142" s="606"/>
      <c r="Z142" s="606"/>
      <c r="AA142" s="606"/>
      <c r="AB142" s="606"/>
      <c r="AC142" s="606"/>
      <c r="AD142" s="606"/>
      <c r="AE142" s="606"/>
      <c r="AF142" s="606"/>
      <c r="AG142" s="606"/>
      <c r="AH142" s="607"/>
      <c r="AI142" s="118"/>
    </row>
    <row r="143" spans="1:35" ht="15.75" customHeight="1">
      <c r="A143" s="126">
        <v>2212007001</v>
      </c>
      <c r="B143" s="120" t="s">
        <v>148</v>
      </c>
      <c r="C143" s="121" t="s">
        <v>6</v>
      </c>
      <c r="D143" s="77">
        <f>SUM(PACIENTES!D143+COMEDOR!D143+JORNADA!D143+'DIETOLOGÍA(S)'!D143)</f>
        <v>24</v>
      </c>
      <c r="E143" s="77">
        <f>SUM(PACIENTES!E143+COMEDOR!E143+JORNADA!E143+'DIETOLOGÍA(S)'!E143)</f>
        <v>0</v>
      </c>
      <c r="F143" s="77">
        <f>SUM(PACIENTES!F143+COMEDOR!F143+JORNADA!F143+'DIETOLOGÍA(S)'!F143)</f>
        <v>0</v>
      </c>
      <c r="G143" s="77">
        <f>SUM(PACIENTES!G143+COMEDOR!G143+JORNADA!G143+'DIETOLOGÍA(S)'!G143)</f>
        <v>0</v>
      </c>
      <c r="H143" s="77">
        <f>SUM(PACIENTES!H143+COMEDOR!H143+JORNADA!H143+'DIETOLOGÍA(S)'!H143)</f>
        <v>0</v>
      </c>
      <c r="I143" s="77">
        <f>SUM(PACIENTES!I143+COMEDOR!I143+JORNADA!I143+'DIETOLOGÍA(S)'!I143)</f>
        <v>1</v>
      </c>
      <c r="J143" s="77">
        <f>SUM(PACIENTES!J143+COMEDOR!J143+JORNADA!J143+'DIETOLOGÍA(S)'!J143)</f>
        <v>32</v>
      </c>
      <c r="K143" s="77">
        <f>SUM(PACIENTES!K143+COMEDOR!K143+JORNADA!K143+'DIETOLOGÍA(S)'!K143)</f>
        <v>0</v>
      </c>
      <c r="L143" s="77">
        <f>SUM(PACIENTES!L143+COMEDOR!L143+JORNADA!L143+'DIETOLOGÍA(S)'!L143)</f>
        <v>0</v>
      </c>
      <c r="M143" s="77">
        <f>SUM(PACIENTES!M143+COMEDOR!M143+JORNADA!M143+'DIETOLOGÍA(S)'!M143)</f>
        <v>0</v>
      </c>
      <c r="N143" s="77">
        <f>SUM(PACIENTES!N143+COMEDOR!N143+JORNADA!N143+'DIETOLOGÍA(S)'!N143)</f>
        <v>0</v>
      </c>
      <c r="O143" s="77">
        <f>SUM(PACIENTES!O143+COMEDOR!O143+JORNADA!O143+'DIETOLOGÍA(S)'!O143)</f>
        <v>0</v>
      </c>
      <c r="P143" s="77">
        <f>SUM(PACIENTES!P143+COMEDOR!P143+JORNADA!P143+'DIETOLOGÍA(S)'!P143)</f>
        <v>0</v>
      </c>
      <c r="Q143" s="77">
        <f>SUM(PACIENTES!Q143+COMEDOR!Q143+JORNADA!Q143+'DIETOLOGÍA(S)'!Q143)</f>
        <v>0</v>
      </c>
      <c r="R143" s="77">
        <f>SUM(PACIENTES!R143+COMEDOR!R143+JORNADA!R143+'DIETOLOGÍA(S)'!R143)</f>
        <v>0</v>
      </c>
      <c r="S143" s="77">
        <f>SUM(PACIENTES!S143+COMEDOR!S143+JORNADA!S143+'DIETOLOGÍA(S)'!S143)</f>
        <v>0</v>
      </c>
      <c r="T143" s="77">
        <f>SUM(PACIENTES!T143+COMEDOR!T143+JORNADA!T143+'DIETOLOGÍA(S)'!T143)</f>
        <v>0</v>
      </c>
      <c r="U143" s="77">
        <f>SUM(PACIENTES!U143+COMEDOR!U143+JORNADA!U143+'DIETOLOGÍA(S)'!U143)</f>
        <v>30</v>
      </c>
      <c r="V143" s="77">
        <f>SUM(PACIENTES!V143+COMEDOR!V143+JORNADA!V143+'DIETOLOGÍA(S)'!V143)</f>
        <v>0</v>
      </c>
      <c r="W143" s="77">
        <f>SUM(PACIENTES!W143+COMEDOR!W143+JORNADA!W143+'DIETOLOGÍA(S)'!W143)</f>
        <v>1</v>
      </c>
      <c r="X143" s="77">
        <f>SUM(PACIENTES!X143+COMEDOR!X143+JORNADA!X143+'DIETOLOGÍA(S)'!X143)</f>
        <v>2</v>
      </c>
      <c r="Y143" s="77">
        <f>SUM(PACIENTES!Y143+COMEDOR!Y143+JORNADA!Y143+'DIETOLOGÍA(S)'!Y143)</f>
        <v>0</v>
      </c>
      <c r="Z143" s="77">
        <f>SUM(PACIENTES!Z143+COMEDOR!Z143+JORNADA!Z143+'DIETOLOGÍA(S)'!Z143)</f>
        <v>0</v>
      </c>
      <c r="AA143" s="77">
        <f>SUM(PACIENTES!AA143+COMEDOR!AA143+JORNADA!AA143+'DIETOLOGÍA(S)'!AA143)</f>
        <v>0</v>
      </c>
      <c r="AB143" s="77">
        <f>SUM(PACIENTES!AB143+COMEDOR!AB143+JORNADA!AB143+'DIETOLOGÍA(S)'!AB143)</f>
        <v>0</v>
      </c>
      <c r="AC143" s="77">
        <f>SUM(PACIENTES!AC143+COMEDOR!AC143+JORNADA!AC143+'DIETOLOGÍA(S)'!AC143)</f>
        <v>0</v>
      </c>
      <c r="AD143" s="77">
        <f>SUM(PACIENTES!AD143+COMEDOR!AD143+JORNADA!AD143+'DIETOLOGÍA(S)'!AD143)</f>
        <v>0</v>
      </c>
      <c r="AE143" s="77">
        <f>SUM(PACIENTES!AE143+COMEDOR!AE143+JORNADA!AE143+'DIETOLOGÍA(S)'!AE143)</f>
        <v>0</v>
      </c>
      <c r="AF143" s="77">
        <f>SUM(PACIENTES!AF143+COMEDOR!AF143+JORNADA!AF143+'DIETOLOGÍA(S)'!AF143)</f>
        <v>0</v>
      </c>
      <c r="AG143" s="77">
        <f>SUM(PACIENTES!AG143+COMEDOR!AG143+JORNADA!AG143+'DIETOLOGÍA(S)'!AG143)</f>
        <v>0</v>
      </c>
      <c r="AH143" s="77">
        <f>SUM(PACIENTES!AH143+COMEDOR!AH143+JORNADA!AH143+'DIETOLOGÍA(S)'!AH143)</f>
        <v>0</v>
      </c>
      <c r="AI143" s="48">
        <f t="shared" ref="AI143:AI152" si="5">SUM(D143:AH143)</f>
        <v>90</v>
      </c>
    </row>
    <row r="144" spans="1:35" ht="15.75" customHeight="1">
      <c r="A144" s="122">
        <v>2212007002</v>
      </c>
      <c r="B144" s="123" t="s">
        <v>149</v>
      </c>
      <c r="C144" s="124" t="s">
        <v>6</v>
      </c>
      <c r="D144" s="77">
        <f>SUM(PACIENTES!D144+COMEDOR!D144+JORNADA!D144+'DIETOLOGÍA(S)'!D144)</f>
        <v>0</v>
      </c>
      <c r="E144" s="77">
        <f>SUM(PACIENTES!E144+COMEDOR!E144+JORNADA!E144+'DIETOLOGÍA(S)'!E144)</f>
        <v>0</v>
      </c>
      <c r="F144" s="77">
        <f>SUM(PACIENTES!F144+COMEDOR!F144+JORNADA!F144+'DIETOLOGÍA(S)'!F144)</f>
        <v>0</v>
      </c>
      <c r="G144" s="77">
        <f>SUM(PACIENTES!G144+COMEDOR!G144+JORNADA!G144+'DIETOLOGÍA(S)'!G144)</f>
        <v>0</v>
      </c>
      <c r="H144" s="77">
        <f>SUM(PACIENTES!H144+COMEDOR!H144+JORNADA!H144+'DIETOLOGÍA(S)'!H144)</f>
        <v>0</v>
      </c>
      <c r="I144" s="77">
        <f>SUM(PACIENTES!I144+COMEDOR!I144+JORNADA!I144+'DIETOLOGÍA(S)'!I144)</f>
        <v>0</v>
      </c>
      <c r="J144" s="77">
        <f>SUM(PACIENTES!J144+COMEDOR!J144+JORNADA!J144+'DIETOLOGÍA(S)'!J144)</f>
        <v>0</v>
      </c>
      <c r="K144" s="77">
        <f>SUM(PACIENTES!K144+COMEDOR!K144+JORNADA!K144+'DIETOLOGÍA(S)'!K144)</f>
        <v>0</v>
      </c>
      <c r="L144" s="77">
        <f>SUM(PACIENTES!L144+COMEDOR!L144+JORNADA!L144+'DIETOLOGÍA(S)'!L144)</f>
        <v>0</v>
      </c>
      <c r="M144" s="77">
        <f>SUM(PACIENTES!M144+COMEDOR!M144+JORNADA!M144+'DIETOLOGÍA(S)'!M144)</f>
        <v>0</v>
      </c>
      <c r="N144" s="77">
        <f>SUM(PACIENTES!N144+COMEDOR!N144+JORNADA!N144+'DIETOLOGÍA(S)'!N144)</f>
        <v>0</v>
      </c>
      <c r="O144" s="77">
        <f>SUM(PACIENTES!O144+COMEDOR!O144+JORNADA!O144+'DIETOLOGÍA(S)'!O144)</f>
        <v>0</v>
      </c>
      <c r="P144" s="77">
        <f>SUM(PACIENTES!P144+COMEDOR!P144+JORNADA!P144+'DIETOLOGÍA(S)'!P144)</f>
        <v>0</v>
      </c>
      <c r="Q144" s="6">
        <f>SUM(PACIENTES!Q144+COMEDOR!Q144+JORNADA!Q144+'DIETOLOGÍA(S)'!Q144)</f>
        <v>0</v>
      </c>
      <c r="R144" s="6">
        <f>SUM(PACIENTES!R144+COMEDOR!R144+JORNADA!R144+'DIETOLOGÍA(S)'!R144)</f>
        <v>0</v>
      </c>
      <c r="S144" s="6">
        <f>SUM(PACIENTES!S144+COMEDOR!S144+JORNADA!S144+'DIETOLOGÍA(S)'!S144)</f>
        <v>0</v>
      </c>
      <c r="T144" s="6">
        <f>SUM(PACIENTES!T144+COMEDOR!T144+JORNADA!T144+'DIETOLOGÍA(S)'!T144)</f>
        <v>0</v>
      </c>
      <c r="U144" s="6">
        <f>SUM(PACIENTES!U144+COMEDOR!U144+JORNADA!U144+'DIETOLOGÍA(S)'!U144)</f>
        <v>0</v>
      </c>
      <c r="V144" s="6">
        <f>SUM(PACIENTES!V144+COMEDOR!V144+JORNADA!V144+'DIETOLOGÍA(S)'!V144)</f>
        <v>0</v>
      </c>
      <c r="W144" s="6">
        <f>SUM(PACIENTES!W144+COMEDOR!W144+JORNADA!W144+'DIETOLOGÍA(S)'!W144)</f>
        <v>0</v>
      </c>
      <c r="X144" s="6">
        <f>SUM(PACIENTES!X144+COMEDOR!X144+JORNADA!X144+'DIETOLOGÍA(S)'!X144)</f>
        <v>0</v>
      </c>
      <c r="Y144" s="6">
        <f>SUM(PACIENTES!Y144+COMEDOR!Y144+JORNADA!Y144+'DIETOLOGÍA(S)'!Y144)</f>
        <v>0</v>
      </c>
      <c r="Z144" s="6">
        <f>SUM(PACIENTES!Z144+COMEDOR!Z144+JORNADA!Z144+'DIETOLOGÍA(S)'!Z144)</f>
        <v>0</v>
      </c>
      <c r="AA144" s="6">
        <f>SUM(PACIENTES!AA144+COMEDOR!AA144+JORNADA!AA144+'DIETOLOGÍA(S)'!AA144)</f>
        <v>0</v>
      </c>
      <c r="AB144" s="6">
        <f>SUM(PACIENTES!AB144+COMEDOR!AB144+JORNADA!AB144+'DIETOLOGÍA(S)'!AB144)</f>
        <v>0</v>
      </c>
      <c r="AC144" s="6">
        <f>SUM(PACIENTES!AC144+COMEDOR!AC144+JORNADA!AC144+'DIETOLOGÍA(S)'!AC144)</f>
        <v>0</v>
      </c>
      <c r="AD144" s="6">
        <f>SUM(PACIENTES!AD144+COMEDOR!AD144+JORNADA!AD144+'DIETOLOGÍA(S)'!AD144)</f>
        <v>0</v>
      </c>
      <c r="AE144" s="6">
        <f>SUM(PACIENTES!AE144+COMEDOR!AE144+JORNADA!AE144+'DIETOLOGÍA(S)'!AE144)</f>
        <v>0</v>
      </c>
      <c r="AF144" s="6">
        <f>SUM(PACIENTES!AF144+COMEDOR!AF144+JORNADA!AF144+'DIETOLOGÍA(S)'!AF144)</f>
        <v>0</v>
      </c>
      <c r="AG144" s="6">
        <f>SUM(PACIENTES!AG144+COMEDOR!AG144+JORNADA!AG144+'DIETOLOGÍA(S)'!AG144)</f>
        <v>0</v>
      </c>
      <c r="AH144" s="6">
        <f>SUM(PACIENTES!AH144+COMEDOR!AH144+JORNADA!AH144+'DIETOLOGÍA(S)'!AH144)</f>
        <v>0</v>
      </c>
      <c r="AI144" s="9">
        <f t="shared" si="5"/>
        <v>0</v>
      </c>
    </row>
    <row r="145" spans="1:35" ht="15.75" customHeight="1">
      <c r="A145" s="126">
        <v>2212007003</v>
      </c>
      <c r="B145" s="127" t="s">
        <v>150</v>
      </c>
      <c r="C145" s="129" t="s">
        <v>6</v>
      </c>
      <c r="D145" s="77">
        <f>SUM(PACIENTES!D145+COMEDOR!D145+JORNADA!D145+'DIETOLOGÍA(S)'!D145)</f>
        <v>0</v>
      </c>
      <c r="E145" s="77">
        <f>SUM(PACIENTES!E145+COMEDOR!E145+JORNADA!E145+'DIETOLOGÍA(S)'!E145)</f>
        <v>0</v>
      </c>
      <c r="F145" s="77">
        <f>SUM(PACIENTES!F145+COMEDOR!F145+JORNADA!F145+'DIETOLOGÍA(S)'!F145)</f>
        <v>0</v>
      </c>
      <c r="G145" s="77">
        <f>SUM(PACIENTES!G145+COMEDOR!G145+JORNADA!G145+'DIETOLOGÍA(S)'!G145)</f>
        <v>0</v>
      </c>
      <c r="H145" s="77">
        <f>SUM(PACIENTES!H145+COMEDOR!H145+JORNADA!H145+'DIETOLOGÍA(S)'!H145)</f>
        <v>0</v>
      </c>
      <c r="I145" s="77">
        <f>SUM(PACIENTES!I145+COMEDOR!I145+JORNADA!I145+'DIETOLOGÍA(S)'!I145)</f>
        <v>0</v>
      </c>
      <c r="J145" s="77">
        <f>SUM(PACIENTES!J145+COMEDOR!J145+JORNADA!J145+'DIETOLOGÍA(S)'!J145)</f>
        <v>0</v>
      </c>
      <c r="K145" s="77">
        <f>SUM(PACIENTES!K145+COMEDOR!K145+JORNADA!K145+'DIETOLOGÍA(S)'!K145)</f>
        <v>0</v>
      </c>
      <c r="L145" s="77">
        <f>SUM(PACIENTES!L145+COMEDOR!L145+JORNADA!L145+'DIETOLOGÍA(S)'!L145)</f>
        <v>0</v>
      </c>
      <c r="M145" s="77">
        <f>SUM(PACIENTES!M145+COMEDOR!M145+JORNADA!M145+'DIETOLOGÍA(S)'!M145)</f>
        <v>0</v>
      </c>
      <c r="N145" s="77">
        <f>SUM(PACIENTES!N145+COMEDOR!N145+JORNADA!N145+'DIETOLOGÍA(S)'!N145)</f>
        <v>0</v>
      </c>
      <c r="O145" s="77">
        <f>SUM(PACIENTES!O145+COMEDOR!O145+JORNADA!O145+'DIETOLOGÍA(S)'!O145)</f>
        <v>0</v>
      </c>
      <c r="P145" s="77">
        <f>SUM(PACIENTES!P145+COMEDOR!P145+JORNADA!P145+'DIETOLOGÍA(S)'!P145)</f>
        <v>1</v>
      </c>
      <c r="Q145" s="77">
        <f>SUM(PACIENTES!Q145+COMEDOR!Q145+JORNADA!Q145+'DIETOLOGÍA(S)'!Q145)</f>
        <v>0</v>
      </c>
      <c r="R145" s="77">
        <f>SUM(PACIENTES!R145+COMEDOR!R145+JORNADA!R145+'DIETOLOGÍA(S)'!R145)</f>
        <v>0</v>
      </c>
      <c r="S145" s="77">
        <f>SUM(PACIENTES!S145+COMEDOR!S145+JORNADA!S145+'DIETOLOGÍA(S)'!S145)</f>
        <v>0</v>
      </c>
      <c r="T145" s="77">
        <f>SUM(PACIENTES!T145+COMEDOR!T145+JORNADA!T145+'DIETOLOGÍA(S)'!T145)</f>
        <v>0</v>
      </c>
      <c r="U145" s="77">
        <f>SUM(PACIENTES!U145+COMEDOR!U145+JORNADA!U145+'DIETOLOGÍA(S)'!U145)</f>
        <v>0</v>
      </c>
      <c r="V145" s="77">
        <f>SUM(PACIENTES!V145+COMEDOR!V145+JORNADA!V145+'DIETOLOGÍA(S)'!V145)</f>
        <v>0</v>
      </c>
      <c r="W145" s="77">
        <f>SUM(PACIENTES!W145+COMEDOR!W145+JORNADA!W145+'DIETOLOGÍA(S)'!W145)</f>
        <v>0</v>
      </c>
      <c r="X145" s="77">
        <f>SUM(PACIENTES!X145+COMEDOR!X145+JORNADA!X145+'DIETOLOGÍA(S)'!X145)</f>
        <v>0</v>
      </c>
      <c r="Y145" s="77">
        <f>SUM(PACIENTES!Y145+COMEDOR!Y145+JORNADA!Y145+'DIETOLOGÍA(S)'!Y145)</f>
        <v>0</v>
      </c>
      <c r="Z145" s="77">
        <f>SUM(PACIENTES!Z145+COMEDOR!Z145+JORNADA!Z145+'DIETOLOGÍA(S)'!Z145)</f>
        <v>0</v>
      </c>
      <c r="AA145" s="77">
        <f>SUM(PACIENTES!AA145+COMEDOR!AA145+JORNADA!AA145+'DIETOLOGÍA(S)'!AA145)</f>
        <v>0</v>
      </c>
      <c r="AB145" s="77">
        <f>SUM(PACIENTES!AB145+COMEDOR!AB145+JORNADA!AB145+'DIETOLOGÍA(S)'!AB145)</f>
        <v>0</v>
      </c>
      <c r="AC145" s="77">
        <f>SUM(PACIENTES!AC145+COMEDOR!AC145+JORNADA!AC145+'DIETOLOGÍA(S)'!AC145)</f>
        <v>0</v>
      </c>
      <c r="AD145" s="77">
        <f>SUM(PACIENTES!AD145+COMEDOR!AD145+JORNADA!AD145+'DIETOLOGÍA(S)'!AD145)</f>
        <v>0</v>
      </c>
      <c r="AE145" s="77">
        <f>SUM(PACIENTES!AE145+COMEDOR!AE145+JORNADA!AE145+'DIETOLOGÍA(S)'!AE145)</f>
        <v>0</v>
      </c>
      <c r="AF145" s="77">
        <f>SUM(PACIENTES!AF145+COMEDOR!AF145+JORNADA!AF145+'DIETOLOGÍA(S)'!AF145)</f>
        <v>0</v>
      </c>
      <c r="AG145" s="77">
        <f>SUM(PACIENTES!AG145+COMEDOR!AG145+JORNADA!AG145+'DIETOLOGÍA(S)'!AG145)</f>
        <v>0</v>
      </c>
      <c r="AH145" s="77">
        <f>SUM(PACIENTES!AH145+COMEDOR!AH145+JORNADA!AH145+'DIETOLOGÍA(S)'!AH145)</f>
        <v>0</v>
      </c>
      <c r="AI145" s="9">
        <f t="shared" si="5"/>
        <v>1</v>
      </c>
    </row>
    <row r="146" spans="1:35" ht="15.75" customHeight="1">
      <c r="A146" s="126">
        <v>2212007004</v>
      </c>
      <c r="B146" s="127" t="s">
        <v>151</v>
      </c>
      <c r="C146" s="129" t="s">
        <v>6</v>
      </c>
      <c r="D146" s="77">
        <f>SUM(PACIENTES!D146+COMEDOR!D146+JORNADA!D146+'DIETOLOGÍA(S)'!D146)</f>
        <v>0</v>
      </c>
      <c r="E146" s="77">
        <f>SUM(PACIENTES!E146+COMEDOR!E146+JORNADA!E146+'DIETOLOGÍA(S)'!E146)</f>
        <v>0</v>
      </c>
      <c r="F146" s="77">
        <f>SUM(PACIENTES!F146+COMEDOR!F146+JORNADA!F146+'DIETOLOGÍA(S)'!F146)</f>
        <v>0</v>
      </c>
      <c r="G146" s="77">
        <f>SUM(PACIENTES!G146+COMEDOR!G146+JORNADA!G146+'DIETOLOGÍA(S)'!G146)</f>
        <v>0</v>
      </c>
      <c r="H146" s="77">
        <f>SUM(PACIENTES!H146+COMEDOR!H146+JORNADA!H146+'DIETOLOGÍA(S)'!H146)</f>
        <v>0</v>
      </c>
      <c r="I146" s="77">
        <f>SUM(PACIENTES!I146+COMEDOR!I146+JORNADA!I146+'DIETOLOGÍA(S)'!I146)</f>
        <v>1</v>
      </c>
      <c r="J146" s="77">
        <f>SUM(PACIENTES!J146+COMEDOR!J146+JORNADA!J146+'DIETOLOGÍA(S)'!J146)</f>
        <v>0</v>
      </c>
      <c r="K146" s="77">
        <f>SUM(PACIENTES!K146+COMEDOR!K146+JORNADA!K146+'DIETOLOGÍA(S)'!K146)</f>
        <v>0</v>
      </c>
      <c r="L146" s="77">
        <f>SUM(PACIENTES!L146+COMEDOR!L146+JORNADA!L146+'DIETOLOGÍA(S)'!L146)</f>
        <v>0</v>
      </c>
      <c r="M146" s="77">
        <f>SUM(PACIENTES!M146+COMEDOR!M146+JORNADA!M146+'DIETOLOGÍA(S)'!M146)</f>
        <v>0</v>
      </c>
      <c r="N146" s="77">
        <f>SUM(PACIENTES!N146+COMEDOR!N146+JORNADA!N146+'DIETOLOGÍA(S)'!N146)</f>
        <v>0</v>
      </c>
      <c r="O146" s="77">
        <f>SUM(PACIENTES!O146+COMEDOR!O146+JORNADA!O146+'DIETOLOGÍA(S)'!O146)</f>
        <v>0</v>
      </c>
      <c r="P146" s="77">
        <f>SUM(PACIENTES!P146+COMEDOR!P146+JORNADA!P146+'DIETOLOGÍA(S)'!P146)</f>
        <v>0</v>
      </c>
      <c r="Q146" s="6">
        <f>SUM(PACIENTES!Q146+COMEDOR!Q146+JORNADA!Q146+'DIETOLOGÍA(S)'!Q146)</f>
        <v>0</v>
      </c>
      <c r="R146" s="6">
        <f>SUM(PACIENTES!R146+COMEDOR!R146+JORNADA!R146+'DIETOLOGÍA(S)'!R146)</f>
        <v>0</v>
      </c>
      <c r="S146" s="6">
        <f>SUM(PACIENTES!S146+COMEDOR!S146+JORNADA!S146+'DIETOLOGÍA(S)'!S146)</f>
        <v>0</v>
      </c>
      <c r="T146" s="6">
        <f>SUM(PACIENTES!T146+COMEDOR!T146+JORNADA!T146+'DIETOLOGÍA(S)'!T146)</f>
        <v>0</v>
      </c>
      <c r="U146" s="6">
        <f>SUM(PACIENTES!U146+COMEDOR!U146+JORNADA!U146+'DIETOLOGÍA(S)'!U146)</f>
        <v>0</v>
      </c>
      <c r="V146" s="6">
        <f>SUM(PACIENTES!V146+COMEDOR!V146+JORNADA!V146+'DIETOLOGÍA(S)'!V146)</f>
        <v>0</v>
      </c>
      <c r="W146" s="6">
        <f>SUM(PACIENTES!W146+COMEDOR!W146+JORNADA!W146+'DIETOLOGÍA(S)'!W146)</f>
        <v>1</v>
      </c>
      <c r="X146" s="6">
        <f>SUM(PACIENTES!X146+COMEDOR!X146+JORNADA!X146+'DIETOLOGÍA(S)'!X146)</f>
        <v>0</v>
      </c>
      <c r="Y146" s="6">
        <f>SUM(PACIENTES!Y146+COMEDOR!Y146+JORNADA!Y146+'DIETOLOGÍA(S)'!Y146)</f>
        <v>0</v>
      </c>
      <c r="Z146" s="6">
        <f>SUM(PACIENTES!Z146+COMEDOR!Z146+JORNADA!Z146+'DIETOLOGÍA(S)'!Z146)</f>
        <v>0</v>
      </c>
      <c r="AA146" s="6">
        <f>SUM(PACIENTES!AA146+COMEDOR!AA146+JORNADA!AA146+'DIETOLOGÍA(S)'!AA146)</f>
        <v>0</v>
      </c>
      <c r="AB146" s="6">
        <f>SUM(PACIENTES!AB146+COMEDOR!AB146+JORNADA!AB146+'DIETOLOGÍA(S)'!AB146)</f>
        <v>0</v>
      </c>
      <c r="AC146" s="6">
        <f>SUM(PACIENTES!AC146+COMEDOR!AC146+JORNADA!AC146+'DIETOLOGÍA(S)'!AC146)</f>
        <v>0</v>
      </c>
      <c r="AD146" s="6">
        <f>SUM(PACIENTES!AD146+COMEDOR!AD146+JORNADA!AD146+'DIETOLOGÍA(S)'!AD146)</f>
        <v>0</v>
      </c>
      <c r="AE146" s="6">
        <f>SUM(PACIENTES!AE146+COMEDOR!AE146+JORNADA!AE146+'DIETOLOGÍA(S)'!AE146)</f>
        <v>0</v>
      </c>
      <c r="AF146" s="6">
        <f>SUM(PACIENTES!AF146+COMEDOR!AF146+JORNADA!AF146+'DIETOLOGÍA(S)'!AF146)</f>
        <v>0</v>
      </c>
      <c r="AG146" s="6">
        <f>SUM(PACIENTES!AG146+COMEDOR!AG146+JORNADA!AG146+'DIETOLOGÍA(S)'!AG146)</f>
        <v>0</v>
      </c>
      <c r="AH146" s="6">
        <f>SUM(PACIENTES!AH146+COMEDOR!AH146+JORNADA!AH146+'DIETOLOGÍA(S)'!AH146)</f>
        <v>0</v>
      </c>
      <c r="AI146" s="9">
        <f t="shared" si="5"/>
        <v>2</v>
      </c>
    </row>
    <row r="147" spans="1:35" ht="15.75" customHeight="1">
      <c r="A147" s="126">
        <v>2212007005</v>
      </c>
      <c r="B147" s="127" t="s">
        <v>152</v>
      </c>
      <c r="C147" s="129" t="s">
        <v>6</v>
      </c>
      <c r="D147" s="77">
        <f>SUM(PACIENTES!D147+COMEDOR!D147+JORNADA!D147+'DIETOLOGÍA(S)'!D147)</f>
        <v>0</v>
      </c>
      <c r="E147" s="77">
        <f>SUM(PACIENTES!E147+COMEDOR!E147+JORNADA!E147+'DIETOLOGÍA(S)'!E147)</f>
        <v>0</v>
      </c>
      <c r="F147" s="77">
        <f>SUM(PACIENTES!F147+COMEDOR!F147+JORNADA!F147+'DIETOLOGÍA(S)'!F147)</f>
        <v>0</v>
      </c>
      <c r="G147" s="77">
        <f>SUM(PACIENTES!G147+COMEDOR!G147+JORNADA!G147+'DIETOLOGÍA(S)'!G147)</f>
        <v>0</v>
      </c>
      <c r="H147" s="77">
        <f>SUM(PACIENTES!H147+COMEDOR!H147+JORNADA!H147+'DIETOLOGÍA(S)'!H147)</f>
        <v>0</v>
      </c>
      <c r="I147" s="77">
        <f>SUM(PACIENTES!I147+COMEDOR!I147+JORNADA!I147+'DIETOLOGÍA(S)'!I147)</f>
        <v>0</v>
      </c>
      <c r="J147" s="77">
        <f>SUM(PACIENTES!J147+COMEDOR!J147+JORNADA!J147+'DIETOLOGÍA(S)'!J147)</f>
        <v>0</v>
      </c>
      <c r="K147" s="77">
        <f>SUM(PACIENTES!K147+COMEDOR!K147+JORNADA!K147+'DIETOLOGÍA(S)'!K147)</f>
        <v>0</v>
      </c>
      <c r="L147" s="77">
        <f>SUM(PACIENTES!L147+COMEDOR!L147+JORNADA!L147+'DIETOLOGÍA(S)'!L147)</f>
        <v>0</v>
      </c>
      <c r="M147" s="77">
        <f>SUM(PACIENTES!M147+COMEDOR!M147+JORNADA!M147+'DIETOLOGÍA(S)'!M147)</f>
        <v>0</v>
      </c>
      <c r="N147" s="77">
        <f>SUM(PACIENTES!N147+COMEDOR!N147+JORNADA!N147+'DIETOLOGÍA(S)'!N147)</f>
        <v>0</v>
      </c>
      <c r="O147" s="77">
        <f>SUM(PACIENTES!O147+COMEDOR!O147+JORNADA!O147+'DIETOLOGÍA(S)'!O147)</f>
        <v>0</v>
      </c>
      <c r="P147" s="77">
        <f>SUM(PACIENTES!P147+COMEDOR!P147+JORNADA!P147+'DIETOLOGÍA(S)'!P147)</f>
        <v>0</v>
      </c>
      <c r="Q147" s="77">
        <f>SUM(PACIENTES!Q147+COMEDOR!Q147+JORNADA!Q147+'DIETOLOGÍA(S)'!Q147)</f>
        <v>0</v>
      </c>
      <c r="R147" s="77">
        <f>SUM(PACIENTES!R147+COMEDOR!R147+JORNADA!R147+'DIETOLOGÍA(S)'!R147)</f>
        <v>0</v>
      </c>
      <c r="S147" s="77">
        <f>SUM(PACIENTES!S147+COMEDOR!S147+JORNADA!S147+'DIETOLOGÍA(S)'!S147)</f>
        <v>0</v>
      </c>
      <c r="T147" s="77">
        <f>SUM(PACIENTES!T147+COMEDOR!T147+JORNADA!T147+'DIETOLOGÍA(S)'!T147)</f>
        <v>0</v>
      </c>
      <c r="U147" s="77">
        <f>SUM(PACIENTES!U147+COMEDOR!U147+JORNADA!U147+'DIETOLOGÍA(S)'!U147)</f>
        <v>0</v>
      </c>
      <c r="V147" s="77">
        <f>SUM(PACIENTES!V147+COMEDOR!V147+JORNADA!V147+'DIETOLOGÍA(S)'!V147)</f>
        <v>0</v>
      </c>
      <c r="W147" s="77">
        <f>SUM(PACIENTES!W147+COMEDOR!W147+JORNADA!W147+'DIETOLOGÍA(S)'!W147)</f>
        <v>0</v>
      </c>
      <c r="X147" s="77">
        <f>SUM(PACIENTES!X147+COMEDOR!X147+JORNADA!X147+'DIETOLOGÍA(S)'!X147)</f>
        <v>0</v>
      </c>
      <c r="Y147" s="77">
        <f>SUM(PACIENTES!Y147+COMEDOR!Y147+JORNADA!Y147+'DIETOLOGÍA(S)'!Y147)</f>
        <v>0</v>
      </c>
      <c r="Z147" s="77">
        <f>SUM(PACIENTES!Z147+COMEDOR!Z147+JORNADA!Z147+'DIETOLOGÍA(S)'!Z147)</f>
        <v>0</v>
      </c>
      <c r="AA147" s="77">
        <f>SUM(PACIENTES!AA147+COMEDOR!AA147+JORNADA!AA147+'DIETOLOGÍA(S)'!AA147)</f>
        <v>0</v>
      </c>
      <c r="AB147" s="77">
        <f>SUM(PACIENTES!AB147+COMEDOR!AB147+JORNADA!AB147+'DIETOLOGÍA(S)'!AB147)</f>
        <v>0</v>
      </c>
      <c r="AC147" s="77">
        <f>SUM(PACIENTES!AC147+COMEDOR!AC147+JORNADA!AC147+'DIETOLOGÍA(S)'!AC147)</f>
        <v>0</v>
      </c>
      <c r="AD147" s="77">
        <f>SUM(PACIENTES!AD147+COMEDOR!AD147+JORNADA!AD147+'DIETOLOGÍA(S)'!AD147)</f>
        <v>0</v>
      </c>
      <c r="AE147" s="77">
        <f>SUM(PACIENTES!AE147+COMEDOR!AE147+JORNADA!AE147+'DIETOLOGÍA(S)'!AE147)</f>
        <v>0</v>
      </c>
      <c r="AF147" s="77">
        <f>SUM(PACIENTES!AF147+COMEDOR!AF147+JORNADA!AF147+'DIETOLOGÍA(S)'!AF147)</f>
        <v>0</v>
      </c>
      <c r="AG147" s="77">
        <f>SUM(PACIENTES!AG147+COMEDOR!AG147+JORNADA!AG147+'DIETOLOGÍA(S)'!AG147)</f>
        <v>0</v>
      </c>
      <c r="AH147" s="77">
        <f>SUM(PACIENTES!AH147+COMEDOR!AH147+JORNADA!AH147+'DIETOLOGÍA(S)'!AH147)</f>
        <v>0</v>
      </c>
      <c r="AI147" s="9">
        <f t="shared" si="5"/>
        <v>0</v>
      </c>
    </row>
    <row r="148" spans="1:35" ht="15.75" customHeight="1">
      <c r="A148" s="126">
        <v>2212007006</v>
      </c>
      <c r="B148" s="127" t="s">
        <v>153</v>
      </c>
      <c r="C148" s="129" t="s">
        <v>6</v>
      </c>
      <c r="D148" s="77">
        <f>SUM(PACIENTES!D148+COMEDOR!D148+JORNADA!D148+'DIETOLOGÍA(S)'!D148)</f>
        <v>0</v>
      </c>
      <c r="E148" s="77">
        <f>SUM(PACIENTES!E148+COMEDOR!E148+JORNADA!E148+'DIETOLOGÍA(S)'!E148)</f>
        <v>0</v>
      </c>
      <c r="F148" s="77">
        <f>SUM(PACIENTES!F148+COMEDOR!F148+JORNADA!F148+'DIETOLOGÍA(S)'!F148)</f>
        <v>0</v>
      </c>
      <c r="G148" s="77">
        <f>SUM(PACIENTES!G148+COMEDOR!G148+JORNADA!G148+'DIETOLOGÍA(S)'!G148)</f>
        <v>0</v>
      </c>
      <c r="H148" s="77">
        <f>SUM(PACIENTES!H148+COMEDOR!H148+JORNADA!H148+'DIETOLOGÍA(S)'!H148)</f>
        <v>0</v>
      </c>
      <c r="I148" s="77">
        <f>SUM(PACIENTES!I148+COMEDOR!I148+JORNADA!I148+'DIETOLOGÍA(S)'!I148)</f>
        <v>0</v>
      </c>
      <c r="J148" s="77">
        <f>SUM(PACIENTES!J148+COMEDOR!J148+JORNADA!J148+'DIETOLOGÍA(S)'!J148)</f>
        <v>0</v>
      </c>
      <c r="K148" s="77">
        <f>SUM(PACIENTES!K148+COMEDOR!K148+JORNADA!K148+'DIETOLOGÍA(S)'!K148)</f>
        <v>0</v>
      </c>
      <c r="L148" s="77">
        <f>SUM(PACIENTES!L148+COMEDOR!L148+JORNADA!L148+'DIETOLOGÍA(S)'!L148)</f>
        <v>0</v>
      </c>
      <c r="M148" s="77">
        <f>SUM(PACIENTES!M148+COMEDOR!M148+JORNADA!M148+'DIETOLOGÍA(S)'!M148)</f>
        <v>0</v>
      </c>
      <c r="N148" s="77">
        <f>SUM(PACIENTES!N148+COMEDOR!N148+JORNADA!N148+'DIETOLOGÍA(S)'!N148)</f>
        <v>0</v>
      </c>
      <c r="O148" s="77">
        <f>SUM(PACIENTES!O148+COMEDOR!O148+JORNADA!O148+'DIETOLOGÍA(S)'!O148)</f>
        <v>0</v>
      </c>
      <c r="P148" s="77">
        <f>SUM(PACIENTES!P148+COMEDOR!P148+JORNADA!P148+'DIETOLOGÍA(S)'!P148)</f>
        <v>0</v>
      </c>
      <c r="Q148" s="6">
        <f>SUM(PACIENTES!Q148+COMEDOR!Q148+JORNADA!Q148+'DIETOLOGÍA(S)'!Q148)</f>
        <v>0</v>
      </c>
      <c r="R148" s="6">
        <f>SUM(PACIENTES!R148+COMEDOR!R148+JORNADA!R148+'DIETOLOGÍA(S)'!R148)</f>
        <v>0</v>
      </c>
      <c r="S148" s="6">
        <f>SUM(PACIENTES!S148+COMEDOR!S148+JORNADA!S148+'DIETOLOGÍA(S)'!S148)</f>
        <v>0</v>
      </c>
      <c r="T148" s="6">
        <f>SUM(PACIENTES!T148+COMEDOR!T148+JORNADA!T148+'DIETOLOGÍA(S)'!T148)</f>
        <v>0</v>
      </c>
      <c r="U148" s="6">
        <f>SUM(PACIENTES!U148+COMEDOR!U148+JORNADA!U148+'DIETOLOGÍA(S)'!U148)</f>
        <v>0</v>
      </c>
      <c r="V148" s="6">
        <f>SUM(PACIENTES!V148+COMEDOR!V148+JORNADA!V148+'DIETOLOGÍA(S)'!V148)</f>
        <v>0</v>
      </c>
      <c r="W148" s="6">
        <f>SUM(PACIENTES!W148+COMEDOR!W148+JORNADA!W148+'DIETOLOGÍA(S)'!W148)</f>
        <v>0</v>
      </c>
      <c r="X148" s="6">
        <f>SUM(PACIENTES!X148+COMEDOR!X148+JORNADA!X148+'DIETOLOGÍA(S)'!X148)</f>
        <v>0</v>
      </c>
      <c r="Y148" s="6">
        <f>SUM(PACIENTES!Y148+COMEDOR!Y148+JORNADA!Y148+'DIETOLOGÍA(S)'!Y148)</f>
        <v>0</v>
      </c>
      <c r="Z148" s="6">
        <f>SUM(PACIENTES!Z148+COMEDOR!Z148+JORNADA!Z148+'DIETOLOGÍA(S)'!Z148)</f>
        <v>0</v>
      </c>
      <c r="AA148" s="6">
        <f>SUM(PACIENTES!AA148+COMEDOR!AA148+JORNADA!AA148+'DIETOLOGÍA(S)'!AA148)</f>
        <v>0</v>
      </c>
      <c r="AB148" s="6">
        <f>SUM(PACIENTES!AB148+COMEDOR!AB148+JORNADA!AB148+'DIETOLOGÍA(S)'!AB148)</f>
        <v>0</v>
      </c>
      <c r="AC148" s="6">
        <f>SUM(PACIENTES!AC148+COMEDOR!AC148+JORNADA!AC148+'DIETOLOGÍA(S)'!AC148)</f>
        <v>0</v>
      </c>
      <c r="AD148" s="6">
        <f>SUM(PACIENTES!AD148+COMEDOR!AD148+JORNADA!AD148+'DIETOLOGÍA(S)'!AD148)</f>
        <v>0</v>
      </c>
      <c r="AE148" s="6">
        <f>SUM(PACIENTES!AE148+COMEDOR!AE148+JORNADA!AE148+'DIETOLOGÍA(S)'!AE148)</f>
        <v>0</v>
      </c>
      <c r="AF148" s="6">
        <f>SUM(PACIENTES!AF148+COMEDOR!AF148+JORNADA!AF148+'DIETOLOGÍA(S)'!AF148)</f>
        <v>0</v>
      </c>
      <c r="AG148" s="6">
        <f>SUM(PACIENTES!AG148+COMEDOR!AG148+JORNADA!AG148+'DIETOLOGÍA(S)'!AG148)</f>
        <v>0</v>
      </c>
      <c r="AH148" s="6">
        <f>SUM(PACIENTES!AH148+COMEDOR!AH148+JORNADA!AH148+'DIETOLOGÍA(S)'!AH148)</f>
        <v>0</v>
      </c>
      <c r="AI148" s="9">
        <f t="shared" si="5"/>
        <v>0</v>
      </c>
    </row>
    <row r="149" spans="1:35" ht="15.75" customHeight="1">
      <c r="A149" s="126">
        <v>2212007007</v>
      </c>
      <c r="B149" s="127" t="s">
        <v>154</v>
      </c>
      <c r="C149" s="129" t="s">
        <v>6</v>
      </c>
      <c r="D149" s="77">
        <f>SUM(PACIENTES!D149+COMEDOR!D149+JORNADA!D149+'DIETOLOGÍA(S)'!D149)</f>
        <v>0</v>
      </c>
      <c r="E149" s="77">
        <f>SUM(PACIENTES!E149+COMEDOR!E149+JORNADA!E149+'DIETOLOGÍA(S)'!E149)</f>
        <v>0</v>
      </c>
      <c r="F149" s="77">
        <f>SUM(PACIENTES!F149+COMEDOR!F149+JORNADA!F149+'DIETOLOGÍA(S)'!F149)</f>
        <v>0</v>
      </c>
      <c r="G149" s="77">
        <f>SUM(PACIENTES!G149+COMEDOR!G149+JORNADA!G149+'DIETOLOGÍA(S)'!G149)</f>
        <v>0</v>
      </c>
      <c r="H149" s="77">
        <f>SUM(PACIENTES!H149+COMEDOR!H149+JORNADA!H149+'DIETOLOGÍA(S)'!H149)</f>
        <v>0</v>
      </c>
      <c r="I149" s="77">
        <f>SUM(PACIENTES!I149+COMEDOR!I149+JORNADA!I149+'DIETOLOGÍA(S)'!I149)</f>
        <v>0</v>
      </c>
      <c r="J149" s="77">
        <f>SUM(PACIENTES!J149+COMEDOR!J149+JORNADA!J149+'DIETOLOGÍA(S)'!J149)</f>
        <v>0</v>
      </c>
      <c r="K149" s="77">
        <f>SUM(PACIENTES!K149+COMEDOR!K149+JORNADA!K149+'DIETOLOGÍA(S)'!K149)</f>
        <v>0</v>
      </c>
      <c r="L149" s="77">
        <f>SUM(PACIENTES!L149+COMEDOR!L149+JORNADA!L149+'DIETOLOGÍA(S)'!L149)</f>
        <v>0</v>
      </c>
      <c r="M149" s="77">
        <f>SUM(PACIENTES!M149+COMEDOR!M149+JORNADA!M149+'DIETOLOGÍA(S)'!M149)</f>
        <v>0</v>
      </c>
      <c r="N149" s="77">
        <f>SUM(PACIENTES!N149+COMEDOR!N149+JORNADA!N149+'DIETOLOGÍA(S)'!N149)</f>
        <v>0</v>
      </c>
      <c r="O149" s="77">
        <f>SUM(PACIENTES!O149+COMEDOR!O149+JORNADA!O149+'DIETOLOGÍA(S)'!O149)</f>
        <v>0</v>
      </c>
      <c r="P149" s="77">
        <f>SUM(PACIENTES!P149+COMEDOR!P149+JORNADA!P149+'DIETOLOGÍA(S)'!P149)</f>
        <v>0</v>
      </c>
      <c r="Q149" s="77">
        <f>SUM(PACIENTES!Q149+COMEDOR!Q149+JORNADA!Q149+'DIETOLOGÍA(S)'!Q149)</f>
        <v>0</v>
      </c>
      <c r="R149" s="77">
        <f>SUM(PACIENTES!R149+COMEDOR!R149+JORNADA!R149+'DIETOLOGÍA(S)'!R149)</f>
        <v>0</v>
      </c>
      <c r="S149" s="77">
        <f>SUM(PACIENTES!S149+COMEDOR!S149+JORNADA!S149+'DIETOLOGÍA(S)'!S149)</f>
        <v>0</v>
      </c>
      <c r="T149" s="77">
        <f>SUM(PACIENTES!T149+COMEDOR!T149+JORNADA!T149+'DIETOLOGÍA(S)'!T149)</f>
        <v>0</v>
      </c>
      <c r="U149" s="77">
        <f>SUM(PACIENTES!U149+COMEDOR!U149+JORNADA!U149+'DIETOLOGÍA(S)'!U149)</f>
        <v>0</v>
      </c>
      <c r="V149" s="77">
        <f>SUM(PACIENTES!V149+COMEDOR!V149+JORNADA!V149+'DIETOLOGÍA(S)'!V149)</f>
        <v>0</v>
      </c>
      <c r="W149" s="77">
        <f>SUM(PACIENTES!W149+COMEDOR!W149+JORNADA!W149+'DIETOLOGÍA(S)'!W149)</f>
        <v>0</v>
      </c>
      <c r="X149" s="77">
        <f>SUM(PACIENTES!X149+COMEDOR!X149+JORNADA!X149+'DIETOLOGÍA(S)'!X149)</f>
        <v>0</v>
      </c>
      <c r="Y149" s="77">
        <f>SUM(PACIENTES!Y149+COMEDOR!Y149+JORNADA!Y149+'DIETOLOGÍA(S)'!Y149)</f>
        <v>0</v>
      </c>
      <c r="Z149" s="77">
        <f>SUM(PACIENTES!Z149+COMEDOR!Z149+JORNADA!Z149+'DIETOLOGÍA(S)'!Z149)</f>
        <v>0</v>
      </c>
      <c r="AA149" s="77">
        <f>SUM(PACIENTES!AA149+COMEDOR!AA149+JORNADA!AA149+'DIETOLOGÍA(S)'!AA149)</f>
        <v>0</v>
      </c>
      <c r="AB149" s="77">
        <f>SUM(PACIENTES!AB149+COMEDOR!AB149+JORNADA!AB149+'DIETOLOGÍA(S)'!AB149)</f>
        <v>0</v>
      </c>
      <c r="AC149" s="77">
        <f>SUM(PACIENTES!AC149+COMEDOR!AC149+JORNADA!AC149+'DIETOLOGÍA(S)'!AC149)</f>
        <v>0</v>
      </c>
      <c r="AD149" s="77">
        <f>SUM(PACIENTES!AD149+COMEDOR!AD149+JORNADA!AD149+'DIETOLOGÍA(S)'!AD149)</f>
        <v>0</v>
      </c>
      <c r="AE149" s="77">
        <f>SUM(PACIENTES!AE149+COMEDOR!AE149+JORNADA!AE149+'DIETOLOGÍA(S)'!AE149)</f>
        <v>0</v>
      </c>
      <c r="AF149" s="77">
        <f>SUM(PACIENTES!AF149+COMEDOR!AF149+JORNADA!AF149+'DIETOLOGÍA(S)'!AF149)</f>
        <v>0</v>
      </c>
      <c r="AG149" s="77">
        <f>SUM(PACIENTES!AG149+COMEDOR!AG149+JORNADA!AG149+'DIETOLOGÍA(S)'!AG149)</f>
        <v>0</v>
      </c>
      <c r="AH149" s="77">
        <f>SUM(PACIENTES!AH149+COMEDOR!AH149+JORNADA!AH149+'DIETOLOGÍA(S)'!AH149)</f>
        <v>0</v>
      </c>
      <c r="AI149" s="9">
        <f t="shared" si="5"/>
        <v>0</v>
      </c>
    </row>
    <row r="150" spans="1:35" ht="15.75" customHeight="1">
      <c r="A150" s="126">
        <v>2212007008</v>
      </c>
      <c r="B150" s="127" t="s">
        <v>155</v>
      </c>
      <c r="C150" s="129" t="s">
        <v>6</v>
      </c>
      <c r="D150" s="77">
        <f>SUM(PACIENTES!D150+COMEDOR!D150+JORNADA!D150+'DIETOLOGÍA(S)'!D150)</f>
        <v>85</v>
      </c>
      <c r="E150" s="77">
        <f>SUM(PACIENTES!E150+COMEDOR!E150+JORNADA!E150+'DIETOLOGÍA(S)'!E150)</f>
        <v>0</v>
      </c>
      <c r="F150" s="77">
        <f>SUM(PACIENTES!F150+COMEDOR!F150+JORNADA!F150+'DIETOLOGÍA(S)'!F150)</f>
        <v>0</v>
      </c>
      <c r="G150" s="77">
        <f>SUM(PACIENTES!G150+COMEDOR!G150+JORNADA!G150+'DIETOLOGÍA(S)'!G150)</f>
        <v>0</v>
      </c>
      <c r="H150" s="77">
        <f>SUM(PACIENTES!H150+COMEDOR!H150+JORNADA!H150+'DIETOLOGÍA(S)'!H150)</f>
        <v>0</v>
      </c>
      <c r="I150" s="77">
        <f>SUM(PACIENTES!I150+COMEDOR!I150+JORNADA!I150+'DIETOLOGÍA(S)'!I150)</f>
        <v>0</v>
      </c>
      <c r="J150" s="77">
        <f>SUM(PACIENTES!J150+COMEDOR!J150+JORNADA!J150+'DIETOLOGÍA(S)'!J150)</f>
        <v>0</v>
      </c>
      <c r="K150" s="77">
        <f>SUM(PACIENTES!K150+COMEDOR!K150+JORNADA!K150+'DIETOLOGÍA(S)'!K150)</f>
        <v>0</v>
      </c>
      <c r="L150" s="77">
        <f>SUM(PACIENTES!L150+COMEDOR!L150+JORNADA!L150+'DIETOLOGÍA(S)'!L150)</f>
        <v>45</v>
      </c>
      <c r="M150" s="77">
        <f>SUM(PACIENTES!M150+COMEDOR!M150+JORNADA!M150+'DIETOLOGÍA(S)'!M150)</f>
        <v>0</v>
      </c>
      <c r="N150" s="77">
        <f>SUM(PACIENTES!N150+COMEDOR!N150+JORNADA!N150+'DIETOLOGÍA(S)'!N150)</f>
        <v>0</v>
      </c>
      <c r="O150" s="77">
        <f>SUM(PACIENTES!O150+COMEDOR!O150+JORNADA!O150+'DIETOLOGÍA(S)'!O150)</f>
        <v>0</v>
      </c>
      <c r="P150" s="77">
        <f>SUM(PACIENTES!P150+COMEDOR!P150+JORNADA!P150+'DIETOLOGÍA(S)'!P150)</f>
        <v>0</v>
      </c>
      <c r="Q150" s="6">
        <f>SUM(PACIENTES!Q150+COMEDOR!Q150+JORNADA!Q150+'DIETOLOGÍA(S)'!Q150)</f>
        <v>0</v>
      </c>
      <c r="R150" s="6">
        <f>SUM(PACIENTES!R150+COMEDOR!R150+JORNADA!R150+'DIETOLOGÍA(S)'!R150)</f>
        <v>0</v>
      </c>
      <c r="S150" s="6">
        <f>SUM(PACIENTES!S150+COMEDOR!S150+JORNADA!S150+'DIETOLOGÍA(S)'!S150)</f>
        <v>85</v>
      </c>
      <c r="T150" s="6">
        <f>SUM(PACIENTES!T150+COMEDOR!T150+JORNADA!T150+'DIETOLOGÍA(S)'!T150)</f>
        <v>0</v>
      </c>
      <c r="U150" s="6">
        <f>SUM(PACIENTES!U150+COMEDOR!U150+JORNADA!U150+'DIETOLOGÍA(S)'!U150)</f>
        <v>0</v>
      </c>
      <c r="V150" s="6">
        <f>SUM(PACIENTES!V150+COMEDOR!V150+JORNADA!V150+'DIETOLOGÍA(S)'!V150)</f>
        <v>0</v>
      </c>
      <c r="W150" s="6">
        <f>SUM(PACIENTES!W150+COMEDOR!W150+JORNADA!W150+'DIETOLOGÍA(S)'!W150)</f>
        <v>0</v>
      </c>
      <c r="X150" s="6">
        <f>SUM(PACIENTES!X150+COMEDOR!X150+JORNADA!X150+'DIETOLOGÍA(S)'!X150)</f>
        <v>0</v>
      </c>
      <c r="Y150" s="6">
        <f>SUM(PACIENTES!Y150+COMEDOR!Y150+JORNADA!Y150+'DIETOLOGÍA(S)'!Y150)</f>
        <v>0</v>
      </c>
      <c r="Z150" s="6">
        <f>SUM(PACIENTES!Z150+COMEDOR!Z150+JORNADA!Z150+'DIETOLOGÍA(S)'!Z150)</f>
        <v>0</v>
      </c>
      <c r="AA150" s="6">
        <f>SUM(PACIENTES!AA150+COMEDOR!AA150+JORNADA!AA150+'DIETOLOGÍA(S)'!AA150)</f>
        <v>0</v>
      </c>
      <c r="AB150" s="6">
        <f>SUM(PACIENTES!AB150+COMEDOR!AB150+JORNADA!AB150+'DIETOLOGÍA(S)'!AB150)</f>
        <v>0</v>
      </c>
      <c r="AC150" s="6">
        <f>SUM(PACIENTES!AC150+COMEDOR!AC150+JORNADA!AC150+'DIETOLOGÍA(S)'!AC150)</f>
        <v>0</v>
      </c>
      <c r="AD150" s="6">
        <f>SUM(PACIENTES!AD150+COMEDOR!AD150+JORNADA!AD150+'DIETOLOGÍA(S)'!AD150)</f>
        <v>0</v>
      </c>
      <c r="AE150" s="6">
        <f>SUM(PACIENTES!AE150+COMEDOR!AE150+JORNADA!AE150+'DIETOLOGÍA(S)'!AE150)</f>
        <v>0</v>
      </c>
      <c r="AF150" s="6">
        <f>SUM(PACIENTES!AF150+COMEDOR!AF150+JORNADA!AF150+'DIETOLOGÍA(S)'!AF150)</f>
        <v>0</v>
      </c>
      <c r="AG150" s="6">
        <f>SUM(PACIENTES!AG150+COMEDOR!AG150+JORNADA!AG150+'DIETOLOGÍA(S)'!AG150)</f>
        <v>0</v>
      </c>
      <c r="AH150" s="6">
        <f>SUM(PACIENTES!AH150+COMEDOR!AH150+JORNADA!AH150+'DIETOLOGÍA(S)'!AH150)</f>
        <v>0</v>
      </c>
      <c r="AI150" s="9">
        <f t="shared" si="5"/>
        <v>215</v>
      </c>
    </row>
    <row r="151" spans="1:35" ht="15.75" customHeight="1">
      <c r="A151" s="126">
        <v>2212007009</v>
      </c>
      <c r="B151" s="127" t="s">
        <v>156</v>
      </c>
      <c r="C151" s="129" t="s">
        <v>6</v>
      </c>
      <c r="D151" s="77">
        <f>SUM(PACIENTES!D151+COMEDOR!D151+JORNADA!D151+'DIETOLOGÍA(S)'!D151)</f>
        <v>24</v>
      </c>
      <c r="E151" s="77">
        <f>SUM(PACIENTES!E151+COMEDOR!E151+JORNADA!E151+'DIETOLOGÍA(S)'!E151)</f>
        <v>0</v>
      </c>
      <c r="F151" s="77">
        <f>SUM(PACIENTES!F151+COMEDOR!F151+JORNADA!F151+'DIETOLOGÍA(S)'!F151)</f>
        <v>0</v>
      </c>
      <c r="G151" s="77">
        <f>SUM(PACIENTES!G151+COMEDOR!G151+JORNADA!G151+'DIETOLOGÍA(S)'!G151)</f>
        <v>0</v>
      </c>
      <c r="H151" s="77">
        <f>SUM(PACIENTES!H151+COMEDOR!H151+JORNADA!H151+'DIETOLOGÍA(S)'!H151)</f>
        <v>0</v>
      </c>
      <c r="I151" s="77">
        <f>SUM(PACIENTES!I151+COMEDOR!I151+JORNADA!I151+'DIETOLOGÍA(S)'!I151)</f>
        <v>0</v>
      </c>
      <c r="J151" s="77">
        <f>SUM(PACIENTES!J151+COMEDOR!J151+JORNADA!J151+'DIETOLOGÍA(S)'!J151)</f>
        <v>0</v>
      </c>
      <c r="K151" s="77">
        <f>SUM(PACIENTES!K151+COMEDOR!K151+JORNADA!K151+'DIETOLOGÍA(S)'!K151)</f>
        <v>0</v>
      </c>
      <c r="L151" s="77">
        <f>SUM(PACIENTES!L151+COMEDOR!L151+JORNADA!L151+'DIETOLOGÍA(S)'!L151)</f>
        <v>0</v>
      </c>
      <c r="M151" s="77">
        <f>SUM(PACIENTES!M151+COMEDOR!M151+JORNADA!M151+'DIETOLOGÍA(S)'!M151)</f>
        <v>0</v>
      </c>
      <c r="N151" s="77">
        <f>SUM(PACIENTES!N151+COMEDOR!N151+JORNADA!N151+'DIETOLOGÍA(S)'!N151)</f>
        <v>0</v>
      </c>
      <c r="O151" s="77">
        <f>SUM(PACIENTES!O151+COMEDOR!O151+JORNADA!O151+'DIETOLOGÍA(S)'!O151)</f>
        <v>0</v>
      </c>
      <c r="P151" s="77">
        <f>SUM(PACIENTES!P151+COMEDOR!P151+JORNADA!P151+'DIETOLOGÍA(S)'!P151)</f>
        <v>0</v>
      </c>
      <c r="Q151" s="77">
        <f>SUM(PACIENTES!Q151+COMEDOR!Q151+JORNADA!Q151+'DIETOLOGÍA(S)'!Q151)</f>
        <v>0</v>
      </c>
      <c r="R151" s="77">
        <f>SUM(PACIENTES!R151+COMEDOR!R151+JORNADA!R151+'DIETOLOGÍA(S)'!R151)</f>
        <v>0</v>
      </c>
      <c r="S151" s="77">
        <f>SUM(PACIENTES!S151+COMEDOR!S151+JORNADA!S151+'DIETOLOGÍA(S)'!S151)</f>
        <v>0</v>
      </c>
      <c r="T151" s="77">
        <f>SUM(PACIENTES!T151+COMEDOR!T151+JORNADA!T151+'DIETOLOGÍA(S)'!T151)</f>
        <v>0</v>
      </c>
      <c r="U151" s="77">
        <f>SUM(PACIENTES!U151+COMEDOR!U151+JORNADA!U151+'DIETOLOGÍA(S)'!U151)</f>
        <v>20</v>
      </c>
      <c r="V151" s="77">
        <f>SUM(PACIENTES!V151+COMEDOR!V151+JORNADA!V151+'DIETOLOGÍA(S)'!V151)</f>
        <v>0</v>
      </c>
      <c r="W151" s="77">
        <f>SUM(PACIENTES!W151+COMEDOR!W151+JORNADA!W151+'DIETOLOGÍA(S)'!W151)</f>
        <v>0</v>
      </c>
      <c r="X151" s="77">
        <f>SUM(PACIENTES!X151+COMEDOR!X151+JORNADA!X151+'DIETOLOGÍA(S)'!X151)</f>
        <v>0</v>
      </c>
      <c r="Y151" s="77">
        <f>SUM(PACIENTES!Y151+COMEDOR!Y151+JORNADA!Y151+'DIETOLOGÍA(S)'!Y151)</f>
        <v>0</v>
      </c>
      <c r="Z151" s="77">
        <f>SUM(PACIENTES!Z151+COMEDOR!Z151+JORNADA!Z151+'DIETOLOGÍA(S)'!Z151)</f>
        <v>0</v>
      </c>
      <c r="AA151" s="77">
        <f>SUM(PACIENTES!AA151+COMEDOR!AA151+JORNADA!AA151+'DIETOLOGÍA(S)'!AA151)</f>
        <v>0</v>
      </c>
      <c r="AB151" s="77">
        <f>SUM(PACIENTES!AB151+COMEDOR!AB151+JORNADA!AB151+'DIETOLOGÍA(S)'!AB151)</f>
        <v>0</v>
      </c>
      <c r="AC151" s="77">
        <f>SUM(PACIENTES!AC151+COMEDOR!AC151+JORNADA!AC151+'DIETOLOGÍA(S)'!AC151)</f>
        <v>0</v>
      </c>
      <c r="AD151" s="77">
        <f>SUM(PACIENTES!AD151+COMEDOR!AD151+JORNADA!AD151+'DIETOLOGÍA(S)'!AD151)</f>
        <v>0</v>
      </c>
      <c r="AE151" s="77">
        <f>SUM(PACIENTES!AE151+COMEDOR!AE151+JORNADA!AE151+'DIETOLOGÍA(S)'!AE151)</f>
        <v>0</v>
      </c>
      <c r="AF151" s="77">
        <f>SUM(PACIENTES!AF151+COMEDOR!AF151+JORNADA!AF151+'DIETOLOGÍA(S)'!AF151)</f>
        <v>0</v>
      </c>
      <c r="AG151" s="77">
        <f>SUM(PACIENTES!AG151+COMEDOR!AG151+JORNADA!AG151+'DIETOLOGÍA(S)'!AG151)</f>
        <v>0</v>
      </c>
      <c r="AH151" s="77">
        <f>SUM(PACIENTES!AH151+COMEDOR!AH151+JORNADA!AH151+'DIETOLOGÍA(S)'!AH151)</f>
        <v>0</v>
      </c>
      <c r="AI151" s="9">
        <f t="shared" si="5"/>
        <v>44</v>
      </c>
    </row>
    <row r="152" spans="1:35" ht="15.75" customHeight="1">
      <c r="A152" s="133">
        <v>2212007010</v>
      </c>
      <c r="B152" s="134" t="s">
        <v>157</v>
      </c>
      <c r="C152" s="135" t="s">
        <v>6</v>
      </c>
      <c r="D152" s="598">
        <f>SUM(PACIENTES!D152+COMEDOR!D152+JORNADA!D152+'DIETOLOGÍA(S)'!D152)</f>
        <v>0</v>
      </c>
      <c r="E152" s="598">
        <f>SUM(PACIENTES!E152+COMEDOR!E152+JORNADA!E152+'DIETOLOGÍA(S)'!E152)</f>
        <v>0</v>
      </c>
      <c r="F152" s="598">
        <f>SUM(PACIENTES!F152+COMEDOR!F152+JORNADA!F152+'DIETOLOGÍA(S)'!F152)</f>
        <v>0</v>
      </c>
      <c r="G152" s="598">
        <f>SUM(PACIENTES!G152+COMEDOR!G152+JORNADA!G152+'DIETOLOGÍA(S)'!G152)</f>
        <v>0</v>
      </c>
      <c r="H152" s="598">
        <f>SUM(PACIENTES!H152+COMEDOR!H152+JORNADA!H152+'DIETOLOGÍA(S)'!H152)</f>
        <v>0</v>
      </c>
      <c r="I152" s="598">
        <f>SUM(PACIENTES!I152+COMEDOR!I152+JORNADA!I152+'DIETOLOGÍA(S)'!I152)</f>
        <v>0</v>
      </c>
      <c r="J152" s="598">
        <f>SUM(PACIENTES!J152+COMEDOR!J152+JORNADA!J152+'DIETOLOGÍA(S)'!J152)</f>
        <v>0</v>
      </c>
      <c r="K152" s="598">
        <f>SUM(PACIENTES!K152+COMEDOR!K152+JORNADA!K152+'DIETOLOGÍA(S)'!K152)</f>
        <v>0</v>
      </c>
      <c r="L152" s="598">
        <f>SUM(PACIENTES!L152+COMEDOR!L152+JORNADA!L152+'DIETOLOGÍA(S)'!L152)</f>
        <v>25</v>
      </c>
      <c r="M152" s="598">
        <f>SUM(PACIENTES!M152+COMEDOR!M152+JORNADA!M152+'DIETOLOGÍA(S)'!M152)</f>
        <v>0</v>
      </c>
      <c r="N152" s="598">
        <f>SUM(PACIENTES!N152+COMEDOR!N152+JORNADA!N152+'DIETOLOGÍA(S)'!N152)</f>
        <v>0</v>
      </c>
      <c r="O152" s="598">
        <f>SUM(PACIENTES!O152+COMEDOR!O152+JORNADA!O152+'DIETOLOGÍA(S)'!O152)</f>
        <v>0</v>
      </c>
      <c r="P152" s="598">
        <f>SUM(PACIENTES!P152+COMEDOR!P152+JORNADA!P152+'DIETOLOGÍA(S)'!P152)</f>
        <v>0</v>
      </c>
      <c r="Q152" s="598">
        <f>SUM(PACIENTES!Q152+COMEDOR!Q152+JORNADA!Q152+'DIETOLOGÍA(S)'!Q152)</f>
        <v>0</v>
      </c>
      <c r="R152" s="598">
        <f>SUM(PACIENTES!R152+COMEDOR!R152+JORNADA!R152+'DIETOLOGÍA(S)'!R152)</f>
        <v>0</v>
      </c>
      <c r="S152" s="598">
        <f>SUM(PACIENTES!S152+COMEDOR!S152+JORNADA!S152+'DIETOLOGÍA(S)'!S152)</f>
        <v>0</v>
      </c>
      <c r="T152" s="598">
        <f>SUM(PACIENTES!T152+COMEDOR!T152+JORNADA!T152+'DIETOLOGÍA(S)'!T152)</f>
        <v>0</v>
      </c>
      <c r="U152" s="598">
        <f>SUM(PACIENTES!U152+COMEDOR!U152+JORNADA!U152+'DIETOLOGÍA(S)'!U152)</f>
        <v>0</v>
      </c>
      <c r="V152" s="598">
        <f>SUM(PACIENTES!V152+COMEDOR!V152+JORNADA!V152+'DIETOLOGÍA(S)'!V152)</f>
        <v>0</v>
      </c>
      <c r="W152" s="598">
        <f>SUM(PACIENTES!W152+COMEDOR!W152+JORNADA!W152+'DIETOLOGÍA(S)'!W152)</f>
        <v>0</v>
      </c>
      <c r="X152" s="598">
        <f>SUM(PACIENTES!X152+COMEDOR!X152+JORNADA!X152+'DIETOLOGÍA(S)'!X152)</f>
        <v>0</v>
      </c>
      <c r="Y152" s="598">
        <f>SUM(PACIENTES!Y152+COMEDOR!Y152+JORNADA!Y152+'DIETOLOGÍA(S)'!Y152)</f>
        <v>0</v>
      </c>
      <c r="Z152" s="598">
        <f>SUM(PACIENTES!Z152+COMEDOR!Z152+JORNADA!Z152+'DIETOLOGÍA(S)'!Z152)</f>
        <v>0</v>
      </c>
      <c r="AA152" s="598">
        <f>SUM(PACIENTES!AA152+COMEDOR!AA152+JORNADA!AA152+'DIETOLOGÍA(S)'!AA152)</f>
        <v>0</v>
      </c>
      <c r="AB152" s="598">
        <f>SUM(PACIENTES!AB152+COMEDOR!AB152+JORNADA!AB152+'DIETOLOGÍA(S)'!AB152)</f>
        <v>0</v>
      </c>
      <c r="AC152" s="598">
        <f>SUM(PACIENTES!AC152+COMEDOR!AC152+JORNADA!AC152+'DIETOLOGÍA(S)'!AC152)</f>
        <v>0</v>
      </c>
      <c r="AD152" s="598">
        <f>SUM(PACIENTES!AD152+COMEDOR!AD152+JORNADA!AD152+'DIETOLOGÍA(S)'!AD152)</f>
        <v>0</v>
      </c>
      <c r="AE152" s="598">
        <f>SUM(PACIENTES!AE152+COMEDOR!AE152+JORNADA!AE152+'DIETOLOGÍA(S)'!AE152)</f>
        <v>0</v>
      </c>
      <c r="AF152" s="598">
        <f>SUM(PACIENTES!AF152+COMEDOR!AF152+JORNADA!AF152+'DIETOLOGÍA(S)'!AF152)</f>
        <v>0</v>
      </c>
      <c r="AG152" s="598">
        <f>SUM(PACIENTES!AG152+COMEDOR!AG152+JORNADA!AG152+'DIETOLOGÍA(S)'!AG152)</f>
        <v>0</v>
      </c>
      <c r="AH152" s="598">
        <f>SUM(PACIENTES!AH152+COMEDOR!AH152+JORNADA!AH152+'DIETOLOGÍA(S)'!AH152)</f>
        <v>0</v>
      </c>
      <c r="AI152" s="40">
        <f t="shared" si="5"/>
        <v>25</v>
      </c>
    </row>
    <row r="153" spans="1:35" ht="18.75" customHeight="1">
      <c r="A153" s="620" t="s">
        <v>158</v>
      </c>
      <c r="B153" s="606"/>
      <c r="C153" s="606"/>
      <c r="D153" s="606"/>
      <c r="E153" s="606"/>
      <c r="F153" s="606"/>
      <c r="G153" s="606"/>
      <c r="H153" s="606"/>
      <c r="I153" s="606"/>
      <c r="J153" s="606"/>
      <c r="K153" s="606"/>
      <c r="L153" s="606"/>
      <c r="M153" s="606"/>
      <c r="N153" s="606"/>
      <c r="O153" s="606"/>
      <c r="P153" s="606"/>
      <c r="Q153" s="606"/>
      <c r="R153" s="606"/>
      <c r="S153" s="606"/>
      <c r="T153" s="606"/>
      <c r="U153" s="606"/>
      <c r="V153" s="606"/>
      <c r="W153" s="606"/>
      <c r="X153" s="606"/>
      <c r="Y153" s="606"/>
      <c r="Z153" s="606"/>
      <c r="AA153" s="606"/>
      <c r="AB153" s="606"/>
      <c r="AC153" s="606"/>
      <c r="AD153" s="606"/>
      <c r="AE153" s="606"/>
      <c r="AF153" s="606"/>
      <c r="AG153" s="606"/>
      <c r="AH153" s="607"/>
      <c r="AI153" s="44"/>
    </row>
    <row r="154" spans="1:35" ht="15.75" customHeight="1">
      <c r="A154" s="87">
        <v>2212003002</v>
      </c>
      <c r="B154" s="88" t="s">
        <v>159</v>
      </c>
      <c r="C154" s="89" t="s">
        <v>6</v>
      </c>
      <c r="D154" s="6">
        <f>SUM(PACIENTES!D154+COMEDOR!D154+JORNADA!D154+'DIETOLOGÍA(S)'!D154)</f>
        <v>0</v>
      </c>
      <c r="E154" s="6">
        <f>SUM(PACIENTES!E154+COMEDOR!E154+JORNADA!E154+'DIETOLOGÍA(S)'!E154)</f>
        <v>0</v>
      </c>
      <c r="F154" s="6">
        <f>SUM(PACIENTES!F154+COMEDOR!F154+JORNADA!F154+'DIETOLOGÍA(S)'!F154)</f>
        <v>0</v>
      </c>
      <c r="G154" s="6">
        <f>SUM(PACIENTES!G154+COMEDOR!G154+JORNADA!G154+'DIETOLOGÍA(S)'!G154)</f>
        <v>0</v>
      </c>
      <c r="H154" s="6">
        <f>SUM(PACIENTES!H154+COMEDOR!H154+JORNADA!H154+'DIETOLOGÍA(S)'!H154)</f>
        <v>0</v>
      </c>
      <c r="I154" s="6">
        <f>SUM(PACIENTES!I154+COMEDOR!I154+JORNADA!I154+'DIETOLOGÍA(S)'!I154)</f>
        <v>1</v>
      </c>
      <c r="J154" s="6">
        <f>SUM(PACIENTES!J154+COMEDOR!J154+JORNADA!J154+'DIETOLOGÍA(S)'!J154)</f>
        <v>1</v>
      </c>
      <c r="K154" s="6">
        <f>SUM(PACIENTES!K154+COMEDOR!K154+JORNADA!K154+'DIETOLOGÍA(S)'!K154)</f>
        <v>0</v>
      </c>
      <c r="L154" s="6">
        <f>SUM(PACIENTES!L154+COMEDOR!L154+JORNADA!L154+'DIETOLOGÍA(S)'!L154)</f>
        <v>0</v>
      </c>
      <c r="M154" s="6">
        <f>SUM(PACIENTES!M154+COMEDOR!M154+JORNADA!M154+'DIETOLOGÍA(S)'!M154)</f>
        <v>0</v>
      </c>
      <c r="N154" s="6">
        <f>SUM(PACIENTES!N154+COMEDOR!N154+JORNADA!N154+'DIETOLOGÍA(S)'!N154)</f>
        <v>0</v>
      </c>
      <c r="O154" s="6">
        <f>SUM(PACIENTES!O154+COMEDOR!O154+JORNADA!O154+'DIETOLOGÍA(S)'!O154)</f>
        <v>0</v>
      </c>
      <c r="P154" s="6">
        <f>SUM(PACIENTES!P154+COMEDOR!P154+JORNADA!P154+'DIETOLOGÍA(S)'!P154)</f>
        <v>0</v>
      </c>
      <c r="Q154" s="6">
        <f>SUM(PACIENTES!Q154+COMEDOR!Q154+JORNADA!Q154+'DIETOLOGÍA(S)'!Q154)</f>
        <v>0</v>
      </c>
      <c r="R154" s="6">
        <f>SUM(PACIENTES!R154+COMEDOR!R154+JORNADA!R154+'DIETOLOGÍA(S)'!R154)</f>
        <v>0</v>
      </c>
      <c r="S154" s="6">
        <f>SUM(PACIENTES!S154+COMEDOR!S154+JORNADA!S154+'DIETOLOGÍA(S)'!S154)</f>
        <v>0</v>
      </c>
      <c r="T154" s="6">
        <f>SUM(PACIENTES!T154+COMEDOR!T154+JORNADA!T154+'DIETOLOGÍA(S)'!T154)</f>
        <v>0</v>
      </c>
      <c r="U154" s="6">
        <f>SUM(PACIENTES!U154+COMEDOR!U154+JORNADA!U154+'DIETOLOGÍA(S)'!U154)</f>
        <v>0</v>
      </c>
      <c r="V154" s="6">
        <f>SUM(PACIENTES!V154+COMEDOR!V154+JORNADA!V154+'DIETOLOGÍA(S)'!V154)</f>
        <v>0</v>
      </c>
      <c r="W154" s="6">
        <f>SUM(PACIENTES!W154+COMEDOR!W154+JORNADA!W154+'DIETOLOGÍA(S)'!W154)</f>
        <v>0</v>
      </c>
      <c r="X154" s="6">
        <f>SUM(PACIENTES!X154+COMEDOR!X154+JORNADA!X154+'DIETOLOGÍA(S)'!X154)</f>
        <v>1</v>
      </c>
      <c r="Y154" s="6">
        <f>SUM(PACIENTES!Y154+COMEDOR!Y154+JORNADA!Y154+'DIETOLOGÍA(S)'!Y154)</f>
        <v>0</v>
      </c>
      <c r="Z154" s="6">
        <f>SUM(PACIENTES!Z154+COMEDOR!Z154+JORNADA!Z154+'DIETOLOGÍA(S)'!Z154)</f>
        <v>0</v>
      </c>
      <c r="AA154" s="6">
        <f>SUM(PACIENTES!AA154+COMEDOR!AA154+JORNADA!AA154+'DIETOLOGÍA(S)'!AA154)</f>
        <v>0</v>
      </c>
      <c r="AB154" s="6">
        <f>SUM(PACIENTES!AB154+COMEDOR!AB154+JORNADA!AB154+'DIETOLOGÍA(S)'!AB154)</f>
        <v>0</v>
      </c>
      <c r="AC154" s="6">
        <f>SUM(PACIENTES!AC154+COMEDOR!AC154+JORNADA!AC154+'DIETOLOGÍA(S)'!AC154)</f>
        <v>0</v>
      </c>
      <c r="AD154" s="6">
        <f>SUM(PACIENTES!AD154+COMEDOR!AD154+JORNADA!AD154+'DIETOLOGÍA(S)'!AD154)</f>
        <v>1</v>
      </c>
      <c r="AE154" s="6">
        <f>SUM(PACIENTES!AE154+COMEDOR!AE154+JORNADA!AE154+'DIETOLOGÍA(S)'!AE154)</f>
        <v>0</v>
      </c>
      <c r="AF154" s="6">
        <f>SUM(PACIENTES!AF154+COMEDOR!AF154+JORNADA!AF154+'DIETOLOGÍA(S)'!AF154)</f>
        <v>0</v>
      </c>
      <c r="AG154" s="6">
        <f>SUM(PACIENTES!AG154+COMEDOR!AG154+JORNADA!AG154+'DIETOLOGÍA(S)'!AG154)</f>
        <v>0</v>
      </c>
      <c r="AH154" s="6">
        <f>SUM(PACIENTES!AH154+COMEDOR!AH154+JORNADA!AH154+'DIETOLOGÍA(S)'!AH154)</f>
        <v>0</v>
      </c>
      <c r="AI154" s="48">
        <f t="shared" ref="AI154:AI163" si="6">SUM(D154:AH154)</f>
        <v>4</v>
      </c>
    </row>
    <row r="155" spans="1:35" ht="15.75" customHeight="1">
      <c r="A155" s="90">
        <v>2212003003</v>
      </c>
      <c r="B155" s="92" t="s">
        <v>160</v>
      </c>
      <c r="C155" s="91" t="s">
        <v>6</v>
      </c>
      <c r="D155" s="6">
        <f>SUM(PACIENTES!D155+COMEDOR!D155+JORNADA!D155+'DIETOLOGÍA(S)'!D155)</f>
        <v>2</v>
      </c>
      <c r="E155" s="6">
        <f>SUM(PACIENTES!E155+COMEDOR!E155+JORNADA!E155+'DIETOLOGÍA(S)'!E155)</f>
        <v>2</v>
      </c>
      <c r="F155" s="6">
        <f>SUM(PACIENTES!F155+COMEDOR!F155+JORNADA!F155+'DIETOLOGÍA(S)'!F155)</f>
        <v>2</v>
      </c>
      <c r="G155" s="6">
        <f>SUM(PACIENTES!G155+COMEDOR!G155+JORNADA!G155+'DIETOLOGÍA(S)'!G155)</f>
        <v>12</v>
      </c>
      <c r="H155" s="6">
        <f>SUM(PACIENTES!H155+COMEDOR!H155+JORNADA!H155+'DIETOLOGÍA(S)'!H155)</f>
        <v>21</v>
      </c>
      <c r="I155" s="6">
        <f>SUM(PACIENTES!I155+COMEDOR!I155+JORNADA!I155+'DIETOLOGÍA(S)'!I155)</f>
        <v>17</v>
      </c>
      <c r="J155" s="6">
        <f>SUM(PACIENTES!J155+COMEDOR!J155+JORNADA!J155+'DIETOLOGÍA(S)'!J155)</f>
        <v>25</v>
      </c>
      <c r="K155" s="6">
        <f>SUM(PACIENTES!K155+COMEDOR!K155+JORNADA!K155+'DIETOLOGÍA(S)'!K155)</f>
        <v>2</v>
      </c>
      <c r="L155" s="6">
        <f>SUM(PACIENTES!L155+COMEDOR!L155+JORNADA!L155+'DIETOLOGÍA(S)'!L155)</f>
        <v>15</v>
      </c>
      <c r="M155" s="6">
        <f>SUM(PACIENTES!M155+COMEDOR!M155+JORNADA!M155+'DIETOLOGÍA(S)'!M155)</f>
        <v>2</v>
      </c>
      <c r="N155" s="6">
        <f>SUM(PACIENTES!N155+COMEDOR!N155+JORNADA!N155+'DIETOLOGÍA(S)'!N155)</f>
        <v>2</v>
      </c>
      <c r="O155" s="6">
        <f>SUM(PACIENTES!O155+COMEDOR!O155+JORNADA!O155+'DIETOLOGÍA(S)'!O155)</f>
        <v>2</v>
      </c>
      <c r="P155" s="6">
        <f>SUM(PACIENTES!P155+COMEDOR!P155+JORNADA!P155+'DIETOLOGÍA(S)'!P155)</f>
        <v>2</v>
      </c>
      <c r="Q155" s="6">
        <f>SUM(PACIENTES!Q155+COMEDOR!Q155+JORNADA!Q155+'DIETOLOGÍA(S)'!Q155)</f>
        <v>2</v>
      </c>
      <c r="R155" s="6">
        <f>SUM(PACIENTES!R155+COMEDOR!R155+JORNADA!R155+'DIETOLOGÍA(S)'!R155)</f>
        <v>2</v>
      </c>
      <c r="S155" s="6">
        <f>SUM(PACIENTES!S155+COMEDOR!S155+JORNADA!S155+'DIETOLOGÍA(S)'!S155)</f>
        <v>2</v>
      </c>
      <c r="T155" s="6">
        <f>SUM(PACIENTES!T155+COMEDOR!T155+JORNADA!T155+'DIETOLOGÍA(S)'!T155)</f>
        <v>2</v>
      </c>
      <c r="U155" s="6">
        <f>SUM(PACIENTES!U155+COMEDOR!U155+JORNADA!U155+'DIETOLOGÍA(S)'!U155)</f>
        <v>12</v>
      </c>
      <c r="V155" s="6">
        <f>SUM(PACIENTES!V155+COMEDOR!V155+JORNADA!V155+'DIETOLOGÍA(S)'!V155)</f>
        <v>2</v>
      </c>
      <c r="W155" s="6">
        <f>SUM(PACIENTES!W155+COMEDOR!W155+JORNADA!W155+'DIETOLOGÍA(S)'!W155)</f>
        <v>9</v>
      </c>
      <c r="X155" s="6">
        <f>SUM(PACIENTES!X155+COMEDOR!X155+JORNADA!X155+'DIETOLOGÍA(S)'!X155)</f>
        <v>25</v>
      </c>
      <c r="Y155" s="6">
        <f>SUM(PACIENTES!Y155+COMEDOR!Y155+JORNADA!Y155+'DIETOLOGÍA(S)'!Y155)</f>
        <v>12</v>
      </c>
      <c r="Z155" s="6">
        <f>SUM(PACIENTES!Z155+COMEDOR!Z155+JORNADA!Z155+'DIETOLOGÍA(S)'!Z155)</f>
        <v>2</v>
      </c>
      <c r="AA155" s="6">
        <f>SUM(PACIENTES!AA155+COMEDOR!AA155+JORNADA!AA155+'DIETOLOGÍA(S)'!AA155)</f>
        <v>2</v>
      </c>
      <c r="AB155" s="6">
        <f>SUM(PACIENTES!AB155+COMEDOR!AB155+JORNADA!AB155+'DIETOLOGÍA(S)'!AB155)</f>
        <v>2</v>
      </c>
      <c r="AC155" s="77">
        <f>SUM(PACIENTES!AC155+COMEDOR!AC155+JORNADA!AC155+'DIETOLOGÍA(S)'!AC155)</f>
        <v>15</v>
      </c>
      <c r="AD155" s="77">
        <f>SUM(PACIENTES!AD155+COMEDOR!AD155+JORNADA!AD155+'DIETOLOGÍA(S)'!AD155)</f>
        <v>2</v>
      </c>
      <c r="AE155" s="77">
        <f>SUM(PACIENTES!AE155+COMEDOR!AE155+JORNADA!AE155+'DIETOLOGÍA(S)'!AE155)</f>
        <v>2</v>
      </c>
      <c r="AF155" s="77">
        <f>SUM(PACIENTES!AF155+COMEDOR!AF155+JORNADA!AF155+'DIETOLOGÍA(S)'!AF155)</f>
        <v>2</v>
      </c>
      <c r="AG155" s="77">
        <f>SUM(PACIENTES!AG155+COMEDOR!AG155+JORNADA!AG155+'DIETOLOGÍA(S)'!AG155)</f>
        <v>14</v>
      </c>
      <c r="AH155" s="77">
        <f>SUM(PACIENTES!AH155+COMEDOR!AH155+JORNADA!AH155+'DIETOLOGÍA(S)'!AH155)</f>
        <v>2</v>
      </c>
      <c r="AI155" s="9">
        <f t="shared" si="6"/>
        <v>217</v>
      </c>
    </row>
    <row r="156" spans="1:35" ht="15.75" customHeight="1">
      <c r="A156" s="90">
        <v>2212003004</v>
      </c>
      <c r="B156" s="92" t="s">
        <v>161</v>
      </c>
      <c r="C156" s="91" t="s">
        <v>6</v>
      </c>
      <c r="D156" s="6">
        <f>SUM(PACIENTES!D156+COMEDOR!D156+JORNADA!D156+'DIETOLOGÍA(S)'!D156)</f>
        <v>0</v>
      </c>
      <c r="E156" s="6">
        <f>SUM(PACIENTES!E156+COMEDOR!E156+JORNADA!E156+'DIETOLOGÍA(S)'!E156)</f>
        <v>0</v>
      </c>
      <c r="F156" s="6">
        <f>SUM(PACIENTES!F156+COMEDOR!F156+JORNADA!F156+'DIETOLOGÍA(S)'!F156)</f>
        <v>0</v>
      </c>
      <c r="G156" s="6">
        <f>SUM(PACIENTES!G156+COMEDOR!G156+JORNADA!G156+'DIETOLOGÍA(S)'!G156)</f>
        <v>0</v>
      </c>
      <c r="H156" s="6">
        <f>SUM(PACIENTES!H156+COMEDOR!H156+JORNADA!H156+'DIETOLOGÍA(S)'!H156)</f>
        <v>0</v>
      </c>
      <c r="I156" s="6">
        <f>SUM(PACIENTES!I156+COMEDOR!I156+JORNADA!I156+'DIETOLOGÍA(S)'!I156)</f>
        <v>0</v>
      </c>
      <c r="J156" s="6">
        <f>SUM(PACIENTES!J156+COMEDOR!J156+JORNADA!J156+'DIETOLOGÍA(S)'!J156)</f>
        <v>0</v>
      </c>
      <c r="K156" s="6">
        <f>SUM(PACIENTES!K156+COMEDOR!K156+JORNADA!K156+'DIETOLOGÍA(S)'!K156)</f>
        <v>0</v>
      </c>
      <c r="L156" s="6">
        <f>SUM(PACIENTES!L156+COMEDOR!L156+JORNADA!L156+'DIETOLOGÍA(S)'!L156)</f>
        <v>0</v>
      </c>
      <c r="M156" s="6">
        <f>SUM(PACIENTES!M156+COMEDOR!M156+JORNADA!M156+'DIETOLOGÍA(S)'!M156)</f>
        <v>0</v>
      </c>
      <c r="N156" s="6">
        <f>SUM(PACIENTES!N156+COMEDOR!N156+JORNADA!N156+'DIETOLOGÍA(S)'!N156)</f>
        <v>0</v>
      </c>
      <c r="O156" s="6">
        <f>SUM(PACIENTES!O156+COMEDOR!O156+JORNADA!O156+'DIETOLOGÍA(S)'!O156)</f>
        <v>0</v>
      </c>
      <c r="P156" s="6">
        <f>SUM(PACIENTES!P156+COMEDOR!P156+JORNADA!P156+'DIETOLOGÍA(S)'!P156)</f>
        <v>0</v>
      </c>
      <c r="Q156" s="6">
        <f>SUM(PACIENTES!Q156+COMEDOR!Q156+JORNADA!Q156+'DIETOLOGÍA(S)'!Q156)</f>
        <v>0</v>
      </c>
      <c r="R156" s="6">
        <f>SUM(PACIENTES!R156+COMEDOR!R156+JORNADA!R156+'DIETOLOGÍA(S)'!R156)</f>
        <v>0</v>
      </c>
      <c r="S156" s="6">
        <f>SUM(PACIENTES!S156+COMEDOR!S156+JORNADA!S156+'DIETOLOGÍA(S)'!S156)</f>
        <v>0</v>
      </c>
      <c r="T156" s="6">
        <f>SUM(PACIENTES!T156+COMEDOR!T156+JORNADA!T156+'DIETOLOGÍA(S)'!T156)</f>
        <v>0</v>
      </c>
      <c r="U156" s="6">
        <f>SUM(PACIENTES!U156+COMEDOR!U156+JORNADA!U156+'DIETOLOGÍA(S)'!U156)</f>
        <v>0</v>
      </c>
      <c r="V156" s="6">
        <f>SUM(PACIENTES!V156+COMEDOR!V156+JORNADA!V156+'DIETOLOGÍA(S)'!V156)</f>
        <v>0</v>
      </c>
      <c r="W156" s="6">
        <f>SUM(PACIENTES!W156+COMEDOR!W156+JORNADA!W156+'DIETOLOGÍA(S)'!W156)</f>
        <v>0</v>
      </c>
      <c r="X156" s="6">
        <f>SUM(PACIENTES!X156+COMEDOR!X156+JORNADA!X156+'DIETOLOGÍA(S)'!X156)</f>
        <v>0</v>
      </c>
      <c r="Y156" s="6">
        <f>SUM(PACIENTES!Y156+COMEDOR!Y156+JORNADA!Y156+'DIETOLOGÍA(S)'!Y156)</f>
        <v>0</v>
      </c>
      <c r="Z156" s="6">
        <f>SUM(PACIENTES!Z156+COMEDOR!Z156+JORNADA!Z156+'DIETOLOGÍA(S)'!Z156)</f>
        <v>0</v>
      </c>
      <c r="AA156" s="6">
        <f>SUM(PACIENTES!AA156+COMEDOR!AA156+JORNADA!AA156+'DIETOLOGÍA(S)'!AA156)</f>
        <v>0</v>
      </c>
      <c r="AB156" s="6">
        <f>SUM(PACIENTES!AB156+COMEDOR!AB156+JORNADA!AB156+'DIETOLOGÍA(S)'!AB156)</f>
        <v>0</v>
      </c>
      <c r="AC156" s="6">
        <f>SUM(PACIENTES!AC156+COMEDOR!AC156+JORNADA!AC156+'DIETOLOGÍA(S)'!AC156)</f>
        <v>0</v>
      </c>
      <c r="AD156" s="6">
        <f>SUM(PACIENTES!AD156+COMEDOR!AD156+JORNADA!AD156+'DIETOLOGÍA(S)'!AD156)</f>
        <v>0</v>
      </c>
      <c r="AE156" s="6">
        <f>SUM(PACIENTES!AE156+COMEDOR!AE156+JORNADA!AE156+'DIETOLOGÍA(S)'!AE156)</f>
        <v>0</v>
      </c>
      <c r="AF156" s="6">
        <f>SUM(PACIENTES!AF156+COMEDOR!AF156+JORNADA!AF156+'DIETOLOGÍA(S)'!AF156)</f>
        <v>0</v>
      </c>
      <c r="AG156" s="6">
        <f>SUM(PACIENTES!AG156+COMEDOR!AG156+JORNADA!AG156+'DIETOLOGÍA(S)'!AG156)</f>
        <v>0</v>
      </c>
      <c r="AH156" s="6">
        <f>SUM(PACIENTES!AH156+COMEDOR!AH156+JORNADA!AH156+'DIETOLOGÍA(S)'!AH156)</f>
        <v>0</v>
      </c>
      <c r="AI156" s="9">
        <f t="shared" si="6"/>
        <v>0</v>
      </c>
    </row>
    <row r="157" spans="1:35" ht="15.75" customHeight="1">
      <c r="A157" s="90">
        <v>2212003008</v>
      </c>
      <c r="B157" s="92" t="s">
        <v>162</v>
      </c>
      <c r="C157" s="91" t="s">
        <v>6</v>
      </c>
      <c r="D157" s="6">
        <f>SUM(PACIENTES!D157+COMEDOR!D157+JORNADA!D157+'DIETOLOGÍA(S)'!D157)</f>
        <v>0</v>
      </c>
      <c r="E157" s="6">
        <f>SUM(PACIENTES!E157+COMEDOR!E157+JORNADA!E157+'DIETOLOGÍA(S)'!E157)</f>
        <v>0</v>
      </c>
      <c r="F157" s="6">
        <f>SUM(PACIENTES!F157+COMEDOR!F157+JORNADA!F157+'DIETOLOGÍA(S)'!F157)</f>
        <v>0</v>
      </c>
      <c r="G157" s="6">
        <f>SUM(PACIENTES!G157+COMEDOR!G157+JORNADA!G157+'DIETOLOGÍA(S)'!G157)</f>
        <v>0</v>
      </c>
      <c r="H157" s="6">
        <f>SUM(PACIENTES!H157+COMEDOR!H157+JORNADA!H157+'DIETOLOGÍA(S)'!H157)</f>
        <v>0</v>
      </c>
      <c r="I157" s="6">
        <f>SUM(PACIENTES!I157+COMEDOR!I157+JORNADA!I157+'DIETOLOGÍA(S)'!I157)</f>
        <v>0</v>
      </c>
      <c r="J157" s="6">
        <f>SUM(PACIENTES!J157+COMEDOR!J157+JORNADA!J157+'DIETOLOGÍA(S)'!J157)</f>
        <v>0</v>
      </c>
      <c r="K157" s="6">
        <f>SUM(PACIENTES!K157+COMEDOR!K157+JORNADA!K157+'DIETOLOGÍA(S)'!K157)</f>
        <v>0</v>
      </c>
      <c r="L157" s="6">
        <f>SUM(PACIENTES!L157+COMEDOR!L157+JORNADA!L157+'DIETOLOGÍA(S)'!L157)</f>
        <v>0</v>
      </c>
      <c r="M157" s="6">
        <f>SUM(PACIENTES!M157+COMEDOR!M157+JORNADA!M157+'DIETOLOGÍA(S)'!M157)</f>
        <v>6</v>
      </c>
      <c r="N157" s="6">
        <f>SUM(PACIENTES!N157+COMEDOR!N157+JORNADA!N157+'DIETOLOGÍA(S)'!N157)</f>
        <v>0</v>
      </c>
      <c r="O157" s="6">
        <f>SUM(PACIENTES!O157+COMEDOR!O157+JORNADA!O157+'DIETOLOGÍA(S)'!O157)</f>
        <v>0</v>
      </c>
      <c r="P157" s="6">
        <f>SUM(PACIENTES!P157+COMEDOR!P157+JORNADA!P157+'DIETOLOGÍA(S)'!P157)</f>
        <v>0</v>
      </c>
      <c r="Q157" s="6">
        <f>SUM(PACIENTES!Q157+COMEDOR!Q157+JORNADA!Q157+'DIETOLOGÍA(S)'!Q157)</f>
        <v>1</v>
      </c>
      <c r="R157" s="6">
        <f>SUM(PACIENTES!R157+COMEDOR!R157+JORNADA!R157+'DIETOLOGÍA(S)'!R157)</f>
        <v>0</v>
      </c>
      <c r="S157" s="6">
        <f>SUM(PACIENTES!S157+COMEDOR!S157+JORNADA!S157+'DIETOLOGÍA(S)'!S157)</f>
        <v>0</v>
      </c>
      <c r="T157" s="6">
        <f>SUM(PACIENTES!T157+COMEDOR!T157+JORNADA!T157+'DIETOLOGÍA(S)'!T157)</f>
        <v>0</v>
      </c>
      <c r="U157" s="6">
        <f>SUM(PACIENTES!U157+COMEDOR!U157+JORNADA!U157+'DIETOLOGÍA(S)'!U157)</f>
        <v>0</v>
      </c>
      <c r="V157" s="6">
        <f>SUM(PACIENTES!V157+COMEDOR!V157+JORNADA!V157+'DIETOLOGÍA(S)'!V157)</f>
        <v>0</v>
      </c>
      <c r="W157" s="6">
        <f>SUM(PACIENTES!W157+COMEDOR!W157+JORNADA!W157+'DIETOLOGÍA(S)'!W157)</f>
        <v>0</v>
      </c>
      <c r="X157" s="6">
        <f>SUM(PACIENTES!X157+COMEDOR!X157+JORNADA!X157+'DIETOLOGÍA(S)'!X157)</f>
        <v>1</v>
      </c>
      <c r="Y157" s="6">
        <f>SUM(PACIENTES!Y157+COMEDOR!Y157+JORNADA!Y157+'DIETOLOGÍA(S)'!Y157)</f>
        <v>6</v>
      </c>
      <c r="Z157" s="6">
        <f>SUM(PACIENTES!Z157+COMEDOR!Z157+JORNADA!Z157+'DIETOLOGÍA(S)'!Z157)</f>
        <v>6</v>
      </c>
      <c r="AA157" s="6">
        <f>SUM(PACIENTES!AA157+COMEDOR!AA157+JORNADA!AA157+'DIETOLOGÍA(S)'!AA157)</f>
        <v>5</v>
      </c>
      <c r="AB157" s="6">
        <f>SUM(PACIENTES!AB157+COMEDOR!AB157+JORNADA!AB157+'DIETOLOGÍA(S)'!AB157)</f>
        <v>0</v>
      </c>
      <c r="AC157" s="77">
        <f>SUM(PACIENTES!AC157+COMEDOR!AC157+JORNADA!AC157+'DIETOLOGÍA(S)'!AC157)</f>
        <v>0</v>
      </c>
      <c r="AD157" s="77">
        <f>SUM(PACIENTES!AD157+COMEDOR!AD157+JORNADA!AD157+'DIETOLOGÍA(S)'!AD157)</f>
        <v>6</v>
      </c>
      <c r="AE157" s="77">
        <f>SUM(PACIENTES!AE157+COMEDOR!AE157+JORNADA!AE157+'DIETOLOGÍA(S)'!AE157)</f>
        <v>0</v>
      </c>
      <c r="AF157" s="77">
        <f>SUM(PACIENTES!AF157+COMEDOR!AF157+JORNADA!AF157+'DIETOLOGÍA(S)'!AF157)</f>
        <v>0</v>
      </c>
      <c r="AG157" s="77">
        <f>SUM(PACIENTES!AG157+COMEDOR!AG157+JORNADA!AG157+'DIETOLOGÍA(S)'!AG157)</f>
        <v>0</v>
      </c>
      <c r="AH157" s="77">
        <f>SUM(PACIENTES!AH157+COMEDOR!AH157+JORNADA!AH157+'DIETOLOGÍA(S)'!AH157)</f>
        <v>0</v>
      </c>
      <c r="AI157" s="9">
        <f t="shared" si="6"/>
        <v>31</v>
      </c>
    </row>
    <row r="158" spans="1:35" ht="15.75" customHeight="1">
      <c r="A158" s="90">
        <v>2212003009</v>
      </c>
      <c r="B158" s="92" t="s">
        <v>163</v>
      </c>
      <c r="C158" s="91" t="s">
        <v>6</v>
      </c>
      <c r="D158" s="6">
        <f>SUM(PACIENTES!D158+COMEDOR!D158+JORNADA!D158+'DIETOLOGÍA(S)'!D158)</f>
        <v>0</v>
      </c>
      <c r="E158" s="6">
        <f>SUM(PACIENTES!E158+COMEDOR!E158+JORNADA!E158+'DIETOLOGÍA(S)'!E158)</f>
        <v>0</v>
      </c>
      <c r="F158" s="6">
        <f>SUM(PACIENTES!F158+COMEDOR!F158+JORNADA!F158+'DIETOLOGÍA(S)'!F158)</f>
        <v>0</v>
      </c>
      <c r="G158" s="6">
        <f>SUM(PACIENTES!G158+COMEDOR!G158+JORNADA!G158+'DIETOLOGÍA(S)'!G158)</f>
        <v>0</v>
      </c>
      <c r="H158" s="6">
        <f>SUM(PACIENTES!H158+COMEDOR!H158+JORNADA!H158+'DIETOLOGÍA(S)'!H158)</f>
        <v>0</v>
      </c>
      <c r="I158" s="6">
        <f>SUM(PACIENTES!I158+COMEDOR!I158+JORNADA!I158+'DIETOLOGÍA(S)'!I158)</f>
        <v>0</v>
      </c>
      <c r="J158" s="6">
        <f>SUM(PACIENTES!J158+COMEDOR!J158+JORNADA!J158+'DIETOLOGÍA(S)'!J158)</f>
        <v>0</v>
      </c>
      <c r="K158" s="6">
        <f>SUM(PACIENTES!K158+COMEDOR!K158+JORNADA!K158+'DIETOLOGÍA(S)'!K158)</f>
        <v>0</v>
      </c>
      <c r="L158" s="6">
        <f>SUM(PACIENTES!L158+COMEDOR!L158+JORNADA!L158+'DIETOLOGÍA(S)'!L158)</f>
        <v>0</v>
      </c>
      <c r="M158" s="6">
        <f>SUM(PACIENTES!M158+COMEDOR!M158+JORNADA!M158+'DIETOLOGÍA(S)'!M158)</f>
        <v>0</v>
      </c>
      <c r="N158" s="6">
        <f>SUM(PACIENTES!N158+COMEDOR!N158+JORNADA!N158+'DIETOLOGÍA(S)'!N158)</f>
        <v>0</v>
      </c>
      <c r="O158" s="6">
        <f>SUM(PACIENTES!O158+COMEDOR!O158+JORNADA!O158+'DIETOLOGÍA(S)'!O158)</f>
        <v>0</v>
      </c>
      <c r="P158" s="6">
        <f>SUM(PACIENTES!P158+COMEDOR!P158+JORNADA!P158+'DIETOLOGÍA(S)'!P158)</f>
        <v>0</v>
      </c>
      <c r="Q158" s="6">
        <f>SUM(PACIENTES!Q158+COMEDOR!Q158+JORNADA!Q158+'DIETOLOGÍA(S)'!Q158)</f>
        <v>0</v>
      </c>
      <c r="R158" s="6">
        <f>SUM(PACIENTES!R158+COMEDOR!R158+JORNADA!R158+'DIETOLOGÍA(S)'!R158)</f>
        <v>0</v>
      </c>
      <c r="S158" s="6">
        <f>SUM(PACIENTES!S158+COMEDOR!S158+JORNADA!S158+'DIETOLOGÍA(S)'!S158)</f>
        <v>0</v>
      </c>
      <c r="T158" s="6">
        <f>SUM(PACIENTES!T158+COMEDOR!T158+JORNADA!T158+'DIETOLOGÍA(S)'!T158)</f>
        <v>0</v>
      </c>
      <c r="U158" s="6">
        <f>SUM(PACIENTES!U158+COMEDOR!U158+JORNADA!U158+'DIETOLOGÍA(S)'!U158)</f>
        <v>0</v>
      </c>
      <c r="V158" s="6">
        <f>SUM(PACIENTES!V158+COMEDOR!V158+JORNADA!V158+'DIETOLOGÍA(S)'!V158)</f>
        <v>0</v>
      </c>
      <c r="W158" s="6">
        <f>SUM(PACIENTES!W158+COMEDOR!W158+JORNADA!W158+'DIETOLOGÍA(S)'!W158)</f>
        <v>0</v>
      </c>
      <c r="X158" s="6">
        <f>SUM(PACIENTES!X158+COMEDOR!X158+JORNADA!X158+'DIETOLOGÍA(S)'!X158)</f>
        <v>0</v>
      </c>
      <c r="Y158" s="6">
        <f>SUM(PACIENTES!Y158+COMEDOR!Y158+JORNADA!Y158+'DIETOLOGÍA(S)'!Y158)</f>
        <v>0</v>
      </c>
      <c r="Z158" s="6">
        <f>SUM(PACIENTES!Z158+COMEDOR!Z158+JORNADA!Z158+'DIETOLOGÍA(S)'!Z158)</f>
        <v>0</v>
      </c>
      <c r="AA158" s="6">
        <f>SUM(PACIENTES!AA158+COMEDOR!AA158+JORNADA!AA158+'DIETOLOGÍA(S)'!AA158)</f>
        <v>0</v>
      </c>
      <c r="AB158" s="6">
        <f>SUM(PACIENTES!AB158+COMEDOR!AB158+JORNADA!AB158+'DIETOLOGÍA(S)'!AB158)</f>
        <v>0</v>
      </c>
      <c r="AC158" s="6">
        <f>SUM(PACIENTES!AC158+COMEDOR!AC158+JORNADA!AC158+'DIETOLOGÍA(S)'!AC158)</f>
        <v>0</v>
      </c>
      <c r="AD158" s="6">
        <f>SUM(PACIENTES!AD158+COMEDOR!AD158+JORNADA!AD158+'DIETOLOGÍA(S)'!AD158)</f>
        <v>0</v>
      </c>
      <c r="AE158" s="6">
        <f>SUM(PACIENTES!AE158+COMEDOR!AE158+JORNADA!AE158+'DIETOLOGÍA(S)'!AE158)</f>
        <v>0</v>
      </c>
      <c r="AF158" s="6">
        <f>SUM(PACIENTES!AF158+COMEDOR!AF158+JORNADA!AF158+'DIETOLOGÍA(S)'!AF158)</f>
        <v>0</v>
      </c>
      <c r="AG158" s="6">
        <f>SUM(PACIENTES!AG158+COMEDOR!AG158+JORNADA!AG158+'DIETOLOGÍA(S)'!AG158)</f>
        <v>0</v>
      </c>
      <c r="AH158" s="6">
        <f>SUM(PACIENTES!AH158+COMEDOR!AH158+JORNADA!AH158+'DIETOLOGÍA(S)'!AH158)</f>
        <v>0</v>
      </c>
      <c r="AI158" s="9">
        <f t="shared" si="6"/>
        <v>0</v>
      </c>
    </row>
    <row r="159" spans="1:35" ht="15.75" customHeight="1">
      <c r="A159" s="90">
        <v>2212003010</v>
      </c>
      <c r="B159" s="92" t="s">
        <v>164</v>
      </c>
      <c r="C159" s="91" t="s">
        <v>6</v>
      </c>
      <c r="D159" s="6">
        <f>SUM(PACIENTES!D159+COMEDOR!D159+JORNADA!D159+'DIETOLOGÍA(S)'!D159)</f>
        <v>0</v>
      </c>
      <c r="E159" s="6">
        <f>SUM(PACIENTES!E159+COMEDOR!E159+JORNADA!E159+'DIETOLOGÍA(S)'!E159)</f>
        <v>0</v>
      </c>
      <c r="F159" s="6">
        <f>SUM(PACIENTES!F159+COMEDOR!F159+JORNADA!F159+'DIETOLOGÍA(S)'!F159)</f>
        <v>0</v>
      </c>
      <c r="G159" s="6">
        <f>SUM(PACIENTES!G159+COMEDOR!G159+JORNADA!G159+'DIETOLOGÍA(S)'!G159)</f>
        <v>0</v>
      </c>
      <c r="H159" s="6">
        <f>SUM(PACIENTES!H159+COMEDOR!H159+JORNADA!H159+'DIETOLOGÍA(S)'!H159)</f>
        <v>0</v>
      </c>
      <c r="I159" s="6">
        <f>SUM(PACIENTES!I159+COMEDOR!I159+JORNADA!I159+'DIETOLOGÍA(S)'!I159)</f>
        <v>0</v>
      </c>
      <c r="J159" s="6">
        <f>SUM(PACIENTES!J159+COMEDOR!J159+JORNADA!J159+'DIETOLOGÍA(S)'!J159)</f>
        <v>0</v>
      </c>
      <c r="K159" s="6">
        <f>SUM(PACIENTES!K159+COMEDOR!K159+JORNADA!K159+'DIETOLOGÍA(S)'!K159)</f>
        <v>0</v>
      </c>
      <c r="L159" s="6">
        <f>SUM(PACIENTES!L159+COMEDOR!L159+JORNADA!L159+'DIETOLOGÍA(S)'!L159)</f>
        <v>0</v>
      </c>
      <c r="M159" s="6">
        <f>SUM(PACIENTES!M159+COMEDOR!M159+JORNADA!M159+'DIETOLOGÍA(S)'!M159)</f>
        <v>0</v>
      </c>
      <c r="N159" s="6">
        <f>SUM(PACIENTES!N159+COMEDOR!N159+JORNADA!N159+'DIETOLOGÍA(S)'!N159)</f>
        <v>0</v>
      </c>
      <c r="O159" s="6">
        <f>SUM(PACIENTES!O159+COMEDOR!O159+JORNADA!O159+'DIETOLOGÍA(S)'!O159)</f>
        <v>0</v>
      </c>
      <c r="P159" s="6">
        <f>SUM(PACIENTES!P159+COMEDOR!P159+JORNADA!P159+'DIETOLOGÍA(S)'!P159)</f>
        <v>0</v>
      </c>
      <c r="Q159" s="6">
        <f>SUM(PACIENTES!Q159+COMEDOR!Q159+JORNADA!Q159+'DIETOLOGÍA(S)'!Q159)</f>
        <v>0</v>
      </c>
      <c r="R159" s="6">
        <f>SUM(PACIENTES!R159+COMEDOR!R159+JORNADA!R159+'DIETOLOGÍA(S)'!R159)</f>
        <v>0</v>
      </c>
      <c r="S159" s="6">
        <f>SUM(PACIENTES!S159+COMEDOR!S159+JORNADA!S159+'DIETOLOGÍA(S)'!S159)</f>
        <v>0</v>
      </c>
      <c r="T159" s="6">
        <f>SUM(PACIENTES!T159+COMEDOR!T159+JORNADA!T159+'DIETOLOGÍA(S)'!T159)</f>
        <v>0</v>
      </c>
      <c r="U159" s="6">
        <f>SUM(PACIENTES!U159+COMEDOR!U159+JORNADA!U159+'DIETOLOGÍA(S)'!U159)</f>
        <v>0</v>
      </c>
      <c r="V159" s="6">
        <f>SUM(PACIENTES!V159+COMEDOR!V159+JORNADA!V159+'DIETOLOGÍA(S)'!V159)</f>
        <v>0</v>
      </c>
      <c r="W159" s="6">
        <f>SUM(PACIENTES!W159+COMEDOR!W159+JORNADA!W159+'DIETOLOGÍA(S)'!W159)</f>
        <v>0</v>
      </c>
      <c r="X159" s="6">
        <f>SUM(PACIENTES!X159+COMEDOR!X159+JORNADA!X159+'DIETOLOGÍA(S)'!X159)</f>
        <v>1</v>
      </c>
      <c r="Y159" s="6">
        <f>SUM(PACIENTES!Y159+COMEDOR!Y159+JORNADA!Y159+'DIETOLOGÍA(S)'!Y159)</f>
        <v>0</v>
      </c>
      <c r="Z159" s="6">
        <f>SUM(PACIENTES!Z159+COMEDOR!Z159+JORNADA!Z159+'DIETOLOGÍA(S)'!Z159)</f>
        <v>0</v>
      </c>
      <c r="AA159" s="6">
        <f>SUM(PACIENTES!AA159+COMEDOR!AA159+JORNADA!AA159+'DIETOLOGÍA(S)'!AA159)</f>
        <v>0</v>
      </c>
      <c r="AB159" s="6">
        <f>SUM(PACIENTES!AB159+COMEDOR!AB159+JORNADA!AB159+'DIETOLOGÍA(S)'!AB159)</f>
        <v>0</v>
      </c>
      <c r="AC159" s="77">
        <f>SUM(PACIENTES!AC159+COMEDOR!AC159+JORNADA!AC159+'DIETOLOGÍA(S)'!AC159)</f>
        <v>0</v>
      </c>
      <c r="AD159" s="77">
        <f>SUM(PACIENTES!AD159+COMEDOR!AD159+JORNADA!AD159+'DIETOLOGÍA(S)'!AD159)</f>
        <v>0</v>
      </c>
      <c r="AE159" s="77">
        <f>SUM(PACIENTES!AE159+COMEDOR!AE159+JORNADA!AE159+'DIETOLOGÍA(S)'!AE159)</f>
        <v>0</v>
      </c>
      <c r="AF159" s="77">
        <f>SUM(PACIENTES!AF159+COMEDOR!AF159+JORNADA!AF159+'DIETOLOGÍA(S)'!AF159)</f>
        <v>0</v>
      </c>
      <c r="AG159" s="77">
        <f>SUM(PACIENTES!AG159+COMEDOR!AG159+JORNADA!AG159+'DIETOLOGÍA(S)'!AG159)</f>
        <v>0</v>
      </c>
      <c r="AH159" s="77">
        <f>SUM(PACIENTES!AH159+COMEDOR!AH159+JORNADA!AH159+'DIETOLOGÍA(S)'!AH159)</f>
        <v>0</v>
      </c>
      <c r="AI159" s="9">
        <f t="shared" si="6"/>
        <v>1</v>
      </c>
    </row>
    <row r="160" spans="1:35" ht="15.75" customHeight="1">
      <c r="A160" s="90">
        <v>2212003011</v>
      </c>
      <c r="B160" s="92" t="s">
        <v>165</v>
      </c>
      <c r="C160" s="91" t="s">
        <v>6</v>
      </c>
      <c r="D160" s="6">
        <f>SUM(PACIENTES!D160+COMEDOR!D160+JORNADA!D160+'DIETOLOGÍA(S)'!D160)</f>
        <v>0</v>
      </c>
      <c r="E160" s="6">
        <f>SUM(PACIENTES!E160+COMEDOR!E160+JORNADA!E160+'DIETOLOGÍA(S)'!E160)</f>
        <v>0</v>
      </c>
      <c r="F160" s="6">
        <f>SUM(PACIENTES!F160+COMEDOR!F160+JORNADA!F160+'DIETOLOGÍA(S)'!F160)</f>
        <v>0</v>
      </c>
      <c r="G160" s="6">
        <f>SUM(PACIENTES!G160+COMEDOR!G160+JORNADA!G160+'DIETOLOGÍA(S)'!G160)</f>
        <v>0</v>
      </c>
      <c r="H160" s="6">
        <f>SUM(PACIENTES!H160+COMEDOR!H160+JORNADA!H160+'DIETOLOGÍA(S)'!H160)</f>
        <v>0</v>
      </c>
      <c r="I160" s="6">
        <f>SUM(PACIENTES!I160+COMEDOR!I160+JORNADA!I160+'DIETOLOGÍA(S)'!I160)</f>
        <v>1</v>
      </c>
      <c r="J160" s="6">
        <f>SUM(PACIENTES!J160+COMEDOR!J160+JORNADA!J160+'DIETOLOGÍA(S)'!J160)</f>
        <v>0</v>
      </c>
      <c r="K160" s="6">
        <f>SUM(PACIENTES!K160+COMEDOR!K160+JORNADA!K160+'DIETOLOGÍA(S)'!K160)</f>
        <v>0</v>
      </c>
      <c r="L160" s="6">
        <f>SUM(PACIENTES!L160+COMEDOR!L160+JORNADA!L160+'DIETOLOGÍA(S)'!L160)</f>
        <v>0</v>
      </c>
      <c r="M160" s="6">
        <f>SUM(PACIENTES!M160+COMEDOR!M160+JORNADA!M160+'DIETOLOGÍA(S)'!M160)</f>
        <v>0</v>
      </c>
      <c r="N160" s="6">
        <f>SUM(PACIENTES!N160+COMEDOR!N160+JORNADA!N160+'DIETOLOGÍA(S)'!N160)</f>
        <v>0</v>
      </c>
      <c r="O160" s="6">
        <f>SUM(PACIENTES!O160+COMEDOR!O160+JORNADA!O160+'DIETOLOGÍA(S)'!O160)</f>
        <v>0</v>
      </c>
      <c r="P160" s="6">
        <f>SUM(PACIENTES!P160+COMEDOR!P160+JORNADA!P160+'DIETOLOGÍA(S)'!P160)</f>
        <v>0</v>
      </c>
      <c r="Q160" s="6">
        <f>SUM(PACIENTES!Q160+COMEDOR!Q160+JORNADA!Q160+'DIETOLOGÍA(S)'!Q160)</f>
        <v>0</v>
      </c>
      <c r="R160" s="6">
        <f>SUM(PACIENTES!R160+COMEDOR!R160+JORNADA!R160+'DIETOLOGÍA(S)'!R160)</f>
        <v>0</v>
      </c>
      <c r="S160" s="6">
        <f>SUM(PACIENTES!S160+COMEDOR!S160+JORNADA!S160+'DIETOLOGÍA(S)'!S160)</f>
        <v>0</v>
      </c>
      <c r="T160" s="6">
        <f>SUM(PACIENTES!T160+COMEDOR!T160+JORNADA!T160+'DIETOLOGÍA(S)'!T160)</f>
        <v>0</v>
      </c>
      <c r="U160" s="6">
        <f>SUM(PACIENTES!U160+COMEDOR!U160+JORNADA!U160+'DIETOLOGÍA(S)'!U160)</f>
        <v>0</v>
      </c>
      <c r="V160" s="6">
        <f>SUM(PACIENTES!V160+COMEDOR!V160+JORNADA!V160+'DIETOLOGÍA(S)'!V160)</f>
        <v>0</v>
      </c>
      <c r="W160" s="6">
        <f>SUM(PACIENTES!W160+COMEDOR!W160+JORNADA!W160+'DIETOLOGÍA(S)'!W160)</f>
        <v>0</v>
      </c>
      <c r="X160" s="6">
        <f>SUM(PACIENTES!X160+COMEDOR!X160+JORNADA!X160+'DIETOLOGÍA(S)'!X160)</f>
        <v>0</v>
      </c>
      <c r="Y160" s="6">
        <f>SUM(PACIENTES!Y160+COMEDOR!Y160+JORNADA!Y160+'DIETOLOGÍA(S)'!Y160)</f>
        <v>0</v>
      </c>
      <c r="Z160" s="6">
        <f>SUM(PACIENTES!Z160+COMEDOR!Z160+JORNADA!Z160+'DIETOLOGÍA(S)'!Z160)</f>
        <v>0</v>
      </c>
      <c r="AA160" s="6">
        <f>SUM(PACIENTES!AA160+COMEDOR!AA160+JORNADA!AA160+'DIETOLOGÍA(S)'!AA160)</f>
        <v>0</v>
      </c>
      <c r="AB160" s="6">
        <f>SUM(PACIENTES!AB160+COMEDOR!AB160+JORNADA!AB160+'DIETOLOGÍA(S)'!AB160)</f>
        <v>0</v>
      </c>
      <c r="AC160" s="6">
        <f>SUM(PACIENTES!AC160+COMEDOR!AC160+JORNADA!AC160+'DIETOLOGÍA(S)'!AC160)</f>
        <v>0</v>
      </c>
      <c r="AD160" s="6">
        <f>SUM(PACIENTES!AD160+COMEDOR!AD160+JORNADA!AD160+'DIETOLOGÍA(S)'!AD160)</f>
        <v>0</v>
      </c>
      <c r="AE160" s="6">
        <f>SUM(PACIENTES!AE160+COMEDOR!AE160+JORNADA!AE160+'DIETOLOGÍA(S)'!AE160)</f>
        <v>0</v>
      </c>
      <c r="AF160" s="6">
        <f>SUM(PACIENTES!AF160+COMEDOR!AF160+JORNADA!AF160+'DIETOLOGÍA(S)'!AF160)</f>
        <v>0</v>
      </c>
      <c r="AG160" s="6">
        <f>SUM(PACIENTES!AG160+COMEDOR!AG160+JORNADA!AG160+'DIETOLOGÍA(S)'!AG160)</f>
        <v>0</v>
      </c>
      <c r="AH160" s="6">
        <f>SUM(PACIENTES!AH160+COMEDOR!AH160+JORNADA!AH160+'DIETOLOGÍA(S)'!AH160)</f>
        <v>0</v>
      </c>
      <c r="AI160" s="9">
        <f t="shared" si="6"/>
        <v>1</v>
      </c>
    </row>
    <row r="161" spans="1:35" ht="15.75" customHeight="1">
      <c r="A161" s="90">
        <v>2212003012</v>
      </c>
      <c r="B161" s="92" t="s">
        <v>166</v>
      </c>
      <c r="C161" s="91" t="s">
        <v>6</v>
      </c>
      <c r="D161" s="6">
        <f>SUM(PACIENTES!D161+COMEDOR!D161+JORNADA!D161+'DIETOLOGÍA(S)'!D161)</f>
        <v>0</v>
      </c>
      <c r="E161" s="6">
        <f>SUM(PACIENTES!E161+COMEDOR!E161+JORNADA!E161+'DIETOLOGÍA(S)'!E161)</f>
        <v>0</v>
      </c>
      <c r="F161" s="6">
        <f>SUM(PACIENTES!F161+COMEDOR!F161+JORNADA!F161+'DIETOLOGÍA(S)'!F161)</f>
        <v>0</v>
      </c>
      <c r="G161" s="6">
        <f>SUM(PACIENTES!G161+COMEDOR!G161+JORNADA!G161+'DIETOLOGÍA(S)'!G161)</f>
        <v>0</v>
      </c>
      <c r="H161" s="6">
        <f>SUM(PACIENTES!H161+COMEDOR!H161+JORNADA!H161+'DIETOLOGÍA(S)'!H161)</f>
        <v>0</v>
      </c>
      <c r="I161" s="6">
        <f>SUM(PACIENTES!I161+COMEDOR!I161+JORNADA!I161+'DIETOLOGÍA(S)'!I161)</f>
        <v>0</v>
      </c>
      <c r="J161" s="6">
        <f>SUM(PACIENTES!J161+COMEDOR!J161+JORNADA!J161+'DIETOLOGÍA(S)'!J161)</f>
        <v>0</v>
      </c>
      <c r="K161" s="6">
        <f>SUM(PACIENTES!K161+COMEDOR!K161+JORNADA!K161+'DIETOLOGÍA(S)'!K161)</f>
        <v>0</v>
      </c>
      <c r="L161" s="6">
        <f>SUM(PACIENTES!L161+COMEDOR!L161+JORNADA!L161+'DIETOLOGÍA(S)'!L161)</f>
        <v>0</v>
      </c>
      <c r="M161" s="6">
        <f>SUM(PACIENTES!M161+COMEDOR!M161+JORNADA!M161+'DIETOLOGÍA(S)'!M161)</f>
        <v>0</v>
      </c>
      <c r="N161" s="6">
        <f>SUM(PACIENTES!N161+COMEDOR!N161+JORNADA!N161+'DIETOLOGÍA(S)'!N161)</f>
        <v>0</v>
      </c>
      <c r="O161" s="6">
        <f>SUM(PACIENTES!O161+COMEDOR!O161+JORNADA!O161+'DIETOLOGÍA(S)'!O161)</f>
        <v>0</v>
      </c>
      <c r="P161" s="6">
        <f>SUM(PACIENTES!P161+COMEDOR!P161+JORNADA!P161+'DIETOLOGÍA(S)'!P161)</f>
        <v>0</v>
      </c>
      <c r="Q161" s="6">
        <f>SUM(PACIENTES!Q161+COMEDOR!Q161+JORNADA!Q161+'DIETOLOGÍA(S)'!Q161)</f>
        <v>8</v>
      </c>
      <c r="R161" s="6">
        <f>SUM(PACIENTES!R161+COMEDOR!R161+JORNADA!R161+'DIETOLOGÍA(S)'!R161)</f>
        <v>0</v>
      </c>
      <c r="S161" s="6">
        <f>SUM(PACIENTES!S161+COMEDOR!S161+JORNADA!S161+'DIETOLOGÍA(S)'!S161)</f>
        <v>0</v>
      </c>
      <c r="T161" s="6">
        <f>SUM(PACIENTES!T161+COMEDOR!T161+JORNADA!T161+'DIETOLOGÍA(S)'!T161)</f>
        <v>0</v>
      </c>
      <c r="U161" s="6">
        <f>SUM(PACIENTES!U161+COMEDOR!U161+JORNADA!U161+'DIETOLOGÍA(S)'!U161)</f>
        <v>0</v>
      </c>
      <c r="V161" s="6">
        <f>SUM(PACIENTES!V161+COMEDOR!V161+JORNADA!V161+'DIETOLOGÍA(S)'!V161)</f>
        <v>0</v>
      </c>
      <c r="W161" s="6">
        <f>SUM(PACIENTES!W161+COMEDOR!W161+JORNADA!W161+'DIETOLOGÍA(S)'!W161)</f>
        <v>0</v>
      </c>
      <c r="X161" s="6">
        <f>SUM(PACIENTES!X161+COMEDOR!X161+JORNADA!X161+'DIETOLOGÍA(S)'!X161)</f>
        <v>0</v>
      </c>
      <c r="Y161" s="6">
        <f>SUM(PACIENTES!Y161+COMEDOR!Y161+JORNADA!Y161+'DIETOLOGÍA(S)'!Y161)</f>
        <v>0</v>
      </c>
      <c r="Z161" s="6">
        <f>SUM(PACIENTES!Z161+COMEDOR!Z161+JORNADA!Z161+'DIETOLOGÍA(S)'!Z161)</f>
        <v>8</v>
      </c>
      <c r="AA161" s="6">
        <f>SUM(PACIENTES!AA161+COMEDOR!AA161+JORNADA!AA161+'DIETOLOGÍA(S)'!AA161)</f>
        <v>0</v>
      </c>
      <c r="AB161" s="6">
        <f>SUM(PACIENTES!AB161+COMEDOR!AB161+JORNADA!AB161+'DIETOLOGÍA(S)'!AB161)</f>
        <v>0</v>
      </c>
      <c r="AC161" s="77">
        <f>SUM(PACIENTES!AC161+COMEDOR!AC161+JORNADA!AC161+'DIETOLOGÍA(S)'!AC161)</f>
        <v>0</v>
      </c>
      <c r="AD161" s="77">
        <f>SUM(PACIENTES!AD161+COMEDOR!AD161+JORNADA!AD161+'DIETOLOGÍA(S)'!AD161)</f>
        <v>0</v>
      </c>
      <c r="AE161" s="77">
        <f>SUM(PACIENTES!AE161+COMEDOR!AE161+JORNADA!AE161+'DIETOLOGÍA(S)'!AE161)</f>
        <v>1</v>
      </c>
      <c r="AF161" s="77">
        <f>SUM(PACIENTES!AF161+COMEDOR!AF161+JORNADA!AF161+'DIETOLOGÍA(S)'!AF161)</f>
        <v>0</v>
      </c>
      <c r="AG161" s="77">
        <f>SUM(PACIENTES!AG161+COMEDOR!AG161+JORNADA!AG161+'DIETOLOGÍA(S)'!AG161)</f>
        <v>0</v>
      </c>
      <c r="AH161" s="77">
        <f>SUM(PACIENTES!AH161+COMEDOR!AH161+JORNADA!AH161+'DIETOLOGÍA(S)'!AH161)</f>
        <v>0</v>
      </c>
      <c r="AI161" s="9">
        <f t="shared" si="6"/>
        <v>17</v>
      </c>
    </row>
    <row r="162" spans="1:35" ht="15.75" customHeight="1">
      <c r="A162" s="90">
        <v>2212003013</v>
      </c>
      <c r="B162" s="92" t="s">
        <v>167</v>
      </c>
      <c r="C162" s="91" t="s">
        <v>6</v>
      </c>
      <c r="D162" s="6">
        <f>SUM(PACIENTES!D162+COMEDOR!D162+JORNADA!D162+'DIETOLOGÍA(S)'!D162)</f>
        <v>0</v>
      </c>
      <c r="E162" s="6">
        <f>SUM(PACIENTES!E162+COMEDOR!E162+JORNADA!E162+'DIETOLOGÍA(S)'!E162)</f>
        <v>0</v>
      </c>
      <c r="F162" s="6">
        <f>SUM(PACIENTES!F162+COMEDOR!F162+JORNADA!F162+'DIETOLOGÍA(S)'!F162)</f>
        <v>0</v>
      </c>
      <c r="G162" s="6">
        <f>SUM(PACIENTES!G162+COMEDOR!G162+JORNADA!G162+'DIETOLOGÍA(S)'!G162)</f>
        <v>0</v>
      </c>
      <c r="H162" s="6">
        <f>SUM(PACIENTES!H162+COMEDOR!H162+JORNADA!H162+'DIETOLOGÍA(S)'!H162)</f>
        <v>0</v>
      </c>
      <c r="I162" s="6">
        <f>SUM(PACIENTES!I162+COMEDOR!I162+JORNADA!I162+'DIETOLOGÍA(S)'!I162)</f>
        <v>0</v>
      </c>
      <c r="J162" s="6">
        <f>SUM(PACIENTES!J162+COMEDOR!J162+JORNADA!J162+'DIETOLOGÍA(S)'!J162)</f>
        <v>0</v>
      </c>
      <c r="K162" s="6">
        <f>SUM(PACIENTES!K162+COMEDOR!K162+JORNADA!K162+'DIETOLOGÍA(S)'!K162)</f>
        <v>0</v>
      </c>
      <c r="L162" s="6">
        <f>SUM(PACIENTES!L162+COMEDOR!L162+JORNADA!L162+'DIETOLOGÍA(S)'!L162)</f>
        <v>0</v>
      </c>
      <c r="M162" s="6">
        <f>SUM(PACIENTES!M162+COMEDOR!M162+JORNADA!M162+'DIETOLOGÍA(S)'!M162)</f>
        <v>0</v>
      </c>
      <c r="N162" s="6">
        <f>SUM(PACIENTES!N162+COMEDOR!N162+JORNADA!N162+'DIETOLOGÍA(S)'!N162)</f>
        <v>0</v>
      </c>
      <c r="O162" s="6">
        <f>SUM(PACIENTES!O162+COMEDOR!O162+JORNADA!O162+'DIETOLOGÍA(S)'!O162)</f>
        <v>0</v>
      </c>
      <c r="P162" s="6">
        <f>SUM(PACIENTES!P162+COMEDOR!P162+JORNADA!P162+'DIETOLOGÍA(S)'!P162)</f>
        <v>0</v>
      </c>
      <c r="Q162" s="6">
        <f>SUM(PACIENTES!Q162+COMEDOR!Q162+JORNADA!Q162+'DIETOLOGÍA(S)'!Q162)</f>
        <v>0</v>
      </c>
      <c r="R162" s="6">
        <f>SUM(PACIENTES!R162+COMEDOR!R162+JORNADA!R162+'DIETOLOGÍA(S)'!R162)</f>
        <v>0</v>
      </c>
      <c r="S162" s="6">
        <f>SUM(PACIENTES!S162+COMEDOR!S162+JORNADA!S162+'DIETOLOGÍA(S)'!S162)</f>
        <v>0</v>
      </c>
      <c r="T162" s="6">
        <f>SUM(PACIENTES!T162+COMEDOR!T162+JORNADA!T162+'DIETOLOGÍA(S)'!T162)</f>
        <v>0</v>
      </c>
      <c r="U162" s="6">
        <f>SUM(PACIENTES!U162+COMEDOR!U162+JORNADA!U162+'DIETOLOGÍA(S)'!U162)</f>
        <v>0</v>
      </c>
      <c r="V162" s="6">
        <f>SUM(PACIENTES!V162+COMEDOR!V162+JORNADA!V162+'DIETOLOGÍA(S)'!V162)</f>
        <v>0</v>
      </c>
      <c r="W162" s="6">
        <f>SUM(PACIENTES!W162+COMEDOR!W162+JORNADA!W162+'DIETOLOGÍA(S)'!W162)</f>
        <v>0</v>
      </c>
      <c r="X162" s="6">
        <f>SUM(PACIENTES!X162+COMEDOR!X162+JORNADA!X162+'DIETOLOGÍA(S)'!X162)</f>
        <v>0</v>
      </c>
      <c r="Y162" s="6">
        <f>SUM(PACIENTES!Y162+COMEDOR!Y162+JORNADA!Y162+'DIETOLOGÍA(S)'!Y162)</f>
        <v>0</v>
      </c>
      <c r="Z162" s="6">
        <f>SUM(PACIENTES!Z162+COMEDOR!Z162+JORNADA!Z162+'DIETOLOGÍA(S)'!Z162)</f>
        <v>0</v>
      </c>
      <c r="AA162" s="6">
        <f>SUM(PACIENTES!AA162+COMEDOR!AA162+JORNADA!AA162+'DIETOLOGÍA(S)'!AA162)</f>
        <v>0</v>
      </c>
      <c r="AB162" s="6">
        <f>SUM(PACIENTES!AB162+COMEDOR!AB162+JORNADA!AB162+'DIETOLOGÍA(S)'!AB162)</f>
        <v>0</v>
      </c>
      <c r="AC162" s="6">
        <f>SUM(PACIENTES!AC162+COMEDOR!AC162+JORNADA!AC162+'DIETOLOGÍA(S)'!AC162)</f>
        <v>0</v>
      </c>
      <c r="AD162" s="6">
        <f>SUM(PACIENTES!AD162+COMEDOR!AD162+JORNADA!AD162+'DIETOLOGÍA(S)'!AD162)</f>
        <v>0</v>
      </c>
      <c r="AE162" s="6">
        <f>SUM(PACIENTES!AE162+COMEDOR!AE162+JORNADA!AE162+'DIETOLOGÍA(S)'!AE162)</f>
        <v>0</v>
      </c>
      <c r="AF162" s="6">
        <f>SUM(PACIENTES!AF162+COMEDOR!AF162+JORNADA!AF162+'DIETOLOGÍA(S)'!AF162)</f>
        <v>0</v>
      </c>
      <c r="AG162" s="6">
        <f>SUM(PACIENTES!AG162+COMEDOR!AG162+JORNADA!AG162+'DIETOLOGÍA(S)'!AG162)</f>
        <v>0</v>
      </c>
      <c r="AH162" s="6">
        <f>SUM(PACIENTES!AH162+COMEDOR!AH162+JORNADA!AH162+'DIETOLOGÍA(S)'!AH162)</f>
        <v>0</v>
      </c>
      <c r="AI162" s="9">
        <f t="shared" si="6"/>
        <v>0</v>
      </c>
    </row>
    <row r="163" spans="1:35" ht="15.75" customHeight="1">
      <c r="A163" s="94">
        <v>2212003017</v>
      </c>
      <c r="B163" s="95" t="s">
        <v>168</v>
      </c>
      <c r="C163" s="96" t="s">
        <v>6</v>
      </c>
      <c r="D163" s="598">
        <f>SUM(PACIENTES!D163+COMEDOR!D163+JORNADA!D163+'DIETOLOGÍA(S)'!D163)</f>
        <v>0</v>
      </c>
      <c r="E163" s="598">
        <f>SUM(PACIENTES!E163+COMEDOR!E163+JORNADA!E163+'DIETOLOGÍA(S)'!E163)</f>
        <v>0</v>
      </c>
      <c r="F163" s="598">
        <f>SUM(PACIENTES!F163+COMEDOR!F163+JORNADA!F163+'DIETOLOGÍA(S)'!F163)</f>
        <v>0</v>
      </c>
      <c r="G163" s="598">
        <f>SUM(PACIENTES!G163+COMEDOR!G163+JORNADA!G163+'DIETOLOGÍA(S)'!G163)</f>
        <v>0</v>
      </c>
      <c r="H163" s="598">
        <f>SUM(PACIENTES!H163+COMEDOR!H163+JORNADA!H163+'DIETOLOGÍA(S)'!H163)</f>
        <v>0</v>
      </c>
      <c r="I163" s="598">
        <f>SUM(PACIENTES!I163+COMEDOR!I163+JORNADA!I163+'DIETOLOGÍA(S)'!I163)</f>
        <v>0</v>
      </c>
      <c r="J163" s="598">
        <f>SUM(PACIENTES!J163+COMEDOR!J163+JORNADA!J163+'DIETOLOGÍA(S)'!J163)</f>
        <v>1</v>
      </c>
      <c r="K163" s="598">
        <f>SUM(PACIENTES!K163+COMEDOR!K163+JORNADA!K163+'DIETOLOGÍA(S)'!K163)</f>
        <v>0</v>
      </c>
      <c r="L163" s="598">
        <f>SUM(PACIENTES!L163+COMEDOR!L163+JORNADA!L163+'DIETOLOGÍA(S)'!L163)</f>
        <v>0</v>
      </c>
      <c r="M163" s="598">
        <f>SUM(PACIENTES!M163+COMEDOR!M163+JORNADA!M163+'DIETOLOGÍA(S)'!M163)</f>
        <v>0</v>
      </c>
      <c r="N163" s="598">
        <f>SUM(PACIENTES!N163+COMEDOR!N163+JORNADA!N163+'DIETOLOGÍA(S)'!N163)</f>
        <v>6</v>
      </c>
      <c r="O163" s="598">
        <f>SUM(PACIENTES!O163+COMEDOR!O163+JORNADA!O163+'DIETOLOGÍA(S)'!O163)</f>
        <v>0</v>
      </c>
      <c r="P163" s="598">
        <f>SUM(PACIENTES!P163+COMEDOR!P163+JORNADA!P163+'DIETOLOGÍA(S)'!P163)</f>
        <v>0</v>
      </c>
      <c r="Q163" s="598">
        <f>SUM(PACIENTES!Q163+COMEDOR!Q163+JORNADA!Q163+'DIETOLOGÍA(S)'!Q163)</f>
        <v>1</v>
      </c>
      <c r="R163" s="598">
        <f>SUM(PACIENTES!R163+COMEDOR!R163+JORNADA!R163+'DIETOLOGÍA(S)'!R163)</f>
        <v>0</v>
      </c>
      <c r="S163" s="598">
        <f>SUM(PACIENTES!S163+COMEDOR!S163+JORNADA!S163+'DIETOLOGÍA(S)'!S163)</f>
        <v>0</v>
      </c>
      <c r="T163" s="598">
        <f>SUM(PACIENTES!T163+COMEDOR!T163+JORNADA!T163+'DIETOLOGÍA(S)'!T163)</f>
        <v>0</v>
      </c>
      <c r="U163" s="598">
        <f>SUM(PACIENTES!U163+COMEDOR!U163+JORNADA!U163+'DIETOLOGÍA(S)'!U163)</f>
        <v>0</v>
      </c>
      <c r="V163" s="598">
        <f>SUM(PACIENTES!V163+COMEDOR!V163+JORNADA!V163+'DIETOLOGÍA(S)'!V163)</f>
        <v>0</v>
      </c>
      <c r="W163" s="598">
        <f>SUM(PACIENTES!W163+COMEDOR!W163+JORNADA!W163+'DIETOLOGÍA(S)'!W163)</f>
        <v>0</v>
      </c>
      <c r="X163" s="598">
        <f>SUM(PACIENTES!X163+COMEDOR!X163+JORNADA!X163+'DIETOLOGÍA(S)'!X163)</f>
        <v>0</v>
      </c>
      <c r="Y163" s="598">
        <f>SUM(PACIENTES!Y163+COMEDOR!Y163+JORNADA!Y163+'DIETOLOGÍA(S)'!Y163)</f>
        <v>0</v>
      </c>
      <c r="Z163" s="598">
        <f>SUM(PACIENTES!Z163+COMEDOR!Z163+JORNADA!Z163+'DIETOLOGÍA(S)'!Z163)</f>
        <v>0</v>
      </c>
      <c r="AA163" s="598">
        <f>SUM(PACIENTES!AA163+COMEDOR!AA163+JORNADA!AA163+'DIETOLOGÍA(S)'!AA163)</f>
        <v>0</v>
      </c>
      <c r="AB163" s="598">
        <f>SUM(PACIENTES!AB163+COMEDOR!AB163+JORNADA!AB163+'DIETOLOGÍA(S)'!AB163)</f>
        <v>0</v>
      </c>
      <c r="AC163" s="289">
        <f>SUM(PACIENTES!AC163+COMEDOR!AC163+JORNADA!AC163+'DIETOLOGÍA(S)'!AC163)</f>
        <v>0</v>
      </c>
      <c r="AD163" s="289">
        <f>SUM(PACIENTES!AD163+COMEDOR!AD163+JORNADA!AD163+'DIETOLOGÍA(S)'!AD163)</f>
        <v>0</v>
      </c>
      <c r="AE163" s="289">
        <f>SUM(PACIENTES!AE163+COMEDOR!AE163+JORNADA!AE163+'DIETOLOGÍA(S)'!AE163)</f>
        <v>2</v>
      </c>
      <c r="AF163" s="289">
        <f>SUM(PACIENTES!AF163+COMEDOR!AF163+JORNADA!AF163+'DIETOLOGÍA(S)'!AF163)</f>
        <v>0</v>
      </c>
      <c r="AG163" s="289">
        <f>SUM(PACIENTES!AG163+COMEDOR!AG163+JORNADA!AG163+'DIETOLOGÍA(S)'!AG163)</f>
        <v>0</v>
      </c>
      <c r="AH163" s="289">
        <f>SUM(PACIENTES!AH163+COMEDOR!AH163+JORNADA!AH163+'DIETOLOGÍA(S)'!AH163)</f>
        <v>0</v>
      </c>
      <c r="AI163" s="40">
        <f t="shared" si="6"/>
        <v>10</v>
      </c>
    </row>
    <row r="164" spans="1:35" ht="18.75" customHeight="1">
      <c r="A164" s="605" t="s">
        <v>169</v>
      </c>
      <c r="B164" s="606"/>
      <c r="C164" s="606"/>
      <c r="D164" s="606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6"/>
      <c r="AF164" s="606"/>
      <c r="AG164" s="606"/>
      <c r="AH164" s="607"/>
      <c r="AI164" s="44"/>
    </row>
    <row r="165" spans="1:35" ht="15.75" customHeight="1">
      <c r="A165" s="140">
        <v>2212001196</v>
      </c>
      <c r="B165" s="141" t="s">
        <v>170</v>
      </c>
      <c r="C165" s="142" t="s">
        <v>171</v>
      </c>
      <c r="D165" s="77">
        <f>SUM(PACIENTES!D165+COMEDOR!D165+JORNADA!D165+'DIETOLOGÍA(S)'!D165+'NUTRICIÓN CLÍNICA'!D6)</f>
        <v>15</v>
      </c>
      <c r="E165" s="77">
        <f>SUM(PACIENTES!E165+COMEDOR!E165+JORNADA!E165+'DIETOLOGÍA(S)'!E165+'NUTRICIÓN CLÍNICA'!E6)</f>
        <v>15</v>
      </c>
      <c r="F165" s="77">
        <f>SUM(PACIENTES!F165+COMEDOR!F165+JORNADA!F165+'DIETOLOGÍA(S)'!F165+'NUTRICIÓN CLÍNICA'!F6)</f>
        <v>15</v>
      </c>
      <c r="G165" s="77">
        <f>SUM(PACIENTES!G165+COMEDOR!G165+JORNADA!G165+'DIETOLOGÍA(S)'!G165+'NUTRICIÓN CLÍNICA'!G6)</f>
        <v>15</v>
      </c>
      <c r="H165" s="77">
        <f>SUM(PACIENTES!H165+COMEDOR!H165+JORNADA!H165+'DIETOLOGÍA(S)'!H165+'NUTRICIÓN CLÍNICA'!H6)</f>
        <v>15</v>
      </c>
      <c r="I165" s="77">
        <f>SUM(PACIENTES!I165+COMEDOR!I165+JORNADA!I165+'DIETOLOGÍA(S)'!I165+'NUTRICIÓN CLÍNICA'!I6)</f>
        <v>17</v>
      </c>
      <c r="J165" s="77">
        <f>SUM(PACIENTES!J165+COMEDOR!J165+JORNADA!J165+'DIETOLOGÍA(S)'!J165+'NUTRICIÓN CLÍNICA'!J6)</f>
        <v>25</v>
      </c>
      <c r="K165" s="77">
        <f>SUM(PACIENTES!K165+COMEDOR!K165+JORNADA!K165+'DIETOLOGÍA(S)'!K165+'NUTRICIÓN CLÍNICA'!K6)</f>
        <v>15</v>
      </c>
      <c r="L165" s="77">
        <f>SUM(PACIENTES!L165+COMEDOR!L165+JORNADA!L165+'DIETOLOGÍA(S)'!L165+'NUTRICIÓN CLÍNICA'!L6)</f>
        <v>15</v>
      </c>
      <c r="M165" s="77">
        <f>SUM(PACIENTES!M165+COMEDOR!M165+JORNADA!M165+'DIETOLOGÍA(S)'!M165+'NUTRICIÓN CLÍNICA'!M6)</f>
        <v>15</v>
      </c>
      <c r="N165" s="77">
        <f>SUM(PACIENTES!N165+COMEDOR!N165+JORNADA!N165+'DIETOLOGÍA(S)'!N165+'NUTRICIÓN CLÍNICA'!N6)</f>
        <v>15</v>
      </c>
      <c r="O165" s="77">
        <f>SUM(PACIENTES!O165+COMEDOR!O165+JORNADA!O165+'DIETOLOGÍA(S)'!O165+'NUTRICIÓN CLÍNICA'!O6)</f>
        <v>15</v>
      </c>
      <c r="P165" s="77">
        <f>SUM(PACIENTES!P165+COMEDOR!P165+JORNADA!P165+'DIETOLOGÍA(S)'!P165+'NUTRICIÓN CLÍNICA'!P6)</f>
        <v>17</v>
      </c>
      <c r="Q165" s="77">
        <f>SUM(PACIENTES!Q165+COMEDOR!Q165+JORNADA!Q165+'DIETOLOGÍA(S)'!Q165+'NUTRICIÓN CLÍNICA'!Q6)</f>
        <v>25</v>
      </c>
      <c r="R165" s="77">
        <f>SUM(PACIENTES!R165+COMEDOR!R165+JORNADA!R165+'DIETOLOGÍA(S)'!R165+'NUTRICIÓN CLÍNICA'!R6)</f>
        <v>15</v>
      </c>
      <c r="S165" s="77">
        <f>SUM(PACIENTES!S165+COMEDOR!S165+JORNADA!S165+'DIETOLOGÍA(S)'!S165+'NUTRICIÓN CLÍNICA'!S6)</f>
        <v>15</v>
      </c>
      <c r="T165" s="77">
        <f>SUM(PACIENTES!T165+COMEDOR!T165+JORNADA!T165+'DIETOLOGÍA(S)'!T165+'NUTRICIÓN CLÍNICA'!T6)</f>
        <v>15</v>
      </c>
      <c r="U165" s="77">
        <f>SUM(PACIENTES!U165+COMEDOR!U165+JORNADA!U165+'DIETOLOGÍA(S)'!U165+'NUTRICIÓN CLÍNICA'!U6)</f>
        <v>15</v>
      </c>
      <c r="V165" s="77">
        <f>SUM(PACIENTES!V165+COMEDOR!V165+JORNADA!V165+'DIETOLOGÍA(S)'!V165+'NUTRICIÓN CLÍNICA'!V6)</f>
        <v>15</v>
      </c>
      <c r="W165" s="77">
        <f>SUM(PACIENTES!W165+COMEDOR!W165+JORNADA!W165+'DIETOLOGÍA(S)'!W165+'NUTRICIÓN CLÍNICA'!W6)</f>
        <v>17</v>
      </c>
      <c r="X165" s="77">
        <f>SUM(PACIENTES!X165+COMEDOR!X165+JORNADA!X165+'DIETOLOGÍA(S)'!X165+'NUTRICIÓN CLÍNICA'!X6)</f>
        <v>25</v>
      </c>
      <c r="Y165" s="77">
        <f>SUM(PACIENTES!Y165+COMEDOR!Y165+JORNADA!Y165+'DIETOLOGÍA(S)'!Y165+'NUTRICIÓN CLÍNICA'!Y6)</f>
        <v>15</v>
      </c>
      <c r="Z165" s="77">
        <f>SUM(PACIENTES!Z165+COMEDOR!Z165+JORNADA!Z165+'DIETOLOGÍA(S)'!Z165+'NUTRICIÓN CLÍNICA'!Z6)</f>
        <v>15</v>
      </c>
      <c r="AA165" s="77">
        <f>SUM(PACIENTES!AA165+COMEDOR!AA165+JORNADA!AA165+'DIETOLOGÍA(S)'!AA165+'NUTRICIÓN CLÍNICA'!AA6)</f>
        <v>15</v>
      </c>
      <c r="AB165" s="77">
        <f>SUM(PACIENTES!AB165+COMEDOR!AB165+JORNADA!AB165+'DIETOLOGÍA(S)'!AB165+'NUTRICIÓN CLÍNICA'!AB6)</f>
        <v>15</v>
      </c>
      <c r="AC165" s="77">
        <f>SUM(PACIENTES!AC165+COMEDOR!AC165+JORNADA!AC165+'DIETOLOGÍA(S)'!AC165+'NUTRICIÓN CLÍNICA'!AC6)</f>
        <v>15</v>
      </c>
      <c r="AD165" s="77">
        <f>SUM(PACIENTES!AD165+COMEDOR!AD165+JORNADA!AD165+'DIETOLOGÍA(S)'!AD165+'NUTRICIÓN CLÍNICA'!AD6)</f>
        <v>17</v>
      </c>
      <c r="AE165" s="77">
        <f>SUM(PACIENTES!AE165+COMEDOR!AE165+JORNADA!AE165+'DIETOLOGÍA(S)'!AE165+'NUTRICIÓN CLÍNICA'!AE6)</f>
        <v>25</v>
      </c>
      <c r="AF165" s="77">
        <f>SUM(PACIENTES!AF165+COMEDOR!AF165+JORNADA!AF165+'DIETOLOGÍA(S)'!AF165+'NUTRICIÓN CLÍNICA'!AF6)</f>
        <v>15</v>
      </c>
      <c r="AG165" s="77">
        <f>SUM(PACIENTES!AG165+COMEDOR!AG165+JORNADA!AG165+'DIETOLOGÍA(S)'!AG165+'NUTRICIÓN CLÍNICA'!AG6)</f>
        <v>15</v>
      </c>
      <c r="AH165" s="77">
        <f>SUM(PACIENTES!AH165+COMEDOR!AH165+JORNADA!AH165+'DIETOLOGÍA(S)'!AH165+'NUTRICIÓN CLÍNICA'!AH6)</f>
        <v>15</v>
      </c>
      <c r="AI165" s="48">
        <f t="shared" ref="AI165:AI189" si="7">SUM(D165:AH165)</f>
        <v>513</v>
      </c>
    </row>
    <row r="166" spans="1:35" ht="15.75" customHeight="1">
      <c r="A166" s="144">
        <v>2212005007</v>
      </c>
      <c r="B166" s="146" t="s">
        <v>172</v>
      </c>
      <c r="C166" s="145" t="s">
        <v>171</v>
      </c>
      <c r="D166" s="77">
        <f>SUM(PACIENTES!D166+COMEDOR!D166+JORNADA!D166+'DIETOLOGÍA(S)'!D166)</f>
        <v>0</v>
      </c>
      <c r="E166" s="77">
        <f>SUM(PACIENTES!E166+COMEDOR!E166+JORNADA!E166+'DIETOLOGÍA(S)'!E166)</f>
        <v>0</v>
      </c>
      <c r="F166" s="77">
        <f>SUM(PACIENTES!F166+COMEDOR!F166+JORNADA!F166+'DIETOLOGÍA(S)'!F166)</f>
        <v>0</v>
      </c>
      <c r="G166" s="77">
        <f>SUM(PACIENTES!G166+COMEDOR!G166+JORNADA!G166+'DIETOLOGÍA(S)'!G166)</f>
        <v>0</v>
      </c>
      <c r="H166" s="77">
        <f>SUM(PACIENTES!H166+COMEDOR!H166+JORNADA!H166+'DIETOLOGÍA(S)'!H166)</f>
        <v>0</v>
      </c>
      <c r="I166" s="77">
        <f>SUM(PACIENTES!I166+COMEDOR!I166+JORNADA!I166+'DIETOLOGÍA(S)'!I166)</f>
        <v>1</v>
      </c>
      <c r="J166" s="77">
        <f>SUM(PACIENTES!J166+COMEDOR!J166+JORNADA!J166+'DIETOLOGÍA(S)'!J166)</f>
        <v>0</v>
      </c>
      <c r="K166" s="77">
        <f>SUM(PACIENTES!K166+COMEDOR!K166+JORNADA!K166+'DIETOLOGÍA(S)'!K166)</f>
        <v>0</v>
      </c>
      <c r="L166" s="77">
        <f>SUM(PACIENTES!L166+COMEDOR!L166+JORNADA!L166+'DIETOLOGÍA(S)'!L166)</f>
        <v>0</v>
      </c>
      <c r="M166" s="77">
        <f>SUM(PACIENTES!M166+COMEDOR!M166+JORNADA!M166+'DIETOLOGÍA(S)'!M166)</f>
        <v>0</v>
      </c>
      <c r="N166" s="77">
        <f>SUM(PACIENTES!N166+COMEDOR!N166+JORNADA!N166+'DIETOLOGÍA(S)'!N166)</f>
        <v>0</v>
      </c>
      <c r="O166" s="77">
        <f>SUM(PACIENTES!O166+COMEDOR!O166+JORNADA!O166+'DIETOLOGÍA(S)'!O166)</f>
        <v>0</v>
      </c>
      <c r="P166" s="77">
        <f>SUM(PACIENTES!P166+COMEDOR!P166+JORNADA!P166+'DIETOLOGÍA(S)'!P166)</f>
        <v>1</v>
      </c>
      <c r="Q166" s="77">
        <f>SUM(PACIENTES!Q166+COMEDOR!Q166+JORNADA!Q166+'DIETOLOGÍA(S)'!Q166)</f>
        <v>12</v>
      </c>
      <c r="R166" s="77">
        <f>SUM(PACIENTES!R166+COMEDOR!R166+JORNADA!R166+'DIETOLOGÍA(S)'!R166)</f>
        <v>0</v>
      </c>
      <c r="S166" s="77">
        <f>SUM(PACIENTES!S166+COMEDOR!S166+JORNADA!S166+'DIETOLOGÍA(S)'!S166)</f>
        <v>0</v>
      </c>
      <c r="T166" s="77">
        <f>SUM(PACIENTES!T166+COMEDOR!T166+JORNADA!T166+'DIETOLOGÍA(S)'!T166)</f>
        <v>0</v>
      </c>
      <c r="U166" s="77">
        <f>SUM(PACIENTES!U166+COMEDOR!U166+JORNADA!U166+'DIETOLOGÍA(S)'!U166)</f>
        <v>0</v>
      </c>
      <c r="V166" s="77">
        <f>SUM(PACIENTES!V166+COMEDOR!V166+JORNADA!V166+'DIETOLOGÍA(S)'!V166)</f>
        <v>0</v>
      </c>
      <c r="W166" s="77">
        <f>SUM(PACIENTES!W166+COMEDOR!W166+JORNADA!W166+'DIETOLOGÍA(S)'!W166)</f>
        <v>1</v>
      </c>
      <c r="X166" s="77">
        <f>SUM(PACIENTES!X166+COMEDOR!X166+JORNADA!X166+'DIETOLOGÍA(S)'!X166)</f>
        <v>0</v>
      </c>
      <c r="Y166" s="77">
        <f>SUM(PACIENTES!Y166+COMEDOR!Y166+JORNADA!Y166+'DIETOLOGÍA(S)'!Y166)</f>
        <v>0</v>
      </c>
      <c r="Z166" s="77">
        <f>SUM(PACIENTES!Z166+COMEDOR!Z166+JORNADA!Z166+'DIETOLOGÍA(S)'!Z166)</f>
        <v>0</v>
      </c>
      <c r="AA166" s="77">
        <f>SUM(PACIENTES!AA166+COMEDOR!AA166+JORNADA!AA166+'DIETOLOGÍA(S)'!AA166)</f>
        <v>0</v>
      </c>
      <c r="AB166" s="77">
        <f>SUM(PACIENTES!AB166+COMEDOR!AB166+JORNADA!AB166+'DIETOLOGÍA(S)'!AB166)</f>
        <v>0</v>
      </c>
      <c r="AC166" s="77">
        <f>SUM(PACIENTES!AC166+COMEDOR!AC166+JORNADA!AC166+'DIETOLOGÍA(S)'!AC166)</f>
        <v>0</v>
      </c>
      <c r="AD166" s="77">
        <f>SUM(PACIENTES!AD166+COMEDOR!AD166+JORNADA!AD166+'DIETOLOGÍA(S)'!AD166)</f>
        <v>1</v>
      </c>
      <c r="AE166" s="77">
        <f>SUM(PACIENTES!AE166+COMEDOR!AE166+JORNADA!AE166+'DIETOLOGÍA(S)'!AE166)</f>
        <v>0</v>
      </c>
      <c r="AF166" s="77">
        <f>SUM(PACIENTES!AF166+COMEDOR!AF166+JORNADA!AF166+'DIETOLOGÍA(S)'!AF166)</f>
        <v>0</v>
      </c>
      <c r="AG166" s="77">
        <f>SUM(PACIENTES!AG166+COMEDOR!AG166+JORNADA!AG166+'DIETOLOGÍA(S)'!AG166)</f>
        <v>0</v>
      </c>
      <c r="AH166" s="77">
        <f>SUM(PACIENTES!AH166+COMEDOR!AH166+JORNADA!AH166+'DIETOLOGÍA(S)'!AH166)</f>
        <v>0</v>
      </c>
      <c r="AI166" s="9">
        <f t="shared" si="7"/>
        <v>16</v>
      </c>
    </row>
    <row r="167" spans="1:35" ht="15.75" customHeight="1">
      <c r="A167" s="144">
        <v>2212005010</v>
      </c>
      <c r="B167" s="146" t="s">
        <v>173</v>
      </c>
      <c r="C167" s="145" t="s">
        <v>6</v>
      </c>
      <c r="D167" s="77">
        <f>SUM(PACIENTES!D167+COMEDOR!D167+JORNADA!D167+'DIETOLOGÍA(S)'!D167)</f>
        <v>0</v>
      </c>
      <c r="E167" s="77">
        <f>SUM(PACIENTES!E167+COMEDOR!E167+JORNADA!E167+'DIETOLOGÍA(S)'!E167)</f>
        <v>0</v>
      </c>
      <c r="F167" s="77">
        <f>SUM(PACIENTES!F167+COMEDOR!F167+JORNADA!F167+'DIETOLOGÍA(S)'!F167)</f>
        <v>0</v>
      </c>
      <c r="G167" s="77">
        <f>SUM(PACIENTES!G167+COMEDOR!G167+JORNADA!G167+'DIETOLOGÍA(S)'!G167)</f>
        <v>0</v>
      </c>
      <c r="H167" s="77">
        <f>SUM(PACIENTES!H167+COMEDOR!H167+JORNADA!H167+'DIETOLOGÍA(S)'!H167)</f>
        <v>0</v>
      </c>
      <c r="I167" s="77">
        <f>SUM(PACIENTES!I167+COMEDOR!I167+JORNADA!I167+'DIETOLOGÍA(S)'!I167)</f>
        <v>0</v>
      </c>
      <c r="J167" s="77">
        <f>SUM(PACIENTES!J167+COMEDOR!J167+JORNADA!J167+'DIETOLOGÍA(S)'!J167)</f>
        <v>0</v>
      </c>
      <c r="K167" s="77">
        <f>SUM(PACIENTES!K167+COMEDOR!K167+JORNADA!K167+'DIETOLOGÍA(S)'!K167)</f>
        <v>0</v>
      </c>
      <c r="L167" s="77">
        <f>SUM(PACIENTES!L167+COMEDOR!L167+JORNADA!L167+'DIETOLOGÍA(S)'!L167)</f>
        <v>0</v>
      </c>
      <c r="M167" s="77">
        <f>SUM(PACIENTES!M167+COMEDOR!M167+JORNADA!M167+'DIETOLOGÍA(S)'!M167)</f>
        <v>9</v>
      </c>
      <c r="N167" s="77">
        <f>SUM(PACIENTES!N167+COMEDOR!N167+JORNADA!N167+'DIETOLOGÍA(S)'!N167)</f>
        <v>0</v>
      </c>
      <c r="O167" s="77">
        <f>SUM(PACIENTES!O167+COMEDOR!O167+JORNADA!O167+'DIETOLOGÍA(S)'!O167)</f>
        <v>0</v>
      </c>
      <c r="P167" s="77">
        <f>SUM(PACIENTES!P167+COMEDOR!P167+JORNADA!P167+'DIETOLOGÍA(S)'!P167)</f>
        <v>0</v>
      </c>
      <c r="Q167" s="77">
        <f>SUM(PACIENTES!Q167+COMEDOR!Q167+JORNADA!Q167+'DIETOLOGÍA(S)'!Q167)</f>
        <v>0</v>
      </c>
      <c r="R167" s="77">
        <f>SUM(PACIENTES!R167+COMEDOR!R167+JORNADA!R167+'DIETOLOGÍA(S)'!R167)</f>
        <v>0</v>
      </c>
      <c r="S167" s="77">
        <f>SUM(PACIENTES!S167+COMEDOR!S167+JORNADA!S167+'DIETOLOGÍA(S)'!S167)</f>
        <v>0</v>
      </c>
      <c r="T167" s="77">
        <f>SUM(PACIENTES!T167+COMEDOR!T167+JORNADA!T167+'DIETOLOGÍA(S)'!T167)</f>
        <v>8</v>
      </c>
      <c r="U167" s="77">
        <f>SUM(PACIENTES!U167+COMEDOR!U167+JORNADA!U167+'DIETOLOGÍA(S)'!U167)</f>
        <v>5</v>
      </c>
      <c r="V167" s="77">
        <f>SUM(PACIENTES!V167+COMEDOR!V167+JORNADA!V167+'DIETOLOGÍA(S)'!V167)</f>
        <v>5</v>
      </c>
      <c r="W167" s="77">
        <f>SUM(PACIENTES!W167+COMEDOR!W167+JORNADA!W167+'DIETOLOGÍA(S)'!W167)</f>
        <v>9</v>
      </c>
      <c r="X167" s="77">
        <f>SUM(PACIENTES!X167+COMEDOR!X167+JORNADA!X167+'DIETOLOGÍA(S)'!X167)</f>
        <v>0</v>
      </c>
      <c r="Y167" s="77">
        <f>SUM(PACIENTES!Y167+COMEDOR!Y167+JORNADA!Y167+'DIETOLOGÍA(S)'!Y167)</f>
        <v>5</v>
      </c>
      <c r="Z167" s="77">
        <f>SUM(PACIENTES!Z167+COMEDOR!Z167+JORNADA!Z167+'DIETOLOGÍA(S)'!Z167)</f>
        <v>0</v>
      </c>
      <c r="AA167" s="77">
        <f>SUM(PACIENTES!AA167+COMEDOR!AA167+JORNADA!AA167+'DIETOLOGÍA(S)'!AA167)</f>
        <v>0</v>
      </c>
      <c r="AB167" s="77">
        <f>SUM(PACIENTES!AB167+COMEDOR!AB167+JORNADA!AB167+'DIETOLOGÍA(S)'!AB167)</f>
        <v>0</v>
      </c>
      <c r="AC167" s="77">
        <f>SUM(PACIENTES!AC167+COMEDOR!AC167+JORNADA!AC167+'DIETOLOGÍA(S)'!AC167)</f>
        <v>0</v>
      </c>
      <c r="AD167" s="77">
        <f>SUM(PACIENTES!AD167+COMEDOR!AD167+JORNADA!AD167+'DIETOLOGÍA(S)'!AD167)</f>
        <v>0</v>
      </c>
      <c r="AE167" s="77">
        <f>SUM(PACIENTES!AE167+COMEDOR!AE167+JORNADA!AE167+'DIETOLOGÍA(S)'!AE167)</f>
        <v>0</v>
      </c>
      <c r="AF167" s="77">
        <f>SUM(PACIENTES!AF167+COMEDOR!AF167+JORNADA!AF167+'DIETOLOGÍA(S)'!AF167)</f>
        <v>8</v>
      </c>
      <c r="AG167" s="77">
        <f>SUM(PACIENTES!AG167+COMEDOR!AG167+JORNADA!AG167+'DIETOLOGÍA(S)'!AG167)</f>
        <v>0</v>
      </c>
      <c r="AH167" s="77">
        <f>SUM(PACIENTES!AH167+COMEDOR!AH167+JORNADA!AH167+'DIETOLOGÍA(S)'!AH167)</f>
        <v>15</v>
      </c>
      <c r="AI167" s="9">
        <f t="shared" si="7"/>
        <v>64</v>
      </c>
    </row>
    <row r="168" spans="1:35" ht="15.75" customHeight="1">
      <c r="A168" s="144">
        <v>2212005011</v>
      </c>
      <c r="B168" s="146" t="s">
        <v>174</v>
      </c>
      <c r="C168" s="145" t="s">
        <v>175</v>
      </c>
      <c r="D168" s="77">
        <f>SUM(PACIENTES!D168+COMEDOR!D168+JORNADA!D168+'DIETOLOGÍA(S)'!D168)</f>
        <v>0</v>
      </c>
      <c r="E168" s="77">
        <f>SUM(PACIENTES!E168+COMEDOR!E168+JORNADA!E168+'DIETOLOGÍA(S)'!E168)</f>
        <v>0</v>
      </c>
      <c r="F168" s="77">
        <f>SUM(PACIENTES!F168+COMEDOR!F168+JORNADA!F168+'DIETOLOGÍA(S)'!F168)</f>
        <v>0</v>
      </c>
      <c r="G168" s="77">
        <f>SUM(PACIENTES!G168+COMEDOR!G168+JORNADA!G168+'DIETOLOGÍA(S)'!G168)</f>
        <v>0</v>
      </c>
      <c r="H168" s="77">
        <f>SUM(PACIENTES!H168+COMEDOR!H168+JORNADA!H168+'DIETOLOGÍA(S)'!H168)</f>
        <v>0</v>
      </c>
      <c r="I168" s="77">
        <f>SUM(PACIENTES!I168+COMEDOR!I168+JORNADA!I168+'DIETOLOGÍA(S)'!I168)</f>
        <v>1</v>
      </c>
      <c r="J168" s="77">
        <f>SUM(PACIENTES!J168+COMEDOR!J168+JORNADA!J168+'DIETOLOGÍA(S)'!J168)</f>
        <v>1</v>
      </c>
      <c r="K168" s="77">
        <f>SUM(PACIENTES!K168+COMEDOR!K168+JORNADA!K168+'DIETOLOGÍA(S)'!K168)</f>
        <v>0</v>
      </c>
      <c r="L168" s="77">
        <f>SUM(PACIENTES!L168+COMEDOR!L168+JORNADA!L168+'DIETOLOGÍA(S)'!L168)</f>
        <v>0</v>
      </c>
      <c r="M168" s="77">
        <f>SUM(PACIENTES!M168+COMEDOR!M168+JORNADA!M168+'DIETOLOGÍA(S)'!M168)</f>
        <v>0</v>
      </c>
      <c r="N168" s="77">
        <f>SUM(PACIENTES!N168+COMEDOR!N168+JORNADA!N168+'DIETOLOGÍA(S)'!N168)</f>
        <v>0</v>
      </c>
      <c r="O168" s="77">
        <f>SUM(PACIENTES!O168+COMEDOR!O168+JORNADA!O168+'DIETOLOGÍA(S)'!O168)</f>
        <v>0</v>
      </c>
      <c r="P168" s="77">
        <f>SUM(PACIENTES!P168+COMEDOR!P168+JORNADA!P168+'DIETOLOGÍA(S)'!P168)</f>
        <v>0</v>
      </c>
      <c r="Q168" s="77">
        <f>SUM(PACIENTES!Q168+COMEDOR!Q168+JORNADA!Q168+'DIETOLOGÍA(S)'!Q168)</f>
        <v>0</v>
      </c>
      <c r="R168" s="77">
        <f>SUM(PACIENTES!R168+COMEDOR!R168+JORNADA!R168+'DIETOLOGÍA(S)'!R168)</f>
        <v>0</v>
      </c>
      <c r="S168" s="77">
        <f>SUM(PACIENTES!S168+COMEDOR!S168+JORNADA!S168+'DIETOLOGÍA(S)'!S168)</f>
        <v>0</v>
      </c>
      <c r="T168" s="77">
        <f>SUM(PACIENTES!T168+COMEDOR!T168+JORNADA!T168+'DIETOLOGÍA(S)'!T168)</f>
        <v>0</v>
      </c>
      <c r="U168" s="77">
        <f>SUM(PACIENTES!U168+COMEDOR!U168+JORNADA!U168+'DIETOLOGÍA(S)'!U168)</f>
        <v>0</v>
      </c>
      <c r="V168" s="77">
        <f>SUM(PACIENTES!V168+COMEDOR!V168+JORNADA!V168+'DIETOLOGÍA(S)'!V168)</f>
        <v>0</v>
      </c>
      <c r="W168" s="77">
        <f>SUM(PACIENTES!W168+COMEDOR!W168+JORNADA!W168+'DIETOLOGÍA(S)'!W168)</f>
        <v>0</v>
      </c>
      <c r="X168" s="77">
        <f>SUM(PACIENTES!X168+COMEDOR!X168+JORNADA!X168+'DIETOLOGÍA(S)'!X168)</f>
        <v>0</v>
      </c>
      <c r="Y168" s="77">
        <f>SUM(PACIENTES!Y168+COMEDOR!Y168+JORNADA!Y168+'DIETOLOGÍA(S)'!Y168)</f>
        <v>0</v>
      </c>
      <c r="Z168" s="77">
        <f>SUM(PACIENTES!Z168+COMEDOR!Z168+JORNADA!Z168+'DIETOLOGÍA(S)'!Z168)</f>
        <v>0</v>
      </c>
      <c r="AA168" s="77">
        <f>SUM(PACIENTES!AA168+COMEDOR!AA168+JORNADA!AA168+'DIETOLOGÍA(S)'!AA168)</f>
        <v>0</v>
      </c>
      <c r="AB168" s="77">
        <f>SUM(PACIENTES!AB168+COMEDOR!AB168+JORNADA!AB168+'DIETOLOGÍA(S)'!AB168)</f>
        <v>0</v>
      </c>
      <c r="AC168" s="77">
        <f>SUM(PACIENTES!AC168+COMEDOR!AC168+JORNADA!AC168+'DIETOLOGÍA(S)'!AC168)</f>
        <v>0</v>
      </c>
      <c r="AD168" s="77">
        <f>SUM(PACIENTES!AD168+COMEDOR!AD168+JORNADA!AD168+'DIETOLOGÍA(S)'!AD168)</f>
        <v>0</v>
      </c>
      <c r="AE168" s="77">
        <f>SUM(PACIENTES!AE168+COMEDOR!AE168+JORNADA!AE168+'DIETOLOGÍA(S)'!AE168)</f>
        <v>1</v>
      </c>
      <c r="AF168" s="77">
        <f>SUM(PACIENTES!AF168+COMEDOR!AF168+JORNADA!AF168+'DIETOLOGÍA(S)'!AF168)</f>
        <v>0</v>
      </c>
      <c r="AG168" s="77">
        <f>SUM(PACIENTES!AG168+COMEDOR!AG168+JORNADA!AG168+'DIETOLOGÍA(S)'!AG168)</f>
        <v>0</v>
      </c>
      <c r="AH168" s="77">
        <f>SUM(PACIENTES!AH168+COMEDOR!AH168+JORNADA!AH168+'DIETOLOGÍA(S)'!AH168)</f>
        <v>0</v>
      </c>
      <c r="AI168" s="9">
        <f t="shared" si="7"/>
        <v>3</v>
      </c>
    </row>
    <row r="169" spans="1:35" ht="15.75" customHeight="1">
      <c r="A169" s="147">
        <v>2212007012</v>
      </c>
      <c r="B169" s="148" t="s">
        <v>176</v>
      </c>
      <c r="C169" s="147" t="s">
        <v>177</v>
      </c>
      <c r="D169" s="77">
        <f>SUM(PACIENTES!D169+COMEDOR!D169+JORNADA!D169+'DIETOLOGÍA(S)'!D169)</f>
        <v>6</v>
      </c>
      <c r="E169" s="77">
        <f>SUM(PACIENTES!E169+COMEDOR!E169+JORNADA!E169+'DIETOLOGÍA(S)'!E169)</f>
        <v>11</v>
      </c>
      <c r="F169" s="77">
        <f>SUM(PACIENTES!F169+COMEDOR!F169+JORNADA!F169+'DIETOLOGÍA(S)'!F169)</f>
        <v>2</v>
      </c>
      <c r="G169" s="77">
        <f>SUM(PACIENTES!G169+COMEDOR!G169+JORNADA!G169+'DIETOLOGÍA(S)'!G169)</f>
        <v>16</v>
      </c>
      <c r="H169" s="77">
        <f>SUM(PACIENTES!H169+COMEDOR!H169+JORNADA!H169+'DIETOLOGÍA(S)'!H169)</f>
        <v>15</v>
      </c>
      <c r="I169" s="77">
        <f>SUM(PACIENTES!I169+COMEDOR!I169+JORNADA!I169+'DIETOLOGÍA(S)'!I169)</f>
        <v>9</v>
      </c>
      <c r="J169" s="77">
        <f>SUM(PACIENTES!J169+COMEDOR!J169+JORNADA!J169+'DIETOLOGÍA(S)'!J169)</f>
        <v>11</v>
      </c>
      <c r="K169" s="77">
        <f>SUM(PACIENTES!K169+COMEDOR!K169+JORNADA!K169+'DIETOLOGÍA(S)'!K169)</f>
        <v>2</v>
      </c>
      <c r="L169" s="77">
        <f>SUM(PACIENTES!L169+COMEDOR!L169+JORNADA!L169+'DIETOLOGÍA(S)'!L169)</f>
        <v>16</v>
      </c>
      <c r="M169" s="77">
        <f>SUM(PACIENTES!M169+COMEDOR!M169+JORNADA!M169+'DIETOLOGÍA(S)'!M169)</f>
        <v>2</v>
      </c>
      <c r="N169" s="77">
        <f>SUM(PACIENTES!N169+COMEDOR!N169+JORNADA!N169+'DIETOLOGÍA(S)'!N169)</f>
        <v>6</v>
      </c>
      <c r="O169" s="77">
        <f>SUM(PACIENTES!O169+COMEDOR!O169+JORNADA!O169+'DIETOLOGÍA(S)'!O169)</f>
        <v>2</v>
      </c>
      <c r="P169" s="77">
        <f>SUM(PACIENTES!P169+COMEDOR!P169+JORNADA!P169+'DIETOLOGÍA(S)'!P169)</f>
        <v>12</v>
      </c>
      <c r="Q169" s="77">
        <f>SUM(PACIENTES!Q169+COMEDOR!Q169+JORNADA!Q169+'DIETOLOGÍA(S)'!Q169)</f>
        <v>9</v>
      </c>
      <c r="R169" s="77">
        <f>SUM(PACIENTES!R169+COMEDOR!R169+JORNADA!R169+'DIETOLOGÍA(S)'!R169)</f>
        <v>11</v>
      </c>
      <c r="S169" s="77">
        <f>SUM(PACIENTES!S169+COMEDOR!S169+JORNADA!S169+'DIETOLOGÍA(S)'!S169)</f>
        <v>6</v>
      </c>
      <c r="T169" s="77">
        <f>SUM(PACIENTES!T169+COMEDOR!T169+JORNADA!T169+'DIETOLOGÍA(S)'!T169)</f>
        <v>6</v>
      </c>
      <c r="U169" s="77">
        <f>SUM(PACIENTES!U169+COMEDOR!U169+JORNADA!U169+'DIETOLOGÍA(S)'!U169)</f>
        <v>4</v>
      </c>
      <c r="V169" s="77">
        <f>SUM(PACIENTES!V169+COMEDOR!V169+JORNADA!V169+'DIETOLOGÍA(S)'!V169)</f>
        <v>6</v>
      </c>
      <c r="W169" s="77">
        <f>SUM(PACIENTES!W169+COMEDOR!W169+JORNADA!W169+'DIETOLOGÍA(S)'!W169)</f>
        <v>8</v>
      </c>
      <c r="X169" s="77">
        <f>SUM(PACIENTES!X169+COMEDOR!X169+JORNADA!X169+'DIETOLOGÍA(S)'!X169)</f>
        <v>13</v>
      </c>
      <c r="Y169" s="77">
        <f>SUM(PACIENTES!Y169+COMEDOR!Y169+JORNADA!Y169+'DIETOLOGÍA(S)'!Y169)</f>
        <v>13</v>
      </c>
      <c r="Z169" s="77">
        <f>SUM(PACIENTES!Z169+COMEDOR!Z169+JORNADA!Z169+'DIETOLOGÍA(S)'!Z169)</f>
        <v>2</v>
      </c>
      <c r="AA169" s="77">
        <f>SUM(PACIENTES!AA169+COMEDOR!AA169+JORNADA!AA169+'DIETOLOGÍA(S)'!AA169)</f>
        <v>12</v>
      </c>
      <c r="AB169" s="77">
        <f>SUM(PACIENTES!AB169+COMEDOR!AB169+JORNADA!AB169+'DIETOLOGÍA(S)'!AB169)</f>
        <v>21</v>
      </c>
      <c r="AC169" s="77">
        <f>SUM(PACIENTES!AC169+COMEDOR!AC169+JORNADA!AC169+'DIETOLOGÍA(S)'!AC169)</f>
        <v>6</v>
      </c>
      <c r="AD169" s="77">
        <f>SUM(PACIENTES!AD169+COMEDOR!AD169+JORNADA!AD169+'DIETOLOGÍA(S)'!AD169)</f>
        <v>3</v>
      </c>
      <c r="AE169" s="77">
        <f>SUM(PACIENTES!AE169+COMEDOR!AE169+JORNADA!AE169+'DIETOLOGÍA(S)'!AE169)</f>
        <v>8</v>
      </c>
      <c r="AF169" s="77">
        <f>SUM(PACIENTES!AF169+COMEDOR!AF169+JORNADA!AF169+'DIETOLOGÍA(S)'!AF169)</f>
        <v>8</v>
      </c>
      <c r="AG169" s="77">
        <f>SUM(PACIENTES!AG169+COMEDOR!AG169+JORNADA!AG169+'DIETOLOGÍA(S)'!AG169)</f>
        <v>8</v>
      </c>
      <c r="AH169" s="77">
        <f>SUM(PACIENTES!AH169+COMEDOR!AH169+JORNADA!AH169+'DIETOLOGÍA(S)'!AH169)</f>
        <v>11</v>
      </c>
      <c r="AI169" s="9">
        <f t="shared" si="7"/>
        <v>265</v>
      </c>
    </row>
    <row r="170" spans="1:35" ht="15.75" customHeight="1">
      <c r="A170" s="144">
        <v>2212005015</v>
      </c>
      <c r="B170" s="146" t="s">
        <v>178</v>
      </c>
      <c r="C170" s="145" t="s">
        <v>171</v>
      </c>
      <c r="D170" s="77">
        <f>SUM(PACIENTES!D170+COMEDOR!D170+JORNADA!D170+'DIETOLOGÍA(S)'!D170)</f>
        <v>0</v>
      </c>
      <c r="E170" s="77">
        <f>SUM(PACIENTES!E170+COMEDOR!E170+JORNADA!E170+'DIETOLOGÍA(S)'!E170)</f>
        <v>0</v>
      </c>
      <c r="F170" s="77">
        <f>SUM(PACIENTES!F170+COMEDOR!F170+JORNADA!F170+'DIETOLOGÍA(S)'!F170)</f>
        <v>0</v>
      </c>
      <c r="G170" s="77">
        <f>SUM(PACIENTES!G170+COMEDOR!G170+JORNADA!G170+'DIETOLOGÍA(S)'!G170)</f>
        <v>0</v>
      </c>
      <c r="H170" s="77">
        <f>SUM(PACIENTES!H170+COMEDOR!H170+JORNADA!H170+'DIETOLOGÍA(S)'!H170)</f>
        <v>0</v>
      </c>
      <c r="I170" s="77">
        <f>SUM(PACIENTES!I170+COMEDOR!I170+JORNADA!I170+'DIETOLOGÍA(S)'!I170)</f>
        <v>0</v>
      </c>
      <c r="J170" s="77">
        <f>SUM(PACIENTES!J170+COMEDOR!J170+JORNADA!J170+'DIETOLOGÍA(S)'!J170)</f>
        <v>0</v>
      </c>
      <c r="K170" s="77">
        <f>SUM(PACIENTES!K170+COMEDOR!K170+JORNADA!K170+'DIETOLOGÍA(S)'!K170)</f>
        <v>0</v>
      </c>
      <c r="L170" s="77">
        <f>SUM(PACIENTES!L170+COMEDOR!L170+JORNADA!L170+'DIETOLOGÍA(S)'!L170)</f>
        <v>0</v>
      </c>
      <c r="M170" s="77">
        <f>SUM(PACIENTES!M170+COMEDOR!M170+JORNADA!M170+'DIETOLOGÍA(S)'!M170)</f>
        <v>0</v>
      </c>
      <c r="N170" s="77">
        <f>SUM(PACIENTES!N170+COMEDOR!N170+JORNADA!N170+'DIETOLOGÍA(S)'!N170)</f>
        <v>0</v>
      </c>
      <c r="O170" s="77">
        <f>SUM(PACIENTES!O170+COMEDOR!O170+JORNADA!O170+'DIETOLOGÍA(S)'!O170)</f>
        <v>0</v>
      </c>
      <c r="P170" s="77">
        <f>SUM(PACIENTES!P170+COMEDOR!P170+JORNADA!P170+'DIETOLOGÍA(S)'!P170)</f>
        <v>0</v>
      </c>
      <c r="Q170" s="77">
        <f>SUM(PACIENTES!Q170+COMEDOR!Q170+JORNADA!Q170+'DIETOLOGÍA(S)'!Q170)</f>
        <v>0</v>
      </c>
      <c r="R170" s="77">
        <f>SUM(PACIENTES!R170+COMEDOR!R170+JORNADA!R170+'DIETOLOGÍA(S)'!R170)</f>
        <v>0</v>
      </c>
      <c r="S170" s="77">
        <f>SUM(PACIENTES!S170+COMEDOR!S170+JORNADA!S170+'DIETOLOGÍA(S)'!S170)</f>
        <v>0</v>
      </c>
      <c r="T170" s="77">
        <f>SUM(PACIENTES!T170+COMEDOR!T170+JORNADA!T170+'DIETOLOGÍA(S)'!T170)</f>
        <v>0</v>
      </c>
      <c r="U170" s="77">
        <f>SUM(PACIENTES!U170+COMEDOR!U170+JORNADA!U170+'DIETOLOGÍA(S)'!U170)</f>
        <v>0</v>
      </c>
      <c r="V170" s="77">
        <f>SUM(PACIENTES!V170+COMEDOR!V170+JORNADA!V170+'DIETOLOGÍA(S)'!V170)</f>
        <v>0</v>
      </c>
      <c r="W170" s="77">
        <f>SUM(PACIENTES!W170+COMEDOR!W170+JORNADA!W170+'DIETOLOGÍA(S)'!W170)</f>
        <v>0</v>
      </c>
      <c r="X170" s="77">
        <f>SUM(PACIENTES!X170+COMEDOR!X170+JORNADA!X170+'DIETOLOGÍA(S)'!X170)</f>
        <v>0</v>
      </c>
      <c r="Y170" s="77">
        <f>SUM(PACIENTES!Y170+COMEDOR!Y170+JORNADA!Y170+'DIETOLOGÍA(S)'!Y170)</f>
        <v>0</v>
      </c>
      <c r="Z170" s="77">
        <f>SUM(PACIENTES!Z170+COMEDOR!Z170+JORNADA!Z170+'DIETOLOGÍA(S)'!Z170)</f>
        <v>0</v>
      </c>
      <c r="AA170" s="77">
        <f>SUM(PACIENTES!AA170+COMEDOR!AA170+JORNADA!AA170+'DIETOLOGÍA(S)'!AA170)</f>
        <v>0</v>
      </c>
      <c r="AB170" s="77">
        <f>SUM(PACIENTES!AB170+COMEDOR!AB170+JORNADA!AB170+'DIETOLOGÍA(S)'!AB170)</f>
        <v>0</v>
      </c>
      <c r="AC170" s="77">
        <f>SUM(PACIENTES!AC170+COMEDOR!AC170+JORNADA!AC170+'DIETOLOGÍA(S)'!AC170)</f>
        <v>0</v>
      </c>
      <c r="AD170" s="77">
        <f>SUM(PACIENTES!AD170+COMEDOR!AD170+JORNADA!AD170+'DIETOLOGÍA(S)'!AD170)</f>
        <v>0</v>
      </c>
      <c r="AE170" s="77">
        <f>SUM(PACIENTES!AE170+COMEDOR!AE170+JORNADA!AE170+'DIETOLOGÍA(S)'!AE170)</f>
        <v>0</v>
      </c>
      <c r="AF170" s="77">
        <f>SUM(PACIENTES!AF170+COMEDOR!AF170+JORNADA!AF170+'DIETOLOGÍA(S)'!AF170)</f>
        <v>0</v>
      </c>
      <c r="AG170" s="77">
        <f>SUM(PACIENTES!AG170+COMEDOR!AG170+JORNADA!AG170+'DIETOLOGÍA(S)'!AG170)</f>
        <v>0</v>
      </c>
      <c r="AH170" s="77">
        <f>SUM(PACIENTES!AH170+COMEDOR!AH170+JORNADA!AH170+'DIETOLOGÍA(S)'!AH170)</f>
        <v>0</v>
      </c>
      <c r="AI170" s="9">
        <f t="shared" si="7"/>
        <v>0</v>
      </c>
    </row>
    <row r="171" spans="1:35" ht="15.75" customHeight="1">
      <c r="A171" s="144">
        <v>2212005016</v>
      </c>
      <c r="B171" s="146" t="s">
        <v>179</v>
      </c>
      <c r="C171" s="145" t="s">
        <v>6</v>
      </c>
      <c r="D171" s="77">
        <f>SUM(PACIENTES!D171+COMEDOR!D171+JORNADA!D171+'DIETOLOGÍA(S)'!D171)</f>
        <v>3</v>
      </c>
      <c r="E171" s="77">
        <f>SUM(PACIENTES!E171+COMEDOR!E171+JORNADA!E171+'DIETOLOGÍA(S)'!E171)</f>
        <v>5</v>
      </c>
      <c r="F171" s="77">
        <f>SUM(PACIENTES!F171+COMEDOR!F171+JORNADA!F171+'DIETOLOGÍA(S)'!F171)</f>
        <v>1</v>
      </c>
      <c r="G171" s="77">
        <f>SUM(PACIENTES!G171+COMEDOR!G171+JORNADA!G171+'DIETOLOGÍA(S)'!G171)</f>
        <v>1</v>
      </c>
      <c r="H171" s="77">
        <f>SUM(PACIENTES!H171+COMEDOR!H171+JORNADA!H171+'DIETOLOGÍA(S)'!H171)</f>
        <v>4</v>
      </c>
      <c r="I171" s="77">
        <f>SUM(PACIENTES!I171+COMEDOR!I171+JORNADA!I171+'DIETOLOGÍA(S)'!I171)</f>
        <v>0</v>
      </c>
      <c r="J171" s="77">
        <f>SUM(PACIENTES!J171+COMEDOR!J171+JORNADA!J171+'DIETOLOGÍA(S)'!J171)</f>
        <v>2</v>
      </c>
      <c r="K171" s="77">
        <f>SUM(PACIENTES!K171+COMEDOR!K171+JORNADA!K171+'DIETOLOGÍA(S)'!K171)</f>
        <v>2</v>
      </c>
      <c r="L171" s="77">
        <f>SUM(PACIENTES!L171+COMEDOR!L171+JORNADA!L171+'DIETOLOGÍA(S)'!L171)</f>
        <v>1</v>
      </c>
      <c r="M171" s="77">
        <f>SUM(PACIENTES!M171+COMEDOR!M171+JORNADA!M171+'DIETOLOGÍA(S)'!M171)</f>
        <v>6</v>
      </c>
      <c r="N171" s="77">
        <f>SUM(PACIENTES!N171+COMEDOR!N171+JORNADA!N171+'DIETOLOGÍA(S)'!N171)</f>
        <v>1</v>
      </c>
      <c r="O171" s="77">
        <f>SUM(PACIENTES!O171+COMEDOR!O171+JORNADA!O171+'DIETOLOGÍA(S)'!O171)</f>
        <v>0</v>
      </c>
      <c r="P171" s="77">
        <f>SUM(PACIENTES!P171+COMEDOR!P171+JORNADA!P171+'DIETOLOGÍA(S)'!P171)</f>
        <v>1</v>
      </c>
      <c r="Q171" s="77">
        <f>SUM(PACIENTES!Q171+COMEDOR!Q171+JORNADA!Q171+'DIETOLOGÍA(S)'!Q171)</f>
        <v>0</v>
      </c>
      <c r="R171" s="77">
        <f>SUM(PACIENTES!R171+COMEDOR!R171+JORNADA!R171+'DIETOLOGÍA(S)'!R171)</f>
        <v>1</v>
      </c>
      <c r="S171" s="77">
        <f>SUM(PACIENTES!S171+COMEDOR!S171+JORNADA!S171+'DIETOLOGÍA(S)'!S171)</f>
        <v>7</v>
      </c>
      <c r="T171" s="77">
        <f>SUM(PACIENTES!T171+COMEDOR!T171+JORNADA!T171+'DIETOLOGÍA(S)'!T171)</f>
        <v>1</v>
      </c>
      <c r="U171" s="77">
        <f>SUM(PACIENTES!U171+COMEDOR!U171+JORNADA!U171+'DIETOLOGÍA(S)'!U171)</f>
        <v>0</v>
      </c>
      <c r="V171" s="77">
        <f>SUM(PACIENTES!V171+COMEDOR!V171+JORNADA!V171+'DIETOLOGÍA(S)'!V171)</f>
        <v>0</v>
      </c>
      <c r="W171" s="77">
        <f>SUM(PACIENTES!W171+COMEDOR!W171+JORNADA!W171+'DIETOLOGÍA(S)'!W171)</f>
        <v>4</v>
      </c>
      <c r="X171" s="77">
        <f>SUM(PACIENTES!X171+COMEDOR!X171+JORNADA!X171+'DIETOLOGÍA(S)'!X171)</f>
        <v>1</v>
      </c>
      <c r="Y171" s="77">
        <f>SUM(PACIENTES!Y171+COMEDOR!Y171+JORNADA!Y171+'DIETOLOGÍA(S)'!Y171)</f>
        <v>1</v>
      </c>
      <c r="Z171" s="77">
        <f>SUM(PACIENTES!Z171+COMEDOR!Z171+JORNADA!Z171+'DIETOLOGÍA(S)'!Z171)</f>
        <v>2</v>
      </c>
      <c r="AA171" s="77">
        <f>SUM(PACIENTES!AA171+COMEDOR!AA171+JORNADA!AA171+'DIETOLOGÍA(S)'!AA171)</f>
        <v>1</v>
      </c>
      <c r="AB171" s="77">
        <f>SUM(PACIENTES!AB171+COMEDOR!AB171+JORNADA!AB171+'DIETOLOGÍA(S)'!AB171)</f>
        <v>2</v>
      </c>
      <c r="AC171" s="77">
        <f>SUM(PACIENTES!AC171+COMEDOR!AC171+JORNADA!AC171+'DIETOLOGÍA(S)'!AC171)</f>
        <v>0</v>
      </c>
      <c r="AD171" s="77">
        <f>SUM(PACIENTES!AD171+COMEDOR!AD171+JORNADA!AD171+'DIETOLOGÍA(S)'!AD171)</f>
        <v>6</v>
      </c>
      <c r="AE171" s="77">
        <f>SUM(PACIENTES!AE171+COMEDOR!AE171+JORNADA!AE171+'DIETOLOGÍA(S)'!AE171)</f>
        <v>1</v>
      </c>
      <c r="AF171" s="77">
        <f>SUM(PACIENTES!AF171+COMEDOR!AF171+JORNADA!AF171+'DIETOLOGÍA(S)'!AF171)</f>
        <v>0</v>
      </c>
      <c r="AG171" s="77">
        <f>SUM(PACIENTES!AG171+COMEDOR!AG171+JORNADA!AG171+'DIETOLOGÍA(S)'!AG171)</f>
        <v>1</v>
      </c>
      <c r="AH171" s="77">
        <f>SUM(PACIENTES!AH171+COMEDOR!AH171+JORNADA!AH171+'DIETOLOGÍA(S)'!AH171)</f>
        <v>0</v>
      </c>
      <c r="AI171" s="9">
        <f t="shared" si="7"/>
        <v>55</v>
      </c>
    </row>
    <row r="172" spans="1:35" ht="15.75" customHeight="1">
      <c r="A172" s="144">
        <v>2212005017</v>
      </c>
      <c r="B172" s="146" t="s">
        <v>180</v>
      </c>
      <c r="C172" s="145" t="s">
        <v>6</v>
      </c>
      <c r="D172" s="77">
        <f>SUM(PACIENTES!D172+COMEDOR!D172+JORNADA!D172+'DIETOLOGÍA(S)'!D172)</f>
        <v>8</v>
      </c>
      <c r="E172" s="77">
        <f>SUM(PACIENTES!E172+COMEDOR!E172+JORNADA!E172+'DIETOLOGÍA(S)'!E172)</f>
        <v>21</v>
      </c>
      <c r="F172" s="77">
        <f>SUM(PACIENTES!F172+COMEDOR!F172+JORNADA!F172+'DIETOLOGÍA(S)'!F172)</f>
        <v>8</v>
      </c>
      <c r="G172" s="77">
        <f>SUM(PACIENTES!G172+COMEDOR!G172+JORNADA!G172+'DIETOLOGÍA(S)'!G172)</f>
        <v>5</v>
      </c>
      <c r="H172" s="77">
        <f>SUM(PACIENTES!H172+COMEDOR!H172+JORNADA!H172+'DIETOLOGÍA(S)'!H172)</f>
        <v>12</v>
      </c>
      <c r="I172" s="77">
        <f>SUM(PACIENTES!I172+COMEDOR!I172+JORNADA!I172+'DIETOLOGÍA(S)'!I172)</f>
        <v>7</v>
      </c>
      <c r="J172" s="77">
        <f>SUM(PACIENTES!J172+COMEDOR!J172+JORNADA!J172+'DIETOLOGÍA(S)'!J172)</f>
        <v>7</v>
      </c>
      <c r="K172" s="77">
        <f>SUM(PACIENTES!K172+COMEDOR!K172+JORNADA!K172+'DIETOLOGÍA(S)'!K172)</f>
        <v>15</v>
      </c>
      <c r="L172" s="77">
        <f>SUM(PACIENTES!L172+COMEDOR!L172+JORNADA!L172+'DIETOLOGÍA(S)'!L172)</f>
        <v>8</v>
      </c>
      <c r="M172" s="77">
        <f>SUM(PACIENTES!M172+COMEDOR!M172+JORNADA!M172+'DIETOLOGÍA(S)'!M172)</f>
        <v>0</v>
      </c>
      <c r="N172" s="77">
        <f>SUM(PACIENTES!N172+COMEDOR!N172+JORNADA!N172+'DIETOLOGÍA(S)'!N172)</f>
        <v>0</v>
      </c>
      <c r="O172" s="77">
        <f>SUM(PACIENTES!O172+COMEDOR!O172+JORNADA!O172+'DIETOLOGÍA(S)'!O172)</f>
        <v>0</v>
      </c>
      <c r="P172" s="77">
        <f>SUM(PACIENTES!P172+COMEDOR!P172+JORNADA!P172+'DIETOLOGÍA(S)'!P172)</f>
        <v>7</v>
      </c>
      <c r="Q172" s="77">
        <f>SUM(PACIENTES!Q172+COMEDOR!Q172+JORNADA!Q172+'DIETOLOGÍA(S)'!Q172)</f>
        <v>1</v>
      </c>
      <c r="R172" s="77">
        <f>SUM(PACIENTES!R172+COMEDOR!R172+JORNADA!R172+'DIETOLOGÍA(S)'!R172)</f>
        <v>0</v>
      </c>
      <c r="S172" s="77">
        <f>SUM(PACIENTES!S172+COMEDOR!S172+JORNADA!S172+'DIETOLOGÍA(S)'!S172)</f>
        <v>0</v>
      </c>
      <c r="T172" s="77">
        <f>SUM(PACIENTES!T172+COMEDOR!T172+JORNADA!T172+'DIETOLOGÍA(S)'!T172)</f>
        <v>0</v>
      </c>
      <c r="U172" s="77">
        <f>SUM(PACIENTES!U172+COMEDOR!U172+JORNADA!U172+'DIETOLOGÍA(S)'!U172)</f>
        <v>8</v>
      </c>
      <c r="V172" s="77">
        <f>SUM(PACIENTES!V172+COMEDOR!V172+JORNADA!V172+'DIETOLOGÍA(S)'!V172)</f>
        <v>0</v>
      </c>
      <c r="W172" s="77">
        <f>SUM(PACIENTES!W172+COMEDOR!W172+JORNADA!W172+'DIETOLOGÍA(S)'!W172)</f>
        <v>14</v>
      </c>
      <c r="X172" s="77">
        <f>SUM(PACIENTES!X172+COMEDOR!X172+JORNADA!X172+'DIETOLOGÍA(S)'!X172)</f>
        <v>14</v>
      </c>
      <c r="Y172" s="77">
        <f>SUM(PACIENTES!Y172+COMEDOR!Y172+JORNADA!Y172+'DIETOLOGÍA(S)'!Y172)</f>
        <v>0</v>
      </c>
      <c r="Z172" s="77">
        <f>SUM(PACIENTES!Z172+COMEDOR!Z172+JORNADA!Z172+'DIETOLOGÍA(S)'!Z172)</f>
        <v>9</v>
      </c>
      <c r="AA172" s="77">
        <f>SUM(PACIENTES!AA172+COMEDOR!AA172+JORNADA!AA172+'DIETOLOGÍA(S)'!AA172)</f>
        <v>18</v>
      </c>
      <c r="AB172" s="77">
        <f>SUM(PACIENTES!AB172+COMEDOR!AB172+JORNADA!AB172+'DIETOLOGÍA(S)'!AB172)</f>
        <v>15</v>
      </c>
      <c r="AC172" s="77">
        <f>SUM(PACIENTES!AC172+COMEDOR!AC172+JORNADA!AC172+'DIETOLOGÍA(S)'!AC172)</f>
        <v>0</v>
      </c>
      <c r="AD172" s="77">
        <f>SUM(PACIENTES!AD172+COMEDOR!AD172+JORNADA!AD172+'DIETOLOGÍA(S)'!AD172)</f>
        <v>2</v>
      </c>
      <c r="AE172" s="77">
        <f>SUM(PACIENTES!AE172+COMEDOR!AE172+JORNADA!AE172+'DIETOLOGÍA(S)'!AE172)</f>
        <v>1</v>
      </c>
      <c r="AF172" s="77">
        <f>SUM(PACIENTES!AF172+COMEDOR!AF172+JORNADA!AF172+'DIETOLOGÍA(S)'!AF172)</f>
        <v>0</v>
      </c>
      <c r="AG172" s="77">
        <f>SUM(PACIENTES!AG172+COMEDOR!AG172+JORNADA!AG172+'DIETOLOGÍA(S)'!AG172)</f>
        <v>0</v>
      </c>
      <c r="AH172" s="77">
        <f>SUM(PACIENTES!AH172+COMEDOR!AH172+JORNADA!AH172+'DIETOLOGÍA(S)'!AH172)</f>
        <v>0</v>
      </c>
      <c r="AI172" s="9">
        <f t="shared" si="7"/>
        <v>180</v>
      </c>
    </row>
    <row r="173" spans="1:35" ht="15.75" customHeight="1">
      <c r="A173" s="144">
        <v>2212005018</v>
      </c>
      <c r="B173" s="146" t="s">
        <v>181</v>
      </c>
      <c r="C173" s="145" t="s">
        <v>6</v>
      </c>
      <c r="D173" s="77">
        <f>SUM(PACIENTES!D173+COMEDOR!D173+JORNADA!D173+'DIETOLOGÍA(S)'!D173)</f>
        <v>0</v>
      </c>
      <c r="E173" s="77">
        <f>SUM(PACIENTES!E173+COMEDOR!E173+JORNADA!E173+'DIETOLOGÍA(S)'!E173)</f>
        <v>0</v>
      </c>
      <c r="F173" s="77">
        <f>SUM(PACIENTES!F173+COMEDOR!F173+JORNADA!F173+'DIETOLOGÍA(S)'!F173)</f>
        <v>0</v>
      </c>
      <c r="G173" s="77">
        <f>SUM(PACIENTES!G173+COMEDOR!G173+JORNADA!G173+'DIETOLOGÍA(S)'!G173)</f>
        <v>5</v>
      </c>
      <c r="H173" s="77">
        <f>SUM(PACIENTES!H173+COMEDOR!H173+JORNADA!H173+'DIETOLOGÍA(S)'!H173)</f>
        <v>0</v>
      </c>
      <c r="I173" s="77">
        <f>SUM(PACIENTES!I173+COMEDOR!I173+JORNADA!I173+'DIETOLOGÍA(S)'!I173)</f>
        <v>0</v>
      </c>
      <c r="J173" s="77">
        <f>SUM(PACIENTES!J173+COMEDOR!J173+JORNADA!J173+'DIETOLOGÍA(S)'!J173)</f>
        <v>1</v>
      </c>
      <c r="K173" s="77">
        <f>SUM(PACIENTES!K173+COMEDOR!K173+JORNADA!K173+'DIETOLOGÍA(S)'!K173)</f>
        <v>0</v>
      </c>
      <c r="L173" s="77">
        <f>SUM(PACIENTES!L173+COMEDOR!L173+JORNADA!L173+'DIETOLOGÍA(S)'!L173)</f>
        <v>0</v>
      </c>
      <c r="M173" s="77">
        <f>SUM(PACIENTES!M173+COMEDOR!M173+JORNADA!M173+'DIETOLOGÍA(S)'!M173)</f>
        <v>0</v>
      </c>
      <c r="N173" s="77">
        <f>SUM(PACIENTES!N173+COMEDOR!N173+JORNADA!N173+'DIETOLOGÍA(S)'!N173)</f>
        <v>0</v>
      </c>
      <c r="O173" s="77">
        <f>SUM(PACIENTES!O173+COMEDOR!O173+JORNADA!O173+'DIETOLOGÍA(S)'!O173)</f>
        <v>0</v>
      </c>
      <c r="P173" s="77">
        <f>SUM(PACIENTES!P173+COMEDOR!P173+JORNADA!P173+'DIETOLOGÍA(S)'!P173)</f>
        <v>0</v>
      </c>
      <c r="Q173" s="77">
        <f>SUM(PACIENTES!Q173+COMEDOR!Q173+JORNADA!Q173+'DIETOLOGÍA(S)'!Q173)</f>
        <v>0</v>
      </c>
      <c r="R173" s="77">
        <f>SUM(PACIENTES!R173+COMEDOR!R173+JORNADA!R173+'DIETOLOGÍA(S)'!R173)</f>
        <v>0</v>
      </c>
      <c r="S173" s="77">
        <f>SUM(PACIENTES!S173+COMEDOR!S173+JORNADA!S173+'DIETOLOGÍA(S)'!S173)</f>
        <v>0</v>
      </c>
      <c r="T173" s="77">
        <f>SUM(PACIENTES!T173+COMEDOR!T173+JORNADA!T173+'DIETOLOGÍA(S)'!T173)</f>
        <v>0</v>
      </c>
      <c r="U173" s="77">
        <f>SUM(PACIENTES!U173+COMEDOR!U173+JORNADA!U173+'DIETOLOGÍA(S)'!U173)</f>
        <v>0</v>
      </c>
      <c r="V173" s="77">
        <f>SUM(PACIENTES!V173+COMEDOR!V173+JORNADA!V173+'DIETOLOGÍA(S)'!V173)</f>
        <v>0</v>
      </c>
      <c r="W173" s="77">
        <f>SUM(PACIENTES!W173+COMEDOR!W173+JORNADA!W173+'DIETOLOGÍA(S)'!W173)</f>
        <v>0</v>
      </c>
      <c r="X173" s="77">
        <f>SUM(PACIENTES!X173+COMEDOR!X173+JORNADA!X173+'DIETOLOGÍA(S)'!X173)</f>
        <v>0</v>
      </c>
      <c r="Y173" s="77">
        <f>SUM(PACIENTES!Y173+COMEDOR!Y173+JORNADA!Y173+'DIETOLOGÍA(S)'!Y173)</f>
        <v>0</v>
      </c>
      <c r="Z173" s="77">
        <f>SUM(PACIENTES!Z173+COMEDOR!Z173+JORNADA!Z173+'DIETOLOGÍA(S)'!Z173)</f>
        <v>0</v>
      </c>
      <c r="AA173" s="77">
        <f>SUM(PACIENTES!AA173+COMEDOR!AA173+JORNADA!AA173+'DIETOLOGÍA(S)'!AA173)</f>
        <v>0</v>
      </c>
      <c r="AB173" s="77">
        <f>SUM(PACIENTES!AB173+COMEDOR!AB173+JORNADA!AB173+'DIETOLOGÍA(S)'!AB173)</f>
        <v>0</v>
      </c>
      <c r="AC173" s="77">
        <f>SUM(PACIENTES!AC173+COMEDOR!AC173+JORNADA!AC173+'DIETOLOGÍA(S)'!AC173)</f>
        <v>0</v>
      </c>
      <c r="AD173" s="77">
        <f>SUM(PACIENTES!AD173+COMEDOR!AD173+JORNADA!AD173+'DIETOLOGÍA(S)'!AD173)</f>
        <v>0</v>
      </c>
      <c r="AE173" s="77">
        <f>SUM(PACIENTES!AE173+COMEDOR!AE173+JORNADA!AE173+'DIETOLOGÍA(S)'!AE173)</f>
        <v>1</v>
      </c>
      <c r="AF173" s="77">
        <f>SUM(PACIENTES!AF173+COMEDOR!AF173+JORNADA!AF173+'DIETOLOGÍA(S)'!AF173)</f>
        <v>0</v>
      </c>
      <c r="AG173" s="77">
        <f>SUM(PACIENTES!AG173+COMEDOR!AG173+JORNADA!AG173+'DIETOLOGÍA(S)'!AG173)</f>
        <v>0</v>
      </c>
      <c r="AH173" s="77">
        <f>SUM(PACIENTES!AH173+COMEDOR!AH173+JORNADA!AH173+'DIETOLOGÍA(S)'!AH173)</f>
        <v>0</v>
      </c>
      <c r="AI173" s="9">
        <f t="shared" si="7"/>
        <v>7</v>
      </c>
    </row>
    <row r="174" spans="1:35" ht="15.75" customHeight="1">
      <c r="A174" s="144">
        <v>2212005019</v>
      </c>
      <c r="B174" s="146" t="s">
        <v>182</v>
      </c>
      <c r="C174" s="145" t="s">
        <v>6</v>
      </c>
      <c r="D174" s="77">
        <f>SUM(PACIENTES!D174+COMEDOR!D174+JORNADA!D174+'DIETOLOGÍA(S)'!D174)</f>
        <v>0</v>
      </c>
      <c r="E174" s="77">
        <f>SUM(PACIENTES!E174+COMEDOR!E174+JORNADA!E174+'DIETOLOGÍA(S)'!E174)</f>
        <v>0</v>
      </c>
      <c r="F174" s="77">
        <f>SUM(PACIENTES!F174+COMEDOR!F174+JORNADA!F174+'DIETOLOGÍA(S)'!F174)</f>
        <v>0</v>
      </c>
      <c r="G174" s="77">
        <f>SUM(PACIENTES!G174+COMEDOR!G174+JORNADA!G174+'DIETOLOGÍA(S)'!G174)</f>
        <v>0</v>
      </c>
      <c r="H174" s="77">
        <f>SUM(PACIENTES!H174+COMEDOR!H174+JORNADA!H174+'DIETOLOGÍA(S)'!H174)</f>
        <v>0</v>
      </c>
      <c r="I174" s="77">
        <f>SUM(PACIENTES!I174+COMEDOR!I174+JORNADA!I174+'DIETOLOGÍA(S)'!I174)</f>
        <v>0</v>
      </c>
      <c r="J174" s="77">
        <f>SUM(PACIENTES!J174+COMEDOR!J174+JORNADA!J174+'DIETOLOGÍA(S)'!J174)</f>
        <v>1</v>
      </c>
      <c r="K174" s="77">
        <f>SUM(PACIENTES!K174+COMEDOR!K174+JORNADA!K174+'DIETOLOGÍA(S)'!K174)</f>
        <v>0</v>
      </c>
      <c r="L174" s="77">
        <f>SUM(PACIENTES!L174+COMEDOR!L174+JORNADA!L174+'DIETOLOGÍA(S)'!L174)</f>
        <v>0</v>
      </c>
      <c r="M174" s="77">
        <f>SUM(PACIENTES!M174+COMEDOR!M174+JORNADA!M174+'DIETOLOGÍA(S)'!M174)</f>
        <v>0</v>
      </c>
      <c r="N174" s="77">
        <f>SUM(PACIENTES!N174+COMEDOR!N174+JORNADA!N174+'DIETOLOGÍA(S)'!N174)</f>
        <v>0</v>
      </c>
      <c r="O174" s="77">
        <f>SUM(PACIENTES!O174+COMEDOR!O174+JORNADA!O174+'DIETOLOGÍA(S)'!O174)</f>
        <v>0</v>
      </c>
      <c r="P174" s="77">
        <f>SUM(PACIENTES!P174+COMEDOR!P174+JORNADA!P174+'DIETOLOGÍA(S)'!P174)</f>
        <v>0</v>
      </c>
      <c r="Q174" s="77">
        <f>SUM(PACIENTES!Q174+COMEDOR!Q174+JORNADA!Q174+'DIETOLOGÍA(S)'!Q174)</f>
        <v>1</v>
      </c>
      <c r="R174" s="77">
        <f>SUM(PACIENTES!R174+COMEDOR!R174+JORNADA!R174+'DIETOLOGÍA(S)'!R174)</f>
        <v>0</v>
      </c>
      <c r="S174" s="77">
        <f>SUM(PACIENTES!S174+COMEDOR!S174+JORNADA!S174+'DIETOLOGÍA(S)'!S174)</f>
        <v>0</v>
      </c>
      <c r="T174" s="77">
        <f>SUM(PACIENTES!T174+COMEDOR!T174+JORNADA!T174+'DIETOLOGÍA(S)'!T174)</f>
        <v>0</v>
      </c>
      <c r="U174" s="77">
        <f>SUM(PACIENTES!U174+COMEDOR!U174+JORNADA!U174+'DIETOLOGÍA(S)'!U174)</f>
        <v>0</v>
      </c>
      <c r="V174" s="77">
        <f>SUM(PACIENTES!V174+COMEDOR!V174+JORNADA!V174+'DIETOLOGÍA(S)'!V174)</f>
        <v>0</v>
      </c>
      <c r="W174" s="77">
        <f>SUM(PACIENTES!W174+COMEDOR!W174+JORNADA!W174+'DIETOLOGÍA(S)'!W174)</f>
        <v>0</v>
      </c>
      <c r="X174" s="77">
        <f>SUM(PACIENTES!X174+COMEDOR!X174+JORNADA!X174+'DIETOLOGÍA(S)'!X174)</f>
        <v>1</v>
      </c>
      <c r="Y174" s="77">
        <f>SUM(PACIENTES!Y174+COMEDOR!Y174+JORNADA!Y174+'DIETOLOGÍA(S)'!Y174)</f>
        <v>0</v>
      </c>
      <c r="Z174" s="77">
        <f>SUM(PACIENTES!Z174+COMEDOR!Z174+JORNADA!Z174+'DIETOLOGÍA(S)'!Z174)</f>
        <v>0</v>
      </c>
      <c r="AA174" s="77">
        <f>SUM(PACIENTES!AA174+COMEDOR!AA174+JORNADA!AA174+'DIETOLOGÍA(S)'!AA174)</f>
        <v>0</v>
      </c>
      <c r="AB174" s="77">
        <f>SUM(PACIENTES!AB174+COMEDOR!AB174+JORNADA!AB174+'DIETOLOGÍA(S)'!AB174)</f>
        <v>0</v>
      </c>
      <c r="AC174" s="77">
        <f>SUM(PACIENTES!AC174+COMEDOR!AC174+JORNADA!AC174+'DIETOLOGÍA(S)'!AC174)</f>
        <v>0</v>
      </c>
      <c r="AD174" s="77">
        <f>SUM(PACIENTES!AD174+COMEDOR!AD174+JORNADA!AD174+'DIETOLOGÍA(S)'!AD174)</f>
        <v>0</v>
      </c>
      <c r="AE174" s="77">
        <f>SUM(PACIENTES!AE174+COMEDOR!AE174+JORNADA!AE174+'DIETOLOGÍA(S)'!AE174)</f>
        <v>1</v>
      </c>
      <c r="AF174" s="77">
        <f>SUM(PACIENTES!AF174+COMEDOR!AF174+JORNADA!AF174+'DIETOLOGÍA(S)'!AF174)</f>
        <v>0</v>
      </c>
      <c r="AG174" s="77">
        <f>SUM(PACIENTES!AG174+COMEDOR!AG174+JORNADA!AG174+'DIETOLOGÍA(S)'!AG174)</f>
        <v>0</v>
      </c>
      <c r="AH174" s="77">
        <f>SUM(PACIENTES!AH174+COMEDOR!AH174+JORNADA!AH174+'DIETOLOGÍA(S)'!AH174)</f>
        <v>0</v>
      </c>
      <c r="AI174" s="9">
        <f t="shared" si="7"/>
        <v>4</v>
      </c>
    </row>
    <row r="175" spans="1:35" ht="15.75" customHeight="1">
      <c r="A175" s="144">
        <v>2212005020</v>
      </c>
      <c r="B175" s="146" t="s">
        <v>183</v>
      </c>
      <c r="C175" s="145" t="s">
        <v>6</v>
      </c>
      <c r="D175" s="77">
        <f>SUM(PACIENTES!D175+COMEDOR!D175+JORNADA!D175+'DIETOLOGÍA(S)'!D175)</f>
        <v>0</v>
      </c>
      <c r="E175" s="77">
        <f>SUM(PACIENTES!E175+COMEDOR!E175+JORNADA!E175+'DIETOLOGÍA(S)'!E175)</f>
        <v>0</v>
      </c>
      <c r="F175" s="77">
        <f>SUM(PACIENTES!F175+COMEDOR!F175+JORNADA!F175+'DIETOLOGÍA(S)'!F175)</f>
        <v>0</v>
      </c>
      <c r="G175" s="77">
        <f>SUM(PACIENTES!G175+COMEDOR!G175+JORNADA!G175+'DIETOLOGÍA(S)'!G175)</f>
        <v>0</v>
      </c>
      <c r="H175" s="77">
        <f>SUM(PACIENTES!H175+COMEDOR!H175+JORNADA!H175+'DIETOLOGÍA(S)'!H175)</f>
        <v>0</v>
      </c>
      <c r="I175" s="77">
        <f>SUM(PACIENTES!I175+COMEDOR!I175+JORNADA!I175+'DIETOLOGÍA(S)'!I175)</f>
        <v>0</v>
      </c>
      <c r="J175" s="77">
        <f>SUM(PACIENTES!J175+COMEDOR!J175+JORNADA!J175+'DIETOLOGÍA(S)'!J175)</f>
        <v>1</v>
      </c>
      <c r="K175" s="77">
        <f>SUM(PACIENTES!K175+COMEDOR!K175+JORNADA!K175+'DIETOLOGÍA(S)'!K175)</f>
        <v>0</v>
      </c>
      <c r="L175" s="77">
        <f>SUM(PACIENTES!L175+COMEDOR!L175+JORNADA!L175+'DIETOLOGÍA(S)'!L175)</f>
        <v>0</v>
      </c>
      <c r="M175" s="77">
        <f>SUM(PACIENTES!M175+COMEDOR!M175+JORNADA!M175+'DIETOLOGÍA(S)'!M175)</f>
        <v>0</v>
      </c>
      <c r="N175" s="77">
        <f>SUM(PACIENTES!N175+COMEDOR!N175+JORNADA!N175+'DIETOLOGÍA(S)'!N175)</f>
        <v>0</v>
      </c>
      <c r="O175" s="77">
        <f>SUM(PACIENTES!O175+COMEDOR!O175+JORNADA!O175+'DIETOLOGÍA(S)'!O175)</f>
        <v>0</v>
      </c>
      <c r="P175" s="77">
        <f>SUM(PACIENTES!P175+COMEDOR!P175+JORNADA!P175+'DIETOLOGÍA(S)'!P175)</f>
        <v>0</v>
      </c>
      <c r="Q175" s="77">
        <f>SUM(PACIENTES!Q175+COMEDOR!Q175+JORNADA!Q175+'DIETOLOGÍA(S)'!Q175)</f>
        <v>0</v>
      </c>
      <c r="R175" s="77">
        <f>SUM(PACIENTES!R175+COMEDOR!R175+JORNADA!R175+'DIETOLOGÍA(S)'!R175)</f>
        <v>0</v>
      </c>
      <c r="S175" s="77">
        <f>SUM(PACIENTES!S175+COMEDOR!S175+JORNADA!S175+'DIETOLOGÍA(S)'!S175)</f>
        <v>0</v>
      </c>
      <c r="T175" s="77">
        <f>SUM(PACIENTES!T175+COMEDOR!T175+JORNADA!T175+'DIETOLOGÍA(S)'!T175)</f>
        <v>0</v>
      </c>
      <c r="U175" s="77">
        <f>SUM(PACIENTES!U175+COMEDOR!U175+JORNADA!U175+'DIETOLOGÍA(S)'!U175)</f>
        <v>0</v>
      </c>
      <c r="V175" s="77">
        <f>SUM(PACIENTES!V175+COMEDOR!V175+JORNADA!V175+'DIETOLOGÍA(S)'!V175)</f>
        <v>0</v>
      </c>
      <c r="W175" s="77">
        <f>SUM(PACIENTES!W175+COMEDOR!W175+JORNADA!W175+'DIETOLOGÍA(S)'!W175)</f>
        <v>0</v>
      </c>
      <c r="X175" s="77">
        <f>SUM(PACIENTES!X175+COMEDOR!X175+JORNADA!X175+'DIETOLOGÍA(S)'!X175)</f>
        <v>0</v>
      </c>
      <c r="Y175" s="77">
        <f>SUM(PACIENTES!Y175+COMEDOR!Y175+JORNADA!Y175+'DIETOLOGÍA(S)'!Y175)</f>
        <v>0</v>
      </c>
      <c r="Z175" s="77">
        <f>SUM(PACIENTES!Z175+COMEDOR!Z175+JORNADA!Z175+'DIETOLOGÍA(S)'!Z175)</f>
        <v>0</v>
      </c>
      <c r="AA175" s="77">
        <f>SUM(PACIENTES!AA175+COMEDOR!AA175+JORNADA!AA175+'DIETOLOGÍA(S)'!AA175)</f>
        <v>0</v>
      </c>
      <c r="AB175" s="77">
        <f>SUM(PACIENTES!AB175+COMEDOR!AB175+JORNADA!AB175+'DIETOLOGÍA(S)'!AB175)</f>
        <v>0</v>
      </c>
      <c r="AC175" s="77">
        <f>SUM(PACIENTES!AC175+COMEDOR!AC175+JORNADA!AC175+'DIETOLOGÍA(S)'!AC175)</f>
        <v>0</v>
      </c>
      <c r="AD175" s="77">
        <f>SUM(PACIENTES!AD175+COMEDOR!AD175+JORNADA!AD175+'DIETOLOGÍA(S)'!AD175)</f>
        <v>0</v>
      </c>
      <c r="AE175" s="77">
        <f>SUM(PACIENTES!AE175+COMEDOR!AE175+JORNADA!AE175+'DIETOLOGÍA(S)'!AE175)</f>
        <v>1</v>
      </c>
      <c r="AF175" s="77">
        <f>SUM(PACIENTES!AF175+COMEDOR!AF175+JORNADA!AF175+'DIETOLOGÍA(S)'!AF175)</f>
        <v>0</v>
      </c>
      <c r="AG175" s="77">
        <f>SUM(PACIENTES!AG175+COMEDOR!AG175+JORNADA!AG175+'DIETOLOGÍA(S)'!AG175)</f>
        <v>0</v>
      </c>
      <c r="AH175" s="77">
        <f>SUM(PACIENTES!AH175+COMEDOR!AH175+JORNADA!AH175+'DIETOLOGÍA(S)'!AH175)</f>
        <v>0</v>
      </c>
      <c r="AI175" s="9">
        <f t="shared" si="7"/>
        <v>2</v>
      </c>
    </row>
    <row r="176" spans="1:35" ht="15.75" customHeight="1">
      <c r="A176" s="144">
        <v>2212005021</v>
      </c>
      <c r="B176" s="146" t="s">
        <v>184</v>
      </c>
      <c r="C176" s="145" t="s">
        <v>6</v>
      </c>
      <c r="D176" s="77">
        <f>SUM(PACIENTES!D176+COMEDOR!D176+JORNADA!D176+'DIETOLOGÍA(S)'!D176)</f>
        <v>0</v>
      </c>
      <c r="E176" s="77">
        <f>SUM(PACIENTES!E176+COMEDOR!E176+JORNADA!E176+'DIETOLOGÍA(S)'!E176)</f>
        <v>0</v>
      </c>
      <c r="F176" s="77">
        <f>SUM(PACIENTES!F176+COMEDOR!F176+JORNADA!F176+'DIETOLOGÍA(S)'!F176)</f>
        <v>0</v>
      </c>
      <c r="G176" s="77">
        <f>SUM(PACIENTES!G176+COMEDOR!G176+JORNADA!G176+'DIETOLOGÍA(S)'!G176)</f>
        <v>0</v>
      </c>
      <c r="H176" s="77">
        <f>SUM(PACIENTES!H176+COMEDOR!H176+JORNADA!H176+'DIETOLOGÍA(S)'!H176)</f>
        <v>0</v>
      </c>
      <c r="I176" s="77">
        <f>SUM(PACIENTES!I176+COMEDOR!I176+JORNADA!I176+'DIETOLOGÍA(S)'!I176)</f>
        <v>0</v>
      </c>
      <c r="J176" s="77">
        <f>SUM(PACIENTES!J176+COMEDOR!J176+JORNADA!J176+'DIETOLOGÍA(S)'!J176)</f>
        <v>0</v>
      </c>
      <c r="K176" s="77">
        <f>SUM(PACIENTES!K176+COMEDOR!K176+JORNADA!K176+'DIETOLOGÍA(S)'!K176)</f>
        <v>0</v>
      </c>
      <c r="L176" s="77">
        <f>SUM(PACIENTES!L176+COMEDOR!L176+JORNADA!L176+'DIETOLOGÍA(S)'!L176)</f>
        <v>0</v>
      </c>
      <c r="M176" s="77">
        <f>SUM(PACIENTES!M176+COMEDOR!M176+JORNADA!M176+'DIETOLOGÍA(S)'!M176)</f>
        <v>0</v>
      </c>
      <c r="N176" s="77">
        <f>SUM(PACIENTES!N176+COMEDOR!N176+JORNADA!N176+'DIETOLOGÍA(S)'!N176)</f>
        <v>0</v>
      </c>
      <c r="O176" s="77">
        <f>SUM(PACIENTES!O176+COMEDOR!O176+JORNADA!O176+'DIETOLOGÍA(S)'!O176)</f>
        <v>0</v>
      </c>
      <c r="P176" s="77">
        <f>SUM(PACIENTES!P176+COMEDOR!P176+JORNADA!P176+'DIETOLOGÍA(S)'!P176)</f>
        <v>0</v>
      </c>
      <c r="Q176" s="77">
        <f>SUM(PACIENTES!Q176+COMEDOR!Q176+JORNADA!Q176+'DIETOLOGÍA(S)'!Q176)</f>
        <v>1</v>
      </c>
      <c r="R176" s="77">
        <f>SUM(PACIENTES!R176+COMEDOR!R176+JORNADA!R176+'DIETOLOGÍA(S)'!R176)</f>
        <v>0</v>
      </c>
      <c r="S176" s="77">
        <f>SUM(PACIENTES!S176+COMEDOR!S176+JORNADA!S176+'DIETOLOGÍA(S)'!S176)</f>
        <v>0</v>
      </c>
      <c r="T176" s="77">
        <f>SUM(PACIENTES!T176+COMEDOR!T176+JORNADA!T176+'DIETOLOGÍA(S)'!T176)</f>
        <v>0</v>
      </c>
      <c r="U176" s="77">
        <f>SUM(PACIENTES!U176+COMEDOR!U176+JORNADA!U176+'DIETOLOGÍA(S)'!U176)</f>
        <v>0</v>
      </c>
      <c r="V176" s="77">
        <f>SUM(PACIENTES!V176+COMEDOR!V176+JORNADA!V176+'DIETOLOGÍA(S)'!V176)</f>
        <v>0</v>
      </c>
      <c r="W176" s="77">
        <f>SUM(PACIENTES!W176+COMEDOR!W176+JORNADA!W176+'DIETOLOGÍA(S)'!W176)</f>
        <v>0</v>
      </c>
      <c r="X176" s="77">
        <f>SUM(PACIENTES!X176+COMEDOR!X176+JORNADA!X176+'DIETOLOGÍA(S)'!X176)</f>
        <v>0</v>
      </c>
      <c r="Y176" s="77">
        <f>SUM(PACIENTES!Y176+COMEDOR!Y176+JORNADA!Y176+'DIETOLOGÍA(S)'!Y176)</f>
        <v>0</v>
      </c>
      <c r="Z176" s="77">
        <f>SUM(PACIENTES!Z176+COMEDOR!Z176+JORNADA!Z176+'DIETOLOGÍA(S)'!Z176)</f>
        <v>0</v>
      </c>
      <c r="AA176" s="77">
        <f>SUM(PACIENTES!AA176+COMEDOR!AA176+JORNADA!AA176+'DIETOLOGÍA(S)'!AA176)</f>
        <v>0</v>
      </c>
      <c r="AB176" s="77">
        <f>SUM(PACIENTES!AB176+COMEDOR!AB176+JORNADA!AB176+'DIETOLOGÍA(S)'!AB176)</f>
        <v>0</v>
      </c>
      <c r="AC176" s="77">
        <f>SUM(PACIENTES!AC176+COMEDOR!AC176+JORNADA!AC176+'DIETOLOGÍA(S)'!AC176)</f>
        <v>0</v>
      </c>
      <c r="AD176" s="77">
        <f>SUM(PACIENTES!AD176+COMEDOR!AD176+JORNADA!AD176+'DIETOLOGÍA(S)'!AD176)</f>
        <v>0</v>
      </c>
      <c r="AE176" s="77">
        <f>SUM(PACIENTES!AE176+COMEDOR!AE176+JORNADA!AE176+'DIETOLOGÍA(S)'!AE176)</f>
        <v>1</v>
      </c>
      <c r="AF176" s="77">
        <f>SUM(PACIENTES!AF176+COMEDOR!AF176+JORNADA!AF176+'DIETOLOGÍA(S)'!AF176)</f>
        <v>0</v>
      </c>
      <c r="AG176" s="77">
        <f>SUM(PACIENTES!AG176+COMEDOR!AG176+JORNADA!AG176+'DIETOLOGÍA(S)'!AG176)</f>
        <v>0</v>
      </c>
      <c r="AH176" s="77">
        <f>SUM(PACIENTES!AH176+COMEDOR!AH176+JORNADA!AH176+'DIETOLOGÍA(S)'!AH176)</f>
        <v>0</v>
      </c>
      <c r="AI176" s="9">
        <f t="shared" si="7"/>
        <v>2</v>
      </c>
    </row>
    <row r="177" spans="1:35" ht="15.75" customHeight="1">
      <c r="A177" s="144">
        <v>2212005022</v>
      </c>
      <c r="B177" s="146" t="s">
        <v>185</v>
      </c>
      <c r="C177" s="145" t="s">
        <v>6</v>
      </c>
      <c r="D177" s="77">
        <f>SUM(PACIENTES!D177+COMEDOR!D177+JORNADA!D177+'DIETOLOGÍA(S)'!D177)</f>
        <v>0</v>
      </c>
      <c r="E177" s="77">
        <f>SUM(PACIENTES!E177+COMEDOR!E177+JORNADA!E177+'DIETOLOGÍA(S)'!E177)</f>
        <v>0</v>
      </c>
      <c r="F177" s="77">
        <f>SUM(PACIENTES!F177+COMEDOR!F177+JORNADA!F177+'DIETOLOGÍA(S)'!F177)</f>
        <v>0</v>
      </c>
      <c r="G177" s="77">
        <f>SUM(PACIENTES!G177+COMEDOR!G177+JORNADA!G177+'DIETOLOGÍA(S)'!G177)</f>
        <v>40</v>
      </c>
      <c r="H177" s="77">
        <f>SUM(PACIENTES!H177+COMEDOR!H177+JORNADA!H177+'DIETOLOGÍA(S)'!H177)</f>
        <v>0</v>
      </c>
      <c r="I177" s="77">
        <f>SUM(PACIENTES!I177+COMEDOR!I177+JORNADA!I177+'DIETOLOGÍA(S)'!I177)</f>
        <v>14</v>
      </c>
      <c r="J177" s="77">
        <f>SUM(PACIENTES!J177+COMEDOR!J177+JORNADA!J177+'DIETOLOGÍA(S)'!J177)</f>
        <v>1</v>
      </c>
      <c r="K177" s="77">
        <f>SUM(PACIENTES!K177+COMEDOR!K177+JORNADA!K177+'DIETOLOGÍA(S)'!K177)</f>
        <v>0</v>
      </c>
      <c r="L177" s="77">
        <f>SUM(PACIENTES!L177+COMEDOR!L177+JORNADA!L177+'DIETOLOGÍA(S)'!L177)</f>
        <v>0</v>
      </c>
      <c r="M177" s="77">
        <f>SUM(PACIENTES!M177+COMEDOR!M177+JORNADA!M177+'DIETOLOGÍA(S)'!M177)</f>
        <v>0</v>
      </c>
      <c r="N177" s="77">
        <f>SUM(PACIENTES!N177+COMEDOR!N177+JORNADA!N177+'DIETOLOGÍA(S)'!N177)</f>
        <v>0</v>
      </c>
      <c r="O177" s="77">
        <f>SUM(PACIENTES!O177+COMEDOR!O177+JORNADA!O177+'DIETOLOGÍA(S)'!O177)</f>
        <v>0</v>
      </c>
      <c r="P177" s="77">
        <f>SUM(PACIENTES!P177+COMEDOR!P177+JORNADA!P177+'DIETOLOGÍA(S)'!P177)</f>
        <v>0</v>
      </c>
      <c r="Q177" s="77">
        <f>SUM(PACIENTES!Q177+COMEDOR!Q177+JORNADA!Q177+'DIETOLOGÍA(S)'!Q177)</f>
        <v>1</v>
      </c>
      <c r="R177" s="77">
        <f>SUM(PACIENTES!R177+COMEDOR!R177+JORNADA!R177+'DIETOLOGÍA(S)'!R177)</f>
        <v>0</v>
      </c>
      <c r="S177" s="77">
        <f>SUM(PACIENTES!S177+COMEDOR!S177+JORNADA!S177+'DIETOLOGÍA(S)'!S177)</f>
        <v>0</v>
      </c>
      <c r="T177" s="77">
        <f>SUM(PACIENTES!T177+COMEDOR!T177+JORNADA!T177+'DIETOLOGÍA(S)'!T177)</f>
        <v>0</v>
      </c>
      <c r="U177" s="77">
        <f>SUM(PACIENTES!U177+COMEDOR!U177+JORNADA!U177+'DIETOLOGÍA(S)'!U177)</f>
        <v>0</v>
      </c>
      <c r="V177" s="77">
        <f>SUM(PACIENTES!V177+COMEDOR!V177+JORNADA!V177+'DIETOLOGÍA(S)'!V177)</f>
        <v>0</v>
      </c>
      <c r="W177" s="77">
        <f>SUM(PACIENTES!W177+COMEDOR!W177+JORNADA!W177+'DIETOLOGÍA(S)'!W177)</f>
        <v>0</v>
      </c>
      <c r="X177" s="77">
        <f>SUM(PACIENTES!X177+COMEDOR!X177+JORNADA!X177+'DIETOLOGÍA(S)'!X177)</f>
        <v>13</v>
      </c>
      <c r="Y177" s="77">
        <f>SUM(PACIENTES!Y177+COMEDOR!Y177+JORNADA!Y177+'DIETOLOGÍA(S)'!Y177)</f>
        <v>0</v>
      </c>
      <c r="Z177" s="77">
        <f>SUM(PACIENTES!Z177+COMEDOR!Z177+JORNADA!Z177+'DIETOLOGÍA(S)'!Z177)</f>
        <v>0</v>
      </c>
      <c r="AA177" s="77">
        <f>SUM(PACIENTES!AA177+COMEDOR!AA177+JORNADA!AA177+'DIETOLOGÍA(S)'!AA177)</f>
        <v>0</v>
      </c>
      <c r="AB177" s="77">
        <f>SUM(PACIENTES!AB177+COMEDOR!AB177+JORNADA!AB177+'DIETOLOGÍA(S)'!AB177)</f>
        <v>0</v>
      </c>
      <c r="AC177" s="77">
        <f>SUM(PACIENTES!AC177+COMEDOR!AC177+JORNADA!AC177+'DIETOLOGÍA(S)'!AC177)</f>
        <v>9</v>
      </c>
      <c r="AD177" s="77">
        <f>SUM(PACIENTES!AD177+COMEDOR!AD177+JORNADA!AD177+'DIETOLOGÍA(S)'!AD177)</f>
        <v>1</v>
      </c>
      <c r="AE177" s="77">
        <f>SUM(PACIENTES!AE177+COMEDOR!AE177+JORNADA!AE177+'DIETOLOGÍA(S)'!AE177)</f>
        <v>1</v>
      </c>
      <c r="AF177" s="77">
        <f>SUM(PACIENTES!AF177+COMEDOR!AF177+JORNADA!AF177+'DIETOLOGÍA(S)'!AF177)</f>
        <v>0</v>
      </c>
      <c r="AG177" s="77">
        <f>SUM(PACIENTES!AG177+COMEDOR!AG177+JORNADA!AG177+'DIETOLOGÍA(S)'!AG177)</f>
        <v>0</v>
      </c>
      <c r="AH177" s="77">
        <f>SUM(PACIENTES!AH177+COMEDOR!AH177+JORNADA!AH177+'DIETOLOGÍA(S)'!AH177)</f>
        <v>0</v>
      </c>
      <c r="AI177" s="9">
        <f t="shared" si="7"/>
        <v>80</v>
      </c>
    </row>
    <row r="178" spans="1:35" ht="15.75" customHeight="1">
      <c r="A178" s="144">
        <v>2212005023</v>
      </c>
      <c r="B178" s="146" t="s">
        <v>186</v>
      </c>
      <c r="C178" s="145" t="s">
        <v>171</v>
      </c>
      <c r="D178" s="77">
        <f>SUM(PACIENTES!D178+COMEDOR!D178+JORNADA!D178+'DIETOLOGÍA(S)'!D178)</f>
        <v>0</v>
      </c>
      <c r="E178" s="77">
        <f>SUM(PACIENTES!E178+COMEDOR!E178+JORNADA!E178+'DIETOLOGÍA(S)'!E178)</f>
        <v>21</v>
      </c>
      <c r="F178" s="77">
        <f>SUM(PACIENTES!F178+COMEDOR!F178+JORNADA!F178+'DIETOLOGÍA(S)'!F178)</f>
        <v>3</v>
      </c>
      <c r="G178" s="77">
        <f>SUM(PACIENTES!G178+COMEDOR!G178+JORNADA!G178+'DIETOLOGÍA(S)'!G178)</f>
        <v>40</v>
      </c>
      <c r="H178" s="77">
        <f>SUM(PACIENTES!H178+COMEDOR!H178+JORNADA!H178+'DIETOLOGÍA(S)'!H178)</f>
        <v>40</v>
      </c>
      <c r="I178" s="77">
        <f>SUM(PACIENTES!I178+COMEDOR!I178+JORNADA!I178+'DIETOLOGÍA(S)'!I178)</f>
        <v>4</v>
      </c>
      <c r="J178" s="77">
        <f>SUM(PACIENTES!J178+COMEDOR!J178+JORNADA!J178+'DIETOLOGÍA(S)'!J178)</f>
        <v>41</v>
      </c>
      <c r="K178" s="77">
        <f>SUM(PACIENTES!K178+COMEDOR!K178+JORNADA!K178+'DIETOLOGÍA(S)'!K178)</f>
        <v>0</v>
      </c>
      <c r="L178" s="77">
        <f>SUM(PACIENTES!L178+COMEDOR!L178+JORNADA!L178+'DIETOLOGÍA(S)'!L178)</f>
        <v>0</v>
      </c>
      <c r="M178" s="77">
        <f>SUM(PACIENTES!M178+COMEDOR!M178+JORNADA!M178+'DIETOLOGÍA(S)'!M178)</f>
        <v>46</v>
      </c>
      <c r="N178" s="77">
        <f>SUM(PACIENTES!N178+COMEDOR!N178+JORNADA!N178+'DIETOLOGÍA(S)'!N178)</f>
        <v>0</v>
      </c>
      <c r="O178" s="77">
        <f>SUM(PACIENTES!O178+COMEDOR!O178+JORNADA!O178+'DIETOLOGÍA(S)'!O178)</f>
        <v>3</v>
      </c>
      <c r="P178" s="77">
        <f>SUM(PACIENTES!P178+COMEDOR!P178+JORNADA!P178+'DIETOLOGÍA(S)'!P178)</f>
        <v>0</v>
      </c>
      <c r="Q178" s="77">
        <f>SUM(PACIENTES!Q178+COMEDOR!Q178+JORNADA!Q178+'DIETOLOGÍA(S)'!Q178)</f>
        <v>0</v>
      </c>
      <c r="R178" s="77">
        <f>SUM(PACIENTES!R178+COMEDOR!R178+JORNADA!R178+'DIETOLOGÍA(S)'!R178)</f>
        <v>0</v>
      </c>
      <c r="S178" s="77">
        <f>SUM(PACIENTES!S178+COMEDOR!S178+JORNADA!S178+'DIETOLOGÍA(S)'!S178)</f>
        <v>40</v>
      </c>
      <c r="T178" s="77">
        <f>SUM(PACIENTES!T178+COMEDOR!T178+JORNADA!T178+'DIETOLOGÍA(S)'!T178)</f>
        <v>3</v>
      </c>
      <c r="U178" s="77">
        <f>SUM(PACIENTES!U178+COMEDOR!U178+JORNADA!U178+'DIETOLOGÍA(S)'!U178)</f>
        <v>0</v>
      </c>
      <c r="V178" s="77">
        <f>SUM(PACIENTES!V178+COMEDOR!V178+JORNADA!V178+'DIETOLOGÍA(S)'!V178)</f>
        <v>0</v>
      </c>
      <c r="W178" s="77">
        <f>SUM(PACIENTES!W178+COMEDOR!W178+JORNADA!W178+'DIETOLOGÍA(S)'!W178)</f>
        <v>0</v>
      </c>
      <c r="X178" s="77">
        <f>SUM(PACIENTES!X178+COMEDOR!X178+JORNADA!X178+'DIETOLOGÍA(S)'!X178)</f>
        <v>4</v>
      </c>
      <c r="Y178" s="77">
        <f>SUM(PACIENTES!Y178+COMEDOR!Y178+JORNADA!Y178+'DIETOLOGÍA(S)'!Y178)</f>
        <v>40</v>
      </c>
      <c r="Z178" s="77">
        <f>SUM(PACIENTES!Z178+COMEDOR!Z178+JORNADA!Z178+'DIETOLOGÍA(S)'!Z178)</f>
        <v>0</v>
      </c>
      <c r="AA178" s="77">
        <f>SUM(PACIENTES!AA178+COMEDOR!AA178+JORNADA!AA178+'DIETOLOGÍA(S)'!AA178)</f>
        <v>3</v>
      </c>
      <c r="AB178" s="77">
        <f>SUM(PACIENTES!AB178+COMEDOR!AB178+JORNADA!AB178+'DIETOLOGÍA(S)'!AB178)</f>
        <v>6</v>
      </c>
      <c r="AC178" s="77">
        <f>SUM(PACIENTES!AC178+COMEDOR!AC178+JORNADA!AC178+'DIETOLOGÍA(S)'!AC178)</f>
        <v>0</v>
      </c>
      <c r="AD178" s="77">
        <f>SUM(PACIENTES!AD178+COMEDOR!AD178+JORNADA!AD178+'DIETOLOGÍA(S)'!AD178)</f>
        <v>40</v>
      </c>
      <c r="AE178" s="77">
        <f>SUM(PACIENTES!AE178+COMEDOR!AE178+JORNADA!AE178+'DIETOLOGÍA(S)'!AE178)</f>
        <v>0</v>
      </c>
      <c r="AF178" s="77">
        <f>SUM(PACIENTES!AF178+COMEDOR!AF178+JORNADA!AF178+'DIETOLOGÍA(S)'!AF178)</f>
        <v>0</v>
      </c>
      <c r="AG178" s="77">
        <f>SUM(PACIENTES!AG178+COMEDOR!AG178+JORNADA!AG178+'DIETOLOGÍA(S)'!AG178)</f>
        <v>0</v>
      </c>
      <c r="AH178" s="77">
        <f>SUM(PACIENTES!AH178+COMEDOR!AH178+JORNADA!AH178+'DIETOLOGÍA(S)'!AH178)</f>
        <v>3</v>
      </c>
      <c r="AI178" s="9">
        <f t="shared" si="7"/>
        <v>337</v>
      </c>
    </row>
    <row r="179" spans="1:35" ht="15.75" customHeight="1">
      <c r="A179" s="144">
        <v>2212005024</v>
      </c>
      <c r="B179" s="146" t="s">
        <v>187</v>
      </c>
      <c r="C179" s="145" t="s">
        <v>171</v>
      </c>
      <c r="D179" s="77">
        <f>SUM(PACIENTES!D179+COMEDOR!D179+JORNADA!D179+'DIETOLOGÍA(S)'!D179)</f>
        <v>46</v>
      </c>
      <c r="E179" s="77">
        <f>SUM(PACIENTES!E179+COMEDOR!E179+JORNADA!E179+'DIETOLOGÍA(S)'!E179)</f>
        <v>2</v>
      </c>
      <c r="F179" s="77">
        <f>SUM(PACIENTES!F179+COMEDOR!F179+JORNADA!F179+'DIETOLOGÍA(S)'!F179)</f>
        <v>40</v>
      </c>
      <c r="G179" s="77">
        <f>SUM(PACIENTES!G179+COMEDOR!G179+JORNADA!G179+'DIETOLOGÍA(S)'!G179)</f>
        <v>0</v>
      </c>
      <c r="H179" s="77">
        <f>SUM(PACIENTES!H179+COMEDOR!H179+JORNADA!H179+'DIETOLOGÍA(S)'!H179)</f>
        <v>2</v>
      </c>
      <c r="I179" s="77">
        <f>SUM(PACIENTES!I179+COMEDOR!I179+JORNADA!I179+'DIETOLOGÍA(S)'!I179)</f>
        <v>63</v>
      </c>
      <c r="J179" s="77">
        <f>SUM(PACIENTES!J179+COMEDOR!J179+JORNADA!J179+'DIETOLOGÍA(S)'!J179)</f>
        <v>2</v>
      </c>
      <c r="K179" s="77">
        <f>SUM(PACIENTES!K179+COMEDOR!K179+JORNADA!K179+'DIETOLOGÍA(S)'!K179)</f>
        <v>42</v>
      </c>
      <c r="L179" s="77">
        <f>SUM(PACIENTES!L179+COMEDOR!L179+JORNADA!L179+'DIETOLOGÍA(S)'!L179)</f>
        <v>2</v>
      </c>
      <c r="M179" s="77">
        <f>SUM(PACIENTES!M179+COMEDOR!M179+JORNADA!M179+'DIETOLOGÍA(S)'!M179)</f>
        <v>0</v>
      </c>
      <c r="N179" s="77">
        <f>SUM(PACIENTES!N179+COMEDOR!N179+JORNADA!N179+'DIETOLOGÍA(S)'!N179)</f>
        <v>0</v>
      </c>
      <c r="O179" s="77">
        <f>SUM(PACIENTES!O179+COMEDOR!O179+JORNADA!O179+'DIETOLOGÍA(S)'!O179)</f>
        <v>3</v>
      </c>
      <c r="P179" s="77">
        <f>SUM(PACIENTES!P179+COMEDOR!P179+JORNADA!P179+'DIETOLOGÍA(S)'!P179)</f>
        <v>2</v>
      </c>
      <c r="Q179" s="77">
        <f>SUM(PACIENTES!Q179+COMEDOR!Q179+JORNADA!Q179+'DIETOLOGÍA(S)'!Q179)</f>
        <v>64</v>
      </c>
      <c r="R179" s="77">
        <f>SUM(PACIENTES!R179+COMEDOR!R179+JORNADA!R179+'DIETOLOGÍA(S)'!R179)</f>
        <v>2</v>
      </c>
      <c r="S179" s="77">
        <f>SUM(PACIENTES!S179+COMEDOR!S179+JORNADA!S179+'DIETOLOGÍA(S)'!S179)</f>
        <v>6</v>
      </c>
      <c r="T179" s="77">
        <f>SUM(PACIENTES!T179+COMEDOR!T179+JORNADA!T179+'DIETOLOGÍA(S)'!T179)</f>
        <v>3</v>
      </c>
      <c r="U179" s="77">
        <f>SUM(PACIENTES!U179+COMEDOR!U179+JORNADA!U179+'DIETOLOGÍA(S)'!U179)</f>
        <v>9</v>
      </c>
      <c r="V179" s="77">
        <f>SUM(PACIENTES!V179+COMEDOR!V179+JORNADA!V179+'DIETOLOGÍA(S)'!V179)</f>
        <v>2</v>
      </c>
      <c r="W179" s="77">
        <f>SUM(PACIENTES!W179+COMEDOR!W179+JORNADA!W179+'DIETOLOGÍA(S)'!W179)</f>
        <v>42</v>
      </c>
      <c r="X179" s="77">
        <f>SUM(PACIENTES!X179+COMEDOR!X179+JORNADA!X179+'DIETOLOGÍA(S)'!X179)</f>
        <v>23</v>
      </c>
      <c r="Y179" s="77">
        <f>SUM(PACIENTES!Y179+COMEDOR!Y179+JORNADA!Y179+'DIETOLOGÍA(S)'!Y179)</f>
        <v>2</v>
      </c>
      <c r="Z179" s="77">
        <f>SUM(PACIENTES!Z179+COMEDOR!Z179+JORNADA!Z179+'DIETOLOGÍA(S)'!Z179)</f>
        <v>2</v>
      </c>
      <c r="AA179" s="77">
        <f>SUM(PACIENTES!AA179+COMEDOR!AA179+JORNADA!AA179+'DIETOLOGÍA(S)'!AA179)</f>
        <v>0</v>
      </c>
      <c r="AB179" s="77">
        <f>SUM(PACIENTES!AB179+COMEDOR!AB179+JORNADA!AB179+'DIETOLOGÍA(S)'!AB179)</f>
        <v>0</v>
      </c>
      <c r="AC179" s="77">
        <f>SUM(PACIENTES!AC179+COMEDOR!AC179+JORNADA!AC179+'DIETOLOGÍA(S)'!AC179)</f>
        <v>42</v>
      </c>
      <c r="AD179" s="77">
        <f>SUM(PACIENTES!AD179+COMEDOR!AD179+JORNADA!AD179+'DIETOLOGÍA(S)'!AD179)</f>
        <v>2</v>
      </c>
      <c r="AE179" s="77">
        <f>SUM(PACIENTES!AE179+COMEDOR!AE179+JORNADA!AE179+'DIETOLOGÍA(S)'!AE179)</f>
        <v>2</v>
      </c>
      <c r="AF179" s="77">
        <f>SUM(PACIENTES!AF179+COMEDOR!AF179+JORNADA!AF179+'DIETOLOGÍA(S)'!AF179)</f>
        <v>63</v>
      </c>
      <c r="AG179" s="77">
        <f>SUM(PACIENTES!AG179+COMEDOR!AG179+JORNADA!AG179+'DIETOLOGÍA(S)'!AG179)</f>
        <v>2</v>
      </c>
      <c r="AH179" s="77">
        <f>SUM(PACIENTES!AH179+COMEDOR!AH179+JORNADA!AH179+'DIETOLOGÍA(S)'!AH179)</f>
        <v>0</v>
      </c>
      <c r="AI179" s="9">
        <f t="shared" si="7"/>
        <v>470</v>
      </c>
    </row>
    <row r="180" spans="1:35" ht="15.75" customHeight="1">
      <c r="A180" s="144">
        <v>2212005026</v>
      </c>
      <c r="B180" s="146" t="s">
        <v>188</v>
      </c>
      <c r="C180" s="145" t="s">
        <v>6</v>
      </c>
      <c r="D180" s="77">
        <f>SUM(PACIENTES!D180+COMEDOR!D180+JORNADA!D180+'DIETOLOGÍA(S)'!D180)</f>
        <v>0</v>
      </c>
      <c r="E180" s="77">
        <f>SUM(PACIENTES!E180+COMEDOR!E180+JORNADA!E180+'DIETOLOGÍA(S)'!E180)</f>
        <v>0</v>
      </c>
      <c r="F180" s="77">
        <f>SUM(PACIENTES!F180+COMEDOR!F180+JORNADA!F180+'DIETOLOGÍA(S)'!F180)</f>
        <v>0</v>
      </c>
      <c r="G180" s="77">
        <f>SUM(PACIENTES!G180+COMEDOR!G180+JORNADA!G180+'DIETOLOGÍA(S)'!G180)</f>
        <v>40</v>
      </c>
      <c r="H180" s="77">
        <f>SUM(PACIENTES!H180+COMEDOR!H180+JORNADA!H180+'DIETOLOGÍA(S)'!H180)</f>
        <v>0</v>
      </c>
      <c r="I180" s="77">
        <f>SUM(PACIENTES!I180+COMEDOR!I180+JORNADA!I180+'DIETOLOGÍA(S)'!I180)</f>
        <v>0</v>
      </c>
      <c r="J180" s="77">
        <f>SUM(PACIENTES!J180+COMEDOR!J180+JORNADA!J180+'DIETOLOGÍA(S)'!J180)</f>
        <v>0</v>
      </c>
      <c r="K180" s="77">
        <f>SUM(PACIENTES!K180+COMEDOR!K180+JORNADA!K180+'DIETOLOGÍA(S)'!K180)</f>
        <v>0</v>
      </c>
      <c r="L180" s="77">
        <f>SUM(PACIENTES!L180+COMEDOR!L180+JORNADA!L180+'DIETOLOGÍA(S)'!L180)</f>
        <v>0</v>
      </c>
      <c r="M180" s="77">
        <f>SUM(PACIENTES!M180+COMEDOR!M180+JORNADA!M180+'DIETOLOGÍA(S)'!M180)</f>
        <v>0</v>
      </c>
      <c r="N180" s="77">
        <f>SUM(PACIENTES!N180+COMEDOR!N180+JORNADA!N180+'DIETOLOGÍA(S)'!N180)</f>
        <v>0</v>
      </c>
      <c r="O180" s="77">
        <f>SUM(PACIENTES!O180+COMEDOR!O180+JORNADA!O180+'DIETOLOGÍA(S)'!O180)</f>
        <v>0</v>
      </c>
      <c r="P180" s="77">
        <f>SUM(PACIENTES!P180+COMEDOR!P180+JORNADA!P180+'DIETOLOGÍA(S)'!P180)</f>
        <v>0</v>
      </c>
      <c r="Q180" s="77">
        <f>SUM(PACIENTES!Q180+COMEDOR!Q180+JORNADA!Q180+'DIETOLOGÍA(S)'!Q180)</f>
        <v>0</v>
      </c>
      <c r="R180" s="77">
        <f>SUM(PACIENTES!R180+COMEDOR!R180+JORNADA!R180+'DIETOLOGÍA(S)'!R180)</f>
        <v>0</v>
      </c>
      <c r="S180" s="77">
        <f>SUM(PACIENTES!S180+COMEDOR!S180+JORNADA!S180+'DIETOLOGÍA(S)'!S180)</f>
        <v>0</v>
      </c>
      <c r="T180" s="77">
        <f>SUM(PACIENTES!T180+COMEDOR!T180+JORNADA!T180+'DIETOLOGÍA(S)'!T180)</f>
        <v>0</v>
      </c>
      <c r="U180" s="77">
        <f>SUM(PACIENTES!U180+COMEDOR!U180+JORNADA!U180+'DIETOLOGÍA(S)'!U180)</f>
        <v>0</v>
      </c>
      <c r="V180" s="77">
        <f>SUM(PACIENTES!V180+COMEDOR!V180+JORNADA!V180+'DIETOLOGÍA(S)'!V180)</f>
        <v>0</v>
      </c>
      <c r="W180" s="77">
        <f>SUM(PACIENTES!W180+COMEDOR!W180+JORNADA!W180+'DIETOLOGÍA(S)'!W180)</f>
        <v>0</v>
      </c>
      <c r="X180" s="77">
        <f>SUM(PACIENTES!X180+COMEDOR!X180+JORNADA!X180+'DIETOLOGÍA(S)'!X180)</f>
        <v>0</v>
      </c>
      <c r="Y180" s="77">
        <f>SUM(PACIENTES!Y180+COMEDOR!Y180+JORNADA!Y180+'DIETOLOGÍA(S)'!Y180)</f>
        <v>0</v>
      </c>
      <c r="Z180" s="77">
        <f>SUM(PACIENTES!Z180+COMEDOR!Z180+JORNADA!Z180+'DIETOLOGÍA(S)'!Z180)</f>
        <v>0</v>
      </c>
      <c r="AA180" s="77">
        <f>SUM(PACIENTES!AA180+COMEDOR!AA180+JORNADA!AA180+'DIETOLOGÍA(S)'!AA180)</f>
        <v>35</v>
      </c>
      <c r="AB180" s="77">
        <f>SUM(PACIENTES!AB180+COMEDOR!AB180+JORNADA!AB180+'DIETOLOGÍA(S)'!AB180)</f>
        <v>40</v>
      </c>
      <c r="AC180" s="77">
        <f>SUM(PACIENTES!AC180+COMEDOR!AC180+JORNADA!AC180+'DIETOLOGÍA(S)'!AC180)</f>
        <v>0</v>
      </c>
      <c r="AD180" s="77">
        <f>SUM(PACIENTES!AD180+COMEDOR!AD180+JORNADA!AD180+'DIETOLOGÍA(S)'!AD180)</f>
        <v>0</v>
      </c>
      <c r="AE180" s="77">
        <f>SUM(PACIENTES!AE180+COMEDOR!AE180+JORNADA!AE180+'DIETOLOGÍA(S)'!AE180)</f>
        <v>0</v>
      </c>
      <c r="AF180" s="77">
        <f>SUM(PACIENTES!AF180+COMEDOR!AF180+JORNADA!AF180+'DIETOLOGÍA(S)'!AF180)</f>
        <v>0</v>
      </c>
      <c r="AG180" s="77">
        <f>SUM(PACIENTES!AG180+COMEDOR!AG180+JORNADA!AG180+'DIETOLOGÍA(S)'!AG180)</f>
        <v>0</v>
      </c>
      <c r="AH180" s="77">
        <f>SUM(PACIENTES!AH180+COMEDOR!AH180+JORNADA!AH180+'DIETOLOGÍA(S)'!AH180)</f>
        <v>0</v>
      </c>
      <c r="AI180" s="9">
        <f t="shared" si="7"/>
        <v>115</v>
      </c>
    </row>
    <row r="181" spans="1:35" ht="15.75" customHeight="1">
      <c r="A181" s="144">
        <v>2212005027</v>
      </c>
      <c r="B181" s="146" t="s">
        <v>189</v>
      </c>
      <c r="C181" s="145" t="s">
        <v>171</v>
      </c>
      <c r="D181" s="77">
        <f>SUM(PACIENTES!D181+COMEDOR!D181+JORNADA!D181+'DIETOLOGÍA(S)'!D181)</f>
        <v>0</v>
      </c>
      <c r="E181" s="77">
        <f>SUM(PACIENTES!E181+COMEDOR!E181+JORNADA!E181+'DIETOLOGÍA(S)'!E181)</f>
        <v>0</v>
      </c>
      <c r="F181" s="77">
        <f>SUM(PACIENTES!F181+COMEDOR!F181+JORNADA!F181+'DIETOLOGÍA(S)'!F181)</f>
        <v>0</v>
      </c>
      <c r="G181" s="77">
        <f>SUM(PACIENTES!G181+COMEDOR!G181+JORNADA!G181+'DIETOLOGÍA(S)'!G181)</f>
        <v>0</v>
      </c>
      <c r="H181" s="77">
        <f>SUM(PACIENTES!H181+COMEDOR!H181+JORNADA!H181+'DIETOLOGÍA(S)'!H181)</f>
        <v>0</v>
      </c>
      <c r="I181" s="77">
        <f>SUM(PACIENTES!I181+COMEDOR!I181+JORNADA!I181+'DIETOLOGÍA(S)'!I181)</f>
        <v>0</v>
      </c>
      <c r="J181" s="77">
        <f>SUM(PACIENTES!J181+COMEDOR!J181+JORNADA!J181+'DIETOLOGÍA(S)'!J181)</f>
        <v>0</v>
      </c>
      <c r="K181" s="77">
        <f>SUM(PACIENTES!K181+COMEDOR!K181+JORNADA!K181+'DIETOLOGÍA(S)'!K181)</f>
        <v>0</v>
      </c>
      <c r="L181" s="77">
        <f>SUM(PACIENTES!L181+COMEDOR!L181+JORNADA!L181+'DIETOLOGÍA(S)'!L181)</f>
        <v>0</v>
      </c>
      <c r="M181" s="77">
        <f>SUM(PACIENTES!M181+COMEDOR!M181+JORNADA!M181+'DIETOLOGÍA(S)'!M181)</f>
        <v>0</v>
      </c>
      <c r="N181" s="77">
        <f>SUM(PACIENTES!N181+COMEDOR!N181+JORNADA!N181+'DIETOLOGÍA(S)'!N181)</f>
        <v>0</v>
      </c>
      <c r="O181" s="77">
        <f>SUM(PACIENTES!O181+COMEDOR!O181+JORNADA!O181+'DIETOLOGÍA(S)'!O181)</f>
        <v>0</v>
      </c>
      <c r="P181" s="77">
        <f>SUM(PACIENTES!P181+COMEDOR!P181+JORNADA!P181+'DIETOLOGÍA(S)'!P181)</f>
        <v>0</v>
      </c>
      <c r="Q181" s="77">
        <f>SUM(PACIENTES!Q181+COMEDOR!Q181+JORNADA!Q181+'DIETOLOGÍA(S)'!Q181)</f>
        <v>0</v>
      </c>
      <c r="R181" s="77">
        <f>SUM(PACIENTES!R181+COMEDOR!R181+JORNADA!R181+'DIETOLOGÍA(S)'!R181)</f>
        <v>0</v>
      </c>
      <c r="S181" s="77">
        <f>SUM(PACIENTES!S181+COMEDOR!S181+JORNADA!S181+'DIETOLOGÍA(S)'!S181)</f>
        <v>0</v>
      </c>
      <c r="T181" s="77">
        <f>SUM(PACIENTES!T181+COMEDOR!T181+JORNADA!T181+'DIETOLOGÍA(S)'!T181)</f>
        <v>0</v>
      </c>
      <c r="U181" s="77">
        <f>SUM(PACIENTES!U181+COMEDOR!U181+JORNADA!U181+'DIETOLOGÍA(S)'!U181)</f>
        <v>0</v>
      </c>
      <c r="V181" s="77">
        <f>SUM(PACIENTES!V181+COMEDOR!V181+JORNADA!V181+'DIETOLOGÍA(S)'!V181)</f>
        <v>0</v>
      </c>
      <c r="W181" s="77">
        <f>SUM(PACIENTES!W181+COMEDOR!W181+JORNADA!W181+'DIETOLOGÍA(S)'!W181)</f>
        <v>0</v>
      </c>
      <c r="X181" s="77">
        <f>SUM(PACIENTES!X181+COMEDOR!X181+JORNADA!X181+'DIETOLOGÍA(S)'!X181)</f>
        <v>0</v>
      </c>
      <c r="Y181" s="77">
        <f>SUM(PACIENTES!Y181+COMEDOR!Y181+JORNADA!Y181+'DIETOLOGÍA(S)'!Y181)</f>
        <v>0</v>
      </c>
      <c r="Z181" s="77">
        <f>SUM(PACIENTES!Z181+COMEDOR!Z181+JORNADA!Z181+'DIETOLOGÍA(S)'!Z181)</f>
        <v>0</v>
      </c>
      <c r="AA181" s="77">
        <f>SUM(PACIENTES!AA181+COMEDOR!AA181+JORNADA!AA181+'DIETOLOGÍA(S)'!AA181)</f>
        <v>0</v>
      </c>
      <c r="AB181" s="77">
        <f>SUM(PACIENTES!AB181+COMEDOR!AB181+JORNADA!AB181+'DIETOLOGÍA(S)'!AB181)</f>
        <v>0</v>
      </c>
      <c r="AC181" s="77">
        <f>SUM(PACIENTES!AC181+COMEDOR!AC181+JORNADA!AC181+'DIETOLOGÍA(S)'!AC181)</f>
        <v>0</v>
      </c>
      <c r="AD181" s="77">
        <f>SUM(PACIENTES!AD181+COMEDOR!AD181+JORNADA!AD181+'DIETOLOGÍA(S)'!AD181)</f>
        <v>0</v>
      </c>
      <c r="AE181" s="77">
        <f>SUM(PACIENTES!AE181+COMEDOR!AE181+JORNADA!AE181+'DIETOLOGÍA(S)'!AE181)</f>
        <v>0</v>
      </c>
      <c r="AF181" s="77">
        <f>SUM(PACIENTES!AF181+COMEDOR!AF181+JORNADA!AF181+'DIETOLOGÍA(S)'!AF181)</f>
        <v>0</v>
      </c>
      <c r="AG181" s="77">
        <f>SUM(PACIENTES!AG181+COMEDOR!AG181+JORNADA!AG181+'DIETOLOGÍA(S)'!AG181)</f>
        <v>0</v>
      </c>
      <c r="AH181" s="77">
        <f>SUM(PACIENTES!AH181+COMEDOR!AH181+JORNADA!AH181+'DIETOLOGÍA(S)'!AH181)</f>
        <v>0</v>
      </c>
      <c r="AI181" s="9">
        <f t="shared" si="7"/>
        <v>0</v>
      </c>
    </row>
    <row r="182" spans="1:35" ht="15.75" customHeight="1">
      <c r="A182" s="144">
        <v>2212005028</v>
      </c>
      <c r="B182" s="146" t="s">
        <v>190</v>
      </c>
      <c r="C182" s="145" t="s">
        <v>177</v>
      </c>
      <c r="D182" s="77">
        <f>SUM(PACIENTES!D182+COMEDOR!D182+JORNADA!D182+'DIETOLOGÍA(S)'!D182)</f>
        <v>3</v>
      </c>
      <c r="E182" s="77">
        <f>SUM(PACIENTES!E182+COMEDOR!E182+JORNADA!E182+'DIETOLOGÍA(S)'!E182)</f>
        <v>3</v>
      </c>
      <c r="F182" s="77">
        <f>SUM(PACIENTES!F182+COMEDOR!F182+JORNADA!F182+'DIETOLOGÍA(S)'!F182)</f>
        <v>0</v>
      </c>
      <c r="G182" s="77">
        <f>SUM(PACIENTES!G182+COMEDOR!G182+JORNADA!G182+'DIETOLOGÍA(S)'!G182)</f>
        <v>0</v>
      </c>
      <c r="H182" s="77">
        <f>SUM(PACIENTES!H182+COMEDOR!H182+JORNADA!H182+'DIETOLOGÍA(S)'!H182)</f>
        <v>0</v>
      </c>
      <c r="I182" s="77">
        <f>SUM(PACIENTES!I182+COMEDOR!I182+JORNADA!I182+'DIETOLOGÍA(S)'!I182)</f>
        <v>7</v>
      </c>
      <c r="J182" s="77">
        <f>SUM(PACIENTES!J182+COMEDOR!J182+JORNADA!J182+'DIETOLOGÍA(S)'!J182)</f>
        <v>4</v>
      </c>
      <c r="K182" s="77">
        <f>SUM(PACIENTES!K182+COMEDOR!K182+JORNADA!K182+'DIETOLOGÍA(S)'!K182)</f>
        <v>0</v>
      </c>
      <c r="L182" s="77">
        <f>SUM(PACIENTES!L182+COMEDOR!L182+JORNADA!L182+'DIETOLOGÍA(S)'!L182)</f>
        <v>0</v>
      </c>
      <c r="M182" s="77">
        <f>SUM(PACIENTES!M182+COMEDOR!M182+JORNADA!M182+'DIETOLOGÍA(S)'!M182)</f>
        <v>0</v>
      </c>
      <c r="N182" s="77">
        <f>SUM(PACIENTES!N182+COMEDOR!N182+JORNADA!N182+'DIETOLOGÍA(S)'!N182)</f>
        <v>2</v>
      </c>
      <c r="O182" s="77">
        <f>SUM(PACIENTES!O182+COMEDOR!O182+JORNADA!O182+'DIETOLOGÍA(S)'!O182)</f>
        <v>2</v>
      </c>
      <c r="P182" s="77">
        <f>SUM(PACIENTES!P182+COMEDOR!P182+JORNADA!P182+'DIETOLOGÍA(S)'!P182)</f>
        <v>1</v>
      </c>
      <c r="Q182" s="77">
        <f>SUM(PACIENTES!Q182+COMEDOR!Q182+JORNADA!Q182+'DIETOLOGÍA(S)'!Q182)</f>
        <v>4</v>
      </c>
      <c r="R182" s="77">
        <f>SUM(PACIENTES!R182+COMEDOR!R182+JORNADA!R182+'DIETOLOGÍA(S)'!R182)</f>
        <v>0</v>
      </c>
      <c r="S182" s="77">
        <f>SUM(PACIENTES!S182+COMEDOR!S182+JORNADA!S182+'DIETOLOGÍA(S)'!S182)</f>
        <v>3</v>
      </c>
      <c r="T182" s="77">
        <f>SUM(PACIENTES!T182+COMEDOR!T182+JORNADA!T182+'DIETOLOGÍA(S)'!T182)</f>
        <v>2</v>
      </c>
      <c r="U182" s="77">
        <f>SUM(PACIENTES!U182+COMEDOR!U182+JORNADA!U182+'DIETOLOGÍA(S)'!U182)</f>
        <v>4</v>
      </c>
      <c r="V182" s="77">
        <f>SUM(PACIENTES!V182+COMEDOR!V182+JORNADA!V182+'DIETOLOGÍA(S)'!V182)</f>
        <v>0</v>
      </c>
      <c r="W182" s="77">
        <f>SUM(PACIENTES!W182+COMEDOR!W182+JORNADA!W182+'DIETOLOGÍA(S)'!W182)</f>
        <v>0</v>
      </c>
      <c r="X182" s="77">
        <f>SUM(PACIENTES!X182+COMEDOR!X182+JORNADA!X182+'DIETOLOGÍA(S)'!X182)</f>
        <v>7</v>
      </c>
      <c r="Y182" s="77">
        <f>SUM(PACIENTES!Y182+COMEDOR!Y182+JORNADA!Y182+'DIETOLOGÍA(S)'!Y182)</f>
        <v>3</v>
      </c>
      <c r="Z182" s="77">
        <f>SUM(PACIENTES!Z182+COMEDOR!Z182+JORNADA!Z182+'DIETOLOGÍA(S)'!Z182)</f>
        <v>0</v>
      </c>
      <c r="AA182" s="77">
        <f>SUM(PACIENTES!AA182+COMEDOR!AA182+JORNADA!AA182+'DIETOLOGÍA(S)'!AA182)</f>
        <v>0</v>
      </c>
      <c r="AB182" s="77">
        <f>SUM(PACIENTES!AB182+COMEDOR!AB182+JORNADA!AB182+'DIETOLOGÍA(S)'!AB182)</f>
        <v>2</v>
      </c>
      <c r="AC182" s="77">
        <f>SUM(PACIENTES!AC182+COMEDOR!AC182+JORNADA!AC182+'DIETOLOGÍA(S)'!AC182)</f>
        <v>0</v>
      </c>
      <c r="AD182" s="77">
        <f>SUM(PACIENTES!AD182+COMEDOR!AD182+JORNADA!AD182+'DIETOLOGÍA(S)'!AD182)</f>
        <v>1</v>
      </c>
      <c r="AE182" s="77">
        <f>SUM(PACIENTES!AE182+COMEDOR!AE182+JORNADA!AE182+'DIETOLOGÍA(S)'!AE182)</f>
        <v>1</v>
      </c>
      <c r="AF182" s="77">
        <f>SUM(PACIENTES!AF182+COMEDOR!AF182+JORNADA!AF182+'DIETOLOGÍA(S)'!AF182)</f>
        <v>3</v>
      </c>
      <c r="AG182" s="77">
        <f>SUM(PACIENTES!AG182+COMEDOR!AG182+JORNADA!AG182+'DIETOLOGÍA(S)'!AG182)</f>
        <v>0</v>
      </c>
      <c r="AH182" s="77">
        <f>SUM(PACIENTES!AH182+COMEDOR!AH182+JORNADA!AH182+'DIETOLOGÍA(S)'!AH182)</f>
        <v>0</v>
      </c>
      <c r="AI182" s="9">
        <f t="shared" si="7"/>
        <v>52</v>
      </c>
    </row>
    <row r="183" spans="1:35" ht="15.75" customHeight="1">
      <c r="A183" s="144">
        <v>2212005032</v>
      </c>
      <c r="B183" s="146" t="s">
        <v>191</v>
      </c>
      <c r="C183" s="145" t="s">
        <v>177</v>
      </c>
      <c r="D183" s="77">
        <f>SUM(PACIENTES!D183+COMEDOR!D183+JORNADA!D183+'DIETOLOGÍA(S)'!D183)</f>
        <v>0</v>
      </c>
      <c r="E183" s="77">
        <f>SUM(PACIENTES!E183+COMEDOR!E183+JORNADA!E183+'DIETOLOGÍA(S)'!E183)</f>
        <v>0</v>
      </c>
      <c r="F183" s="77">
        <f>SUM(PACIENTES!F183+COMEDOR!F183+JORNADA!F183+'DIETOLOGÍA(S)'!F183)</f>
        <v>0</v>
      </c>
      <c r="G183" s="77">
        <f>SUM(PACIENTES!G183+COMEDOR!G183+JORNADA!G183+'DIETOLOGÍA(S)'!G183)</f>
        <v>0</v>
      </c>
      <c r="H183" s="77">
        <f>SUM(PACIENTES!H183+COMEDOR!H183+JORNADA!H183+'DIETOLOGÍA(S)'!H183)</f>
        <v>0</v>
      </c>
      <c r="I183" s="77">
        <f>SUM(PACIENTES!I183+COMEDOR!I183+JORNADA!I183+'DIETOLOGÍA(S)'!I183)</f>
        <v>0</v>
      </c>
      <c r="J183" s="77">
        <f>SUM(PACIENTES!J183+COMEDOR!J183+JORNADA!J183+'DIETOLOGÍA(S)'!J183)</f>
        <v>0</v>
      </c>
      <c r="K183" s="77">
        <f>SUM(PACIENTES!K183+COMEDOR!K183+JORNADA!K183+'DIETOLOGÍA(S)'!K183)</f>
        <v>0</v>
      </c>
      <c r="L183" s="77">
        <f>SUM(PACIENTES!L183+COMEDOR!L183+JORNADA!L183+'DIETOLOGÍA(S)'!L183)</f>
        <v>0</v>
      </c>
      <c r="M183" s="77">
        <f>SUM(PACIENTES!M183+COMEDOR!M183+JORNADA!M183+'DIETOLOGÍA(S)'!M183)</f>
        <v>0</v>
      </c>
      <c r="N183" s="77">
        <f>SUM(PACIENTES!N183+COMEDOR!N183+JORNADA!N183+'DIETOLOGÍA(S)'!N183)</f>
        <v>0</v>
      </c>
      <c r="O183" s="77">
        <f>SUM(PACIENTES!O183+COMEDOR!O183+JORNADA!O183+'DIETOLOGÍA(S)'!O183)</f>
        <v>0</v>
      </c>
      <c r="P183" s="77">
        <f>SUM(PACIENTES!P183+COMEDOR!P183+JORNADA!P183+'DIETOLOGÍA(S)'!P183)</f>
        <v>0</v>
      </c>
      <c r="Q183" s="77">
        <f>SUM(PACIENTES!Q183+COMEDOR!Q183+JORNADA!Q183+'DIETOLOGÍA(S)'!Q183)</f>
        <v>0</v>
      </c>
      <c r="R183" s="77">
        <f>SUM(PACIENTES!R183+COMEDOR!R183+JORNADA!R183+'DIETOLOGÍA(S)'!R183)</f>
        <v>0</v>
      </c>
      <c r="S183" s="77">
        <f>SUM(PACIENTES!S183+COMEDOR!S183+JORNADA!S183+'DIETOLOGÍA(S)'!S183)</f>
        <v>0</v>
      </c>
      <c r="T183" s="77">
        <f>SUM(PACIENTES!T183+COMEDOR!T183+JORNADA!T183+'DIETOLOGÍA(S)'!T183)</f>
        <v>0</v>
      </c>
      <c r="U183" s="77">
        <f>SUM(PACIENTES!U183+COMEDOR!U183+JORNADA!U183+'DIETOLOGÍA(S)'!U183)</f>
        <v>0</v>
      </c>
      <c r="V183" s="77">
        <f>SUM(PACIENTES!V183+COMEDOR!V183+JORNADA!V183+'DIETOLOGÍA(S)'!V183)</f>
        <v>0</v>
      </c>
      <c r="W183" s="77">
        <f>SUM(PACIENTES!W183+COMEDOR!W183+JORNADA!W183+'DIETOLOGÍA(S)'!W183)</f>
        <v>0</v>
      </c>
      <c r="X183" s="77">
        <f>SUM(PACIENTES!X183+COMEDOR!X183+JORNADA!X183+'DIETOLOGÍA(S)'!X183)</f>
        <v>0</v>
      </c>
      <c r="Y183" s="77">
        <f>SUM(PACIENTES!Y183+COMEDOR!Y183+JORNADA!Y183+'DIETOLOGÍA(S)'!Y183)</f>
        <v>0</v>
      </c>
      <c r="Z183" s="77">
        <f>SUM(PACIENTES!Z183+COMEDOR!Z183+JORNADA!Z183+'DIETOLOGÍA(S)'!Z183)</f>
        <v>0</v>
      </c>
      <c r="AA183" s="77">
        <f>SUM(PACIENTES!AA183+COMEDOR!AA183+JORNADA!AA183+'DIETOLOGÍA(S)'!AA183)</f>
        <v>0</v>
      </c>
      <c r="AB183" s="77">
        <f>SUM(PACIENTES!AB183+COMEDOR!AB183+JORNADA!AB183+'DIETOLOGÍA(S)'!AB183)</f>
        <v>0</v>
      </c>
      <c r="AC183" s="77">
        <f>SUM(PACIENTES!AC183+COMEDOR!AC183+JORNADA!AC183+'DIETOLOGÍA(S)'!AC183)</f>
        <v>0</v>
      </c>
      <c r="AD183" s="77">
        <f>SUM(PACIENTES!AD183+COMEDOR!AD183+JORNADA!AD183+'DIETOLOGÍA(S)'!AD183)</f>
        <v>0</v>
      </c>
      <c r="AE183" s="77">
        <f>SUM(PACIENTES!AE183+COMEDOR!AE183+JORNADA!AE183+'DIETOLOGÍA(S)'!AE183)</f>
        <v>0</v>
      </c>
      <c r="AF183" s="77">
        <f>SUM(PACIENTES!AF183+COMEDOR!AF183+JORNADA!AF183+'DIETOLOGÍA(S)'!AF183)</f>
        <v>0</v>
      </c>
      <c r="AG183" s="77">
        <f>SUM(PACIENTES!AG183+COMEDOR!AG183+JORNADA!AG183+'DIETOLOGÍA(S)'!AG183)</f>
        <v>0</v>
      </c>
      <c r="AH183" s="77">
        <f>SUM(PACIENTES!AH183+COMEDOR!AH183+JORNADA!AH183+'DIETOLOGÍA(S)'!AH183)</f>
        <v>0</v>
      </c>
      <c r="AI183" s="9">
        <f t="shared" si="7"/>
        <v>0</v>
      </c>
    </row>
    <row r="184" spans="1:35" ht="15.75" customHeight="1">
      <c r="A184" s="144">
        <v>2212005034</v>
      </c>
      <c r="B184" s="146" t="s">
        <v>192</v>
      </c>
      <c r="C184" s="145" t="s">
        <v>6</v>
      </c>
      <c r="D184" s="77">
        <f>SUM(PACIENTES!D184+COMEDOR!D184+JORNADA!D184+'DIETOLOGÍA(S)'!D184)</f>
        <v>0</v>
      </c>
      <c r="E184" s="77">
        <f>SUM(PACIENTES!E184+COMEDOR!E184+JORNADA!E184+'DIETOLOGÍA(S)'!E184)</f>
        <v>0</v>
      </c>
      <c r="F184" s="77">
        <f>SUM(PACIENTES!F184+COMEDOR!F184+JORNADA!F184+'DIETOLOGÍA(S)'!F184)</f>
        <v>0</v>
      </c>
      <c r="G184" s="77">
        <f>SUM(PACIENTES!G184+COMEDOR!G184+JORNADA!G184+'DIETOLOGÍA(S)'!G184)</f>
        <v>0</v>
      </c>
      <c r="H184" s="77">
        <f>SUM(PACIENTES!H184+COMEDOR!H184+JORNADA!H184+'DIETOLOGÍA(S)'!H184)</f>
        <v>0</v>
      </c>
      <c r="I184" s="77">
        <f>SUM(PACIENTES!I184+COMEDOR!I184+JORNADA!I184+'DIETOLOGÍA(S)'!I184)</f>
        <v>0</v>
      </c>
      <c r="J184" s="77">
        <f>SUM(PACIENTES!J184+COMEDOR!J184+JORNADA!J184+'DIETOLOGÍA(S)'!J184)</f>
        <v>1</v>
      </c>
      <c r="K184" s="77">
        <f>SUM(PACIENTES!K184+COMEDOR!K184+JORNADA!K184+'DIETOLOGÍA(S)'!K184)</f>
        <v>0</v>
      </c>
      <c r="L184" s="77">
        <f>SUM(PACIENTES!L184+COMEDOR!L184+JORNADA!L184+'DIETOLOGÍA(S)'!L184)</f>
        <v>0</v>
      </c>
      <c r="M184" s="77">
        <f>SUM(PACIENTES!M184+COMEDOR!M184+JORNADA!M184+'DIETOLOGÍA(S)'!M184)</f>
        <v>0</v>
      </c>
      <c r="N184" s="77">
        <f>SUM(PACIENTES!N184+COMEDOR!N184+JORNADA!N184+'DIETOLOGÍA(S)'!N184)</f>
        <v>0</v>
      </c>
      <c r="O184" s="77">
        <f>SUM(PACIENTES!O184+COMEDOR!O184+JORNADA!O184+'DIETOLOGÍA(S)'!O184)</f>
        <v>0</v>
      </c>
      <c r="P184" s="77">
        <f>SUM(PACIENTES!P184+COMEDOR!P184+JORNADA!P184+'DIETOLOGÍA(S)'!P184)</f>
        <v>0</v>
      </c>
      <c r="Q184" s="77">
        <f>SUM(PACIENTES!Q184+COMEDOR!Q184+JORNADA!Q184+'DIETOLOGÍA(S)'!Q184)</f>
        <v>0</v>
      </c>
      <c r="R184" s="77">
        <f>SUM(PACIENTES!R184+COMEDOR!R184+JORNADA!R184+'DIETOLOGÍA(S)'!R184)</f>
        <v>0</v>
      </c>
      <c r="S184" s="77">
        <f>SUM(PACIENTES!S184+COMEDOR!S184+JORNADA!S184+'DIETOLOGÍA(S)'!S184)</f>
        <v>0</v>
      </c>
      <c r="T184" s="77">
        <f>SUM(PACIENTES!T184+COMEDOR!T184+JORNADA!T184+'DIETOLOGÍA(S)'!T184)</f>
        <v>0</v>
      </c>
      <c r="U184" s="77">
        <f>SUM(PACIENTES!U184+COMEDOR!U184+JORNADA!U184+'DIETOLOGÍA(S)'!U184)</f>
        <v>0</v>
      </c>
      <c r="V184" s="77">
        <f>SUM(PACIENTES!V184+COMEDOR!V184+JORNADA!V184+'DIETOLOGÍA(S)'!V184)</f>
        <v>0</v>
      </c>
      <c r="W184" s="77">
        <f>SUM(PACIENTES!W184+COMEDOR!W184+JORNADA!W184+'DIETOLOGÍA(S)'!W184)</f>
        <v>0</v>
      </c>
      <c r="X184" s="77">
        <f>SUM(PACIENTES!X184+COMEDOR!X184+JORNADA!X184+'DIETOLOGÍA(S)'!X184)</f>
        <v>0</v>
      </c>
      <c r="Y184" s="77">
        <f>SUM(PACIENTES!Y184+COMEDOR!Y184+JORNADA!Y184+'DIETOLOGÍA(S)'!Y184)</f>
        <v>0</v>
      </c>
      <c r="Z184" s="77">
        <f>SUM(PACIENTES!Z184+COMEDOR!Z184+JORNADA!Z184+'DIETOLOGÍA(S)'!Z184)</f>
        <v>0</v>
      </c>
      <c r="AA184" s="77">
        <f>SUM(PACIENTES!AA184+COMEDOR!AA184+JORNADA!AA184+'DIETOLOGÍA(S)'!AA184)</f>
        <v>0</v>
      </c>
      <c r="AB184" s="77">
        <f>SUM(PACIENTES!AB184+COMEDOR!AB184+JORNADA!AB184+'DIETOLOGÍA(S)'!AB184)</f>
        <v>0</v>
      </c>
      <c r="AC184" s="77">
        <f>SUM(PACIENTES!AC184+COMEDOR!AC184+JORNADA!AC184+'DIETOLOGÍA(S)'!AC184)</f>
        <v>0</v>
      </c>
      <c r="AD184" s="77">
        <f>SUM(PACIENTES!AD184+COMEDOR!AD184+JORNADA!AD184+'DIETOLOGÍA(S)'!AD184)</f>
        <v>0</v>
      </c>
      <c r="AE184" s="77">
        <f>SUM(PACIENTES!AE184+COMEDOR!AE184+JORNADA!AE184+'DIETOLOGÍA(S)'!AE184)</f>
        <v>0</v>
      </c>
      <c r="AF184" s="77">
        <f>SUM(PACIENTES!AF184+COMEDOR!AF184+JORNADA!AF184+'DIETOLOGÍA(S)'!AF184)</f>
        <v>0</v>
      </c>
      <c r="AG184" s="77">
        <f>SUM(PACIENTES!AG184+COMEDOR!AG184+JORNADA!AG184+'DIETOLOGÍA(S)'!AG184)</f>
        <v>0</v>
      </c>
      <c r="AH184" s="77">
        <f>SUM(PACIENTES!AH184+COMEDOR!AH184+JORNADA!AH184+'DIETOLOGÍA(S)'!AH184)</f>
        <v>0</v>
      </c>
      <c r="AI184" s="9">
        <f t="shared" si="7"/>
        <v>1</v>
      </c>
    </row>
    <row r="185" spans="1:35" ht="15.75" customHeight="1">
      <c r="A185" s="144">
        <v>2212005035</v>
      </c>
      <c r="B185" s="146" t="s">
        <v>193</v>
      </c>
      <c r="C185" s="145" t="s">
        <v>8</v>
      </c>
      <c r="D185" s="77">
        <f>SUM(PACIENTES!D185+COMEDOR!D185+JORNADA!D185+'DIETOLOGÍA(S)'!D185)</f>
        <v>0</v>
      </c>
      <c r="E185" s="77">
        <f>SUM(PACIENTES!E185+COMEDOR!E185+JORNADA!E185+'DIETOLOGÍA(S)'!E185)</f>
        <v>0</v>
      </c>
      <c r="F185" s="77">
        <f>SUM(PACIENTES!F185+COMEDOR!F185+JORNADA!F185+'DIETOLOGÍA(S)'!F185)</f>
        <v>0</v>
      </c>
      <c r="G185" s="77">
        <f>SUM(PACIENTES!G185+COMEDOR!G185+JORNADA!G185+'DIETOLOGÍA(S)'!G185)</f>
        <v>0</v>
      </c>
      <c r="H185" s="77">
        <f>SUM(PACIENTES!H185+COMEDOR!H185+JORNADA!H185+'DIETOLOGÍA(S)'!H185)</f>
        <v>0</v>
      </c>
      <c r="I185" s="77">
        <f>SUM(PACIENTES!I185+COMEDOR!I185+JORNADA!I185+'DIETOLOGÍA(S)'!I185)</f>
        <v>0</v>
      </c>
      <c r="J185" s="77">
        <f>SUM(PACIENTES!J185+COMEDOR!J185+JORNADA!J185+'DIETOLOGÍA(S)'!J185)</f>
        <v>10</v>
      </c>
      <c r="K185" s="77">
        <f>SUM(PACIENTES!K185+COMEDOR!K185+JORNADA!K185+'DIETOLOGÍA(S)'!K185)</f>
        <v>0</v>
      </c>
      <c r="L185" s="77">
        <f>SUM(PACIENTES!L185+COMEDOR!L185+JORNADA!L185+'DIETOLOGÍA(S)'!L185)</f>
        <v>0</v>
      </c>
      <c r="M185" s="77">
        <f>SUM(PACIENTES!M185+COMEDOR!M185+JORNADA!M185+'DIETOLOGÍA(S)'!M185)</f>
        <v>0</v>
      </c>
      <c r="N185" s="77">
        <f>SUM(PACIENTES!N185+COMEDOR!N185+JORNADA!N185+'DIETOLOGÍA(S)'!N185)</f>
        <v>0</v>
      </c>
      <c r="O185" s="77">
        <f>SUM(PACIENTES!O185+COMEDOR!O185+JORNADA!O185+'DIETOLOGÍA(S)'!O185)</f>
        <v>0</v>
      </c>
      <c r="P185" s="77">
        <f>SUM(PACIENTES!P185+COMEDOR!P185+JORNADA!P185+'DIETOLOGÍA(S)'!P185)</f>
        <v>0</v>
      </c>
      <c r="Q185" s="77">
        <f>SUM(PACIENTES!Q185+COMEDOR!Q185+JORNADA!Q185+'DIETOLOGÍA(S)'!Q185)</f>
        <v>10</v>
      </c>
      <c r="R185" s="77">
        <f>SUM(PACIENTES!R185+COMEDOR!R185+JORNADA!R185+'DIETOLOGÍA(S)'!R185)</f>
        <v>0</v>
      </c>
      <c r="S185" s="77">
        <f>SUM(PACIENTES!S185+COMEDOR!S185+JORNADA!S185+'DIETOLOGÍA(S)'!S185)</f>
        <v>0</v>
      </c>
      <c r="T185" s="77">
        <f>SUM(PACIENTES!T185+COMEDOR!T185+JORNADA!T185+'DIETOLOGÍA(S)'!T185)</f>
        <v>0</v>
      </c>
      <c r="U185" s="77">
        <f>SUM(PACIENTES!U185+COMEDOR!U185+JORNADA!U185+'DIETOLOGÍA(S)'!U185)</f>
        <v>0</v>
      </c>
      <c r="V185" s="77">
        <f>SUM(PACIENTES!V185+COMEDOR!V185+JORNADA!V185+'DIETOLOGÍA(S)'!V185)</f>
        <v>0</v>
      </c>
      <c r="W185" s="77">
        <f>SUM(PACIENTES!W185+COMEDOR!W185+JORNADA!W185+'DIETOLOGÍA(S)'!W185)</f>
        <v>0</v>
      </c>
      <c r="X185" s="77">
        <f>SUM(PACIENTES!X185+COMEDOR!X185+JORNADA!X185+'DIETOLOGÍA(S)'!X185)</f>
        <v>10</v>
      </c>
      <c r="Y185" s="77">
        <f>SUM(PACIENTES!Y185+COMEDOR!Y185+JORNADA!Y185+'DIETOLOGÍA(S)'!Y185)</f>
        <v>0</v>
      </c>
      <c r="Z185" s="77">
        <f>SUM(PACIENTES!Z185+COMEDOR!Z185+JORNADA!Z185+'DIETOLOGÍA(S)'!Z185)</f>
        <v>0</v>
      </c>
      <c r="AA185" s="77">
        <f>SUM(PACIENTES!AA185+COMEDOR!AA185+JORNADA!AA185+'DIETOLOGÍA(S)'!AA185)</f>
        <v>0</v>
      </c>
      <c r="AB185" s="77">
        <f>SUM(PACIENTES!AB185+COMEDOR!AB185+JORNADA!AB185+'DIETOLOGÍA(S)'!AB185)</f>
        <v>0</v>
      </c>
      <c r="AC185" s="77">
        <f>SUM(PACIENTES!AC185+COMEDOR!AC185+JORNADA!AC185+'DIETOLOGÍA(S)'!AC185)</f>
        <v>0</v>
      </c>
      <c r="AD185" s="77">
        <f>SUM(PACIENTES!AD185+COMEDOR!AD185+JORNADA!AD185+'DIETOLOGÍA(S)'!AD185)</f>
        <v>0</v>
      </c>
      <c r="AE185" s="77">
        <f>SUM(PACIENTES!AE185+COMEDOR!AE185+JORNADA!AE185+'DIETOLOGÍA(S)'!AE185)</f>
        <v>10</v>
      </c>
      <c r="AF185" s="77">
        <f>SUM(PACIENTES!AF185+COMEDOR!AF185+JORNADA!AF185+'DIETOLOGÍA(S)'!AF185)</f>
        <v>0</v>
      </c>
      <c r="AG185" s="77">
        <f>SUM(PACIENTES!AG185+COMEDOR!AG185+JORNADA!AG185+'DIETOLOGÍA(S)'!AG185)</f>
        <v>0</v>
      </c>
      <c r="AH185" s="77">
        <f>SUM(PACIENTES!AH185+COMEDOR!AH185+JORNADA!AH185+'DIETOLOGÍA(S)'!AH185)</f>
        <v>0</v>
      </c>
      <c r="AI185" s="9">
        <f t="shared" si="7"/>
        <v>40</v>
      </c>
    </row>
    <row r="186" spans="1:35" ht="15.75" customHeight="1">
      <c r="A186" s="144">
        <v>2212005037</v>
      </c>
      <c r="B186" s="146" t="s">
        <v>194</v>
      </c>
      <c r="C186" s="145" t="s">
        <v>6</v>
      </c>
      <c r="D186" s="77">
        <f>SUM(PACIENTES!D186+COMEDOR!D186+JORNADA!D186+'DIETOLOGÍA(S)'!D186)</f>
        <v>0</v>
      </c>
      <c r="E186" s="77">
        <f>SUM(PACIENTES!E186+COMEDOR!E186+JORNADA!E186+'DIETOLOGÍA(S)'!E186)</f>
        <v>0</v>
      </c>
      <c r="F186" s="77">
        <f>SUM(PACIENTES!F186+COMEDOR!F186+JORNADA!F186+'DIETOLOGÍA(S)'!F186)</f>
        <v>0</v>
      </c>
      <c r="G186" s="77">
        <f>SUM(PACIENTES!G186+COMEDOR!G186+JORNADA!G186+'DIETOLOGÍA(S)'!G186)</f>
        <v>0</v>
      </c>
      <c r="H186" s="77">
        <f>SUM(PACIENTES!H186+COMEDOR!H186+JORNADA!H186+'DIETOLOGÍA(S)'!H186)</f>
        <v>0</v>
      </c>
      <c r="I186" s="77">
        <f>SUM(PACIENTES!I186+COMEDOR!I186+JORNADA!I186+'DIETOLOGÍA(S)'!I186)</f>
        <v>0</v>
      </c>
      <c r="J186" s="77">
        <f>SUM(PACIENTES!J186+COMEDOR!J186+JORNADA!J186+'DIETOLOGÍA(S)'!J186)</f>
        <v>0</v>
      </c>
      <c r="K186" s="77">
        <f>SUM(PACIENTES!K186+COMEDOR!K186+JORNADA!K186+'DIETOLOGÍA(S)'!K186)</f>
        <v>0</v>
      </c>
      <c r="L186" s="77">
        <f>SUM(PACIENTES!L186+COMEDOR!L186+JORNADA!L186+'DIETOLOGÍA(S)'!L186)</f>
        <v>0</v>
      </c>
      <c r="M186" s="77">
        <f>SUM(PACIENTES!M186+COMEDOR!M186+JORNADA!M186+'DIETOLOGÍA(S)'!M186)</f>
        <v>0</v>
      </c>
      <c r="N186" s="77">
        <f>SUM(PACIENTES!N186+COMEDOR!N186+JORNADA!N186+'DIETOLOGÍA(S)'!N186)</f>
        <v>0</v>
      </c>
      <c r="O186" s="77">
        <f>SUM(PACIENTES!O186+COMEDOR!O186+JORNADA!O186+'DIETOLOGÍA(S)'!O186)</f>
        <v>0</v>
      </c>
      <c r="P186" s="77">
        <f>SUM(PACIENTES!P186+COMEDOR!P186+JORNADA!P186+'DIETOLOGÍA(S)'!P186)</f>
        <v>0</v>
      </c>
      <c r="Q186" s="77">
        <f>SUM(PACIENTES!Q186+COMEDOR!Q186+JORNADA!Q186+'DIETOLOGÍA(S)'!Q186)</f>
        <v>1</v>
      </c>
      <c r="R186" s="77">
        <f>SUM(PACIENTES!R186+COMEDOR!R186+JORNADA!R186+'DIETOLOGÍA(S)'!R186)</f>
        <v>0</v>
      </c>
      <c r="S186" s="77">
        <f>SUM(PACIENTES!S186+COMEDOR!S186+JORNADA!S186+'DIETOLOGÍA(S)'!S186)</f>
        <v>0</v>
      </c>
      <c r="T186" s="77">
        <f>SUM(PACIENTES!T186+COMEDOR!T186+JORNADA!T186+'DIETOLOGÍA(S)'!T186)</f>
        <v>0</v>
      </c>
      <c r="U186" s="77">
        <f>SUM(PACIENTES!U186+COMEDOR!U186+JORNADA!U186+'DIETOLOGÍA(S)'!U186)</f>
        <v>0</v>
      </c>
      <c r="V186" s="77">
        <f>SUM(PACIENTES!V186+COMEDOR!V186+JORNADA!V186+'DIETOLOGÍA(S)'!V186)</f>
        <v>0</v>
      </c>
      <c r="W186" s="77">
        <f>SUM(PACIENTES!W186+COMEDOR!W186+JORNADA!W186+'DIETOLOGÍA(S)'!W186)</f>
        <v>0</v>
      </c>
      <c r="X186" s="77">
        <f>SUM(PACIENTES!X186+COMEDOR!X186+JORNADA!X186+'DIETOLOGÍA(S)'!X186)</f>
        <v>0</v>
      </c>
      <c r="Y186" s="77">
        <f>SUM(PACIENTES!Y186+COMEDOR!Y186+JORNADA!Y186+'DIETOLOGÍA(S)'!Y186)</f>
        <v>0</v>
      </c>
      <c r="Z186" s="77">
        <f>SUM(PACIENTES!Z186+COMEDOR!Z186+JORNADA!Z186+'DIETOLOGÍA(S)'!Z186)</f>
        <v>0</v>
      </c>
      <c r="AA186" s="77">
        <f>SUM(PACIENTES!AA186+COMEDOR!AA186+JORNADA!AA186+'DIETOLOGÍA(S)'!AA186)</f>
        <v>0</v>
      </c>
      <c r="AB186" s="77">
        <f>SUM(PACIENTES!AB186+COMEDOR!AB186+JORNADA!AB186+'DIETOLOGÍA(S)'!AB186)</f>
        <v>0</v>
      </c>
      <c r="AC186" s="77">
        <f>SUM(PACIENTES!AC186+COMEDOR!AC186+JORNADA!AC186+'DIETOLOGÍA(S)'!AC186)</f>
        <v>0</v>
      </c>
      <c r="AD186" s="77">
        <f>SUM(PACIENTES!AD186+COMEDOR!AD186+JORNADA!AD186+'DIETOLOGÍA(S)'!AD186)</f>
        <v>0</v>
      </c>
      <c r="AE186" s="77">
        <f>SUM(PACIENTES!AE186+COMEDOR!AE186+JORNADA!AE186+'DIETOLOGÍA(S)'!AE186)</f>
        <v>0</v>
      </c>
      <c r="AF186" s="77">
        <f>SUM(PACIENTES!AF186+COMEDOR!AF186+JORNADA!AF186+'DIETOLOGÍA(S)'!AF186)</f>
        <v>0</v>
      </c>
      <c r="AG186" s="77">
        <f>SUM(PACIENTES!AG186+COMEDOR!AG186+JORNADA!AG186+'DIETOLOGÍA(S)'!AG186)</f>
        <v>0</v>
      </c>
      <c r="AH186" s="77">
        <f>SUM(PACIENTES!AH186+COMEDOR!AH186+JORNADA!AH186+'DIETOLOGÍA(S)'!AH186)</f>
        <v>0</v>
      </c>
      <c r="AI186" s="9">
        <f t="shared" si="7"/>
        <v>1</v>
      </c>
    </row>
    <row r="187" spans="1:35" ht="15.75" customHeight="1">
      <c r="A187" s="144">
        <v>2212005038</v>
      </c>
      <c r="B187" s="146" t="s">
        <v>195</v>
      </c>
      <c r="C187" s="145" t="s">
        <v>171</v>
      </c>
      <c r="D187" s="77">
        <f>SUM(PACIENTES!D187+COMEDOR!D187+JORNADA!D187+'DIETOLOGÍA(S)'!D187)</f>
        <v>0</v>
      </c>
      <c r="E187" s="77">
        <f>SUM(PACIENTES!E187+COMEDOR!E187+JORNADA!E187+'DIETOLOGÍA(S)'!E187)</f>
        <v>0</v>
      </c>
      <c r="F187" s="77">
        <f>SUM(PACIENTES!F187+COMEDOR!F187+JORNADA!F187+'DIETOLOGÍA(S)'!F187)</f>
        <v>0</v>
      </c>
      <c r="G187" s="77">
        <f>SUM(PACIENTES!G187+COMEDOR!G187+JORNADA!G187+'DIETOLOGÍA(S)'!G187)</f>
        <v>0</v>
      </c>
      <c r="H187" s="77">
        <f>SUM(PACIENTES!H187+COMEDOR!H187+JORNADA!H187+'DIETOLOGÍA(S)'!H187)</f>
        <v>0</v>
      </c>
      <c r="I187" s="77">
        <f>SUM(PACIENTES!I187+COMEDOR!I187+JORNADA!I187+'DIETOLOGÍA(S)'!I187)</f>
        <v>0</v>
      </c>
      <c r="J187" s="77">
        <f>SUM(PACIENTES!J187+COMEDOR!J187+JORNADA!J187+'DIETOLOGÍA(S)'!J187)</f>
        <v>0</v>
      </c>
      <c r="K187" s="77">
        <f>SUM(PACIENTES!K187+COMEDOR!K187+JORNADA!K187+'DIETOLOGÍA(S)'!K187)</f>
        <v>0</v>
      </c>
      <c r="L187" s="77">
        <f>SUM(PACIENTES!L187+COMEDOR!L187+JORNADA!L187+'DIETOLOGÍA(S)'!L187)</f>
        <v>0</v>
      </c>
      <c r="M187" s="77">
        <f>SUM(PACIENTES!M187+COMEDOR!M187+JORNADA!M187+'DIETOLOGÍA(S)'!M187)</f>
        <v>0</v>
      </c>
      <c r="N187" s="77">
        <f>SUM(PACIENTES!N187+COMEDOR!N187+JORNADA!N187+'DIETOLOGÍA(S)'!N187)</f>
        <v>0</v>
      </c>
      <c r="O187" s="77">
        <f>SUM(PACIENTES!O187+COMEDOR!O187+JORNADA!O187+'DIETOLOGÍA(S)'!O187)</f>
        <v>0</v>
      </c>
      <c r="P187" s="77">
        <f>SUM(PACIENTES!P187+COMEDOR!P187+JORNADA!P187+'DIETOLOGÍA(S)'!P187)</f>
        <v>0</v>
      </c>
      <c r="Q187" s="77">
        <f>SUM(PACIENTES!Q187+COMEDOR!Q187+JORNADA!Q187+'DIETOLOGÍA(S)'!Q187)</f>
        <v>0</v>
      </c>
      <c r="R187" s="77">
        <f>SUM(PACIENTES!R187+COMEDOR!R187+JORNADA!R187+'DIETOLOGÍA(S)'!R187)</f>
        <v>0</v>
      </c>
      <c r="S187" s="77">
        <f>SUM(PACIENTES!S187+COMEDOR!S187+JORNADA!S187+'DIETOLOGÍA(S)'!S187)</f>
        <v>0</v>
      </c>
      <c r="T187" s="77">
        <f>SUM(PACIENTES!T187+COMEDOR!T187+JORNADA!T187+'DIETOLOGÍA(S)'!T187)</f>
        <v>0</v>
      </c>
      <c r="U187" s="77">
        <f>SUM(PACIENTES!U187+COMEDOR!U187+JORNADA!U187+'DIETOLOGÍA(S)'!U187)</f>
        <v>0</v>
      </c>
      <c r="V187" s="77">
        <f>SUM(PACIENTES!V187+COMEDOR!V187+JORNADA!V187+'DIETOLOGÍA(S)'!V187)</f>
        <v>0</v>
      </c>
      <c r="W187" s="77">
        <f>SUM(PACIENTES!W187+COMEDOR!W187+JORNADA!W187+'DIETOLOGÍA(S)'!W187)</f>
        <v>0</v>
      </c>
      <c r="X187" s="77">
        <f>SUM(PACIENTES!X187+COMEDOR!X187+JORNADA!X187+'DIETOLOGÍA(S)'!X187)</f>
        <v>0</v>
      </c>
      <c r="Y187" s="77">
        <f>SUM(PACIENTES!Y187+COMEDOR!Y187+JORNADA!Y187+'DIETOLOGÍA(S)'!Y187)</f>
        <v>0</v>
      </c>
      <c r="Z187" s="77">
        <f>SUM(PACIENTES!Z187+COMEDOR!Z187+JORNADA!Z187+'DIETOLOGÍA(S)'!Z187)</f>
        <v>0</v>
      </c>
      <c r="AA187" s="77">
        <f>SUM(PACIENTES!AA187+COMEDOR!AA187+JORNADA!AA187+'DIETOLOGÍA(S)'!AA187)</f>
        <v>0</v>
      </c>
      <c r="AB187" s="77">
        <f>SUM(PACIENTES!AB187+COMEDOR!AB187+JORNADA!AB187+'DIETOLOGÍA(S)'!AB187)</f>
        <v>0</v>
      </c>
      <c r="AC187" s="77">
        <f>SUM(PACIENTES!AC187+COMEDOR!AC187+JORNADA!AC187+'DIETOLOGÍA(S)'!AC187)</f>
        <v>0</v>
      </c>
      <c r="AD187" s="77">
        <f>SUM(PACIENTES!AD187+COMEDOR!AD187+JORNADA!AD187+'DIETOLOGÍA(S)'!AD187)</f>
        <v>0</v>
      </c>
      <c r="AE187" s="77">
        <f>SUM(PACIENTES!AE187+COMEDOR!AE187+JORNADA!AE187+'DIETOLOGÍA(S)'!AE187)</f>
        <v>0</v>
      </c>
      <c r="AF187" s="77">
        <f>SUM(PACIENTES!AF187+COMEDOR!AF187+JORNADA!AF187+'DIETOLOGÍA(S)'!AF187)</f>
        <v>0</v>
      </c>
      <c r="AG187" s="77">
        <f>SUM(PACIENTES!AG187+COMEDOR!AG187+JORNADA!AG187+'DIETOLOGÍA(S)'!AG187)</f>
        <v>0</v>
      </c>
      <c r="AH187" s="77">
        <f>SUM(PACIENTES!AH187+COMEDOR!AH187+JORNADA!AH187+'DIETOLOGÍA(S)'!AH187)</f>
        <v>0</v>
      </c>
      <c r="AI187" s="9">
        <f t="shared" si="7"/>
        <v>0</v>
      </c>
    </row>
    <row r="188" spans="1:35" ht="15.75" customHeight="1">
      <c r="A188" s="144">
        <v>2212005041</v>
      </c>
      <c r="B188" s="146" t="s">
        <v>196</v>
      </c>
      <c r="C188" s="145" t="s">
        <v>6</v>
      </c>
      <c r="D188" s="77">
        <f>SUM(PACIENTES!D188+COMEDOR!D188+JORNADA!D188+'DIETOLOGÍA(S)'!D188)</f>
        <v>0</v>
      </c>
      <c r="E188" s="77">
        <f>SUM(PACIENTES!E188+COMEDOR!E188+JORNADA!E188+'DIETOLOGÍA(S)'!E188)</f>
        <v>0</v>
      </c>
      <c r="F188" s="77">
        <f>SUM(PACIENTES!F188+COMEDOR!F188+JORNADA!F188+'DIETOLOGÍA(S)'!F188)</f>
        <v>0</v>
      </c>
      <c r="G188" s="77">
        <f>SUM(PACIENTES!G188+COMEDOR!G188+JORNADA!G188+'DIETOLOGÍA(S)'!G188)</f>
        <v>0</v>
      </c>
      <c r="H188" s="77">
        <f>SUM(PACIENTES!H188+COMEDOR!H188+JORNADA!H188+'DIETOLOGÍA(S)'!H188)</f>
        <v>0</v>
      </c>
      <c r="I188" s="77">
        <f>SUM(PACIENTES!I188+COMEDOR!I188+JORNADA!I188+'DIETOLOGÍA(S)'!I188)</f>
        <v>1</v>
      </c>
      <c r="J188" s="77">
        <f>SUM(PACIENTES!J188+COMEDOR!J188+JORNADA!J188+'DIETOLOGÍA(S)'!J188)</f>
        <v>1</v>
      </c>
      <c r="K188" s="77">
        <f>SUM(PACIENTES!K188+COMEDOR!K188+JORNADA!K188+'DIETOLOGÍA(S)'!K188)</f>
        <v>0</v>
      </c>
      <c r="L188" s="77">
        <f>SUM(PACIENTES!L188+COMEDOR!L188+JORNADA!L188+'DIETOLOGÍA(S)'!L188)</f>
        <v>0</v>
      </c>
      <c r="M188" s="77">
        <f>SUM(PACIENTES!M188+COMEDOR!M188+JORNADA!M188+'DIETOLOGÍA(S)'!M188)</f>
        <v>0</v>
      </c>
      <c r="N188" s="77">
        <f>SUM(PACIENTES!N188+COMEDOR!N188+JORNADA!N188+'DIETOLOGÍA(S)'!N188)</f>
        <v>0</v>
      </c>
      <c r="O188" s="77">
        <f>SUM(PACIENTES!O188+COMEDOR!O188+JORNADA!O188+'DIETOLOGÍA(S)'!O188)</f>
        <v>0</v>
      </c>
      <c r="P188" s="77">
        <f>SUM(PACIENTES!P188+COMEDOR!P188+JORNADA!P188+'DIETOLOGÍA(S)'!P188)</f>
        <v>0</v>
      </c>
      <c r="Q188" s="77">
        <f>SUM(PACIENTES!Q188+COMEDOR!Q188+JORNADA!Q188+'DIETOLOGÍA(S)'!Q188)</f>
        <v>0</v>
      </c>
      <c r="R188" s="77">
        <f>SUM(PACIENTES!R188+COMEDOR!R188+JORNADA!R188+'DIETOLOGÍA(S)'!R188)</f>
        <v>0</v>
      </c>
      <c r="S188" s="77">
        <f>SUM(PACIENTES!S188+COMEDOR!S188+JORNADA!S188+'DIETOLOGÍA(S)'!S188)</f>
        <v>0</v>
      </c>
      <c r="T188" s="77">
        <f>SUM(PACIENTES!T188+COMEDOR!T188+JORNADA!T188+'DIETOLOGÍA(S)'!T188)</f>
        <v>0</v>
      </c>
      <c r="U188" s="77">
        <f>SUM(PACIENTES!U188+COMEDOR!U188+JORNADA!U188+'DIETOLOGÍA(S)'!U188)</f>
        <v>0</v>
      </c>
      <c r="V188" s="77">
        <f>SUM(PACIENTES!V188+COMEDOR!V188+JORNADA!V188+'DIETOLOGÍA(S)'!V188)</f>
        <v>0</v>
      </c>
      <c r="W188" s="77">
        <f>SUM(PACIENTES!W188+COMEDOR!W188+JORNADA!W188+'DIETOLOGÍA(S)'!W188)</f>
        <v>0</v>
      </c>
      <c r="X188" s="77">
        <f>SUM(PACIENTES!X188+COMEDOR!X188+JORNADA!X188+'DIETOLOGÍA(S)'!X188)</f>
        <v>0</v>
      </c>
      <c r="Y188" s="77">
        <f>SUM(PACIENTES!Y188+COMEDOR!Y188+JORNADA!Y188+'DIETOLOGÍA(S)'!Y188)</f>
        <v>0</v>
      </c>
      <c r="Z188" s="77">
        <f>SUM(PACIENTES!Z188+COMEDOR!Z188+JORNADA!Z188+'DIETOLOGÍA(S)'!Z188)</f>
        <v>0</v>
      </c>
      <c r="AA188" s="77">
        <f>SUM(PACIENTES!AA188+COMEDOR!AA188+JORNADA!AA188+'DIETOLOGÍA(S)'!AA188)</f>
        <v>0</v>
      </c>
      <c r="AB188" s="77">
        <f>SUM(PACIENTES!AB188+COMEDOR!AB188+JORNADA!AB188+'DIETOLOGÍA(S)'!AB188)</f>
        <v>0</v>
      </c>
      <c r="AC188" s="77">
        <f>SUM(PACIENTES!AC188+COMEDOR!AC188+JORNADA!AC188+'DIETOLOGÍA(S)'!AC188)</f>
        <v>0</v>
      </c>
      <c r="AD188" s="77">
        <f>SUM(PACIENTES!AD188+COMEDOR!AD188+JORNADA!AD188+'DIETOLOGÍA(S)'!AD188)</f>
        <v>1</v>
      </c>
      <c r="AE188" s="77">
        <f>SUM(PACIENTES!AE188+COMEDOR!AE188+JORNADA!AE188+'DIETOLOGÍA(S)'!AE188)</f>
        <v>1</v>
      </c>
      <c r="AF188" s="77">
        <f>SUM(PACIENTES!AF188+COMEDOR!AF188+JORNADA!AF188+'DIETOLOGÍA(S)'!AF188)</f>
        <v>0</v>
      </c>
      <c r="AG188" s="77">
        <f>SUM(PACIENTES!AG188+COMEDOR!AG188+JORNADA!AG188+'DIETOLOGÍA(S)'!AG188)</f>
        <v>0</v>
      </c>
      <c r="AH188" s="77">
        <f>SUM(PACIENTES!AH188+COMEDOR!AH188+JORNADA!AH188+'DIETOLOGÍA(S)'!AH188)</f>
        <v>0</v>
      </c>
      <c r="AI188" s="9">
        <f t="shared" si="7"/>
        <v>4</v>
      </c>
    </row>
    <row r="189" spans="1:35" ht="15.75" customHeight="1">
      <c r="A189" s="157">
        <v>2212005042</v>
      </c>
      <c r="B189" s="158" t="s">
        <v>197</v>
      </c>
      <c r="C189" s="159" t="s">
        <v>171</v>
      </c>
      <c r="D189" s="77">
        <f>SUM(PACIENTES!D189+COMEDOR!D189+JORNADA!D189+'DIETOLOGÍA(S)'!D189)</f>
        <v>151</v>
      </c>
      <c r="E189" s="77">
        <f>SUM(PACIENTES!E189+COMEDOR!E189+JORNADA!E189+'DIETOLOGÍA(S)'!E189)</f>
        <v>156</v>
      </c>
      <c r="F189" s="77">
        <f>SUM(PACIENTES!F189+COMEDOR!F189+JORNADA!F189+'DIETOLOGÍA(S)'!F189)</f>
        <v>130</v>
      </c>
      <c r="G189" s="77">
        <f>SUM(PACIENTES!G189+COMEDOR!G189+JORNADA!G189+'DIETOLOGÍA(S)'!G189)</f>
        <v>130</v>
      </c>
      <c r="H189" s="77">
        <f>SUM(PACIENTES!H189+COMEDOR!H189+JORNADA!H189+'DIETOLOGÍA(S)'!H189)</f>
        <v>161</v>
      </c>
      <c r="I189" s="77">
        <f>SUM(PACIENTES!I189+COMEDOR!I189+JORNADA!I189+'DIETOLOGÍA(S)'!I189)</f>
        <v>151</v>
      </c>
      <c r="J189" s="77">
        <f>SUM(PACIENTES!J189+COMEDOR!J189+JORNADA!J189+'DIETOLOGÍA(S)'!J189)</f>
        <v>151</v>
      </c>
      <c r="K189" s="77">
        <f>SUM(PACIENTES!K189+COMEDOR!K189+JORNADA!K189+'DIETOLOGÍA(S)'!K189)</f>
        <v>131</v>
      </c>
      <c r="L189" s="77">
        <f>SUM(PACIENTES!L189+COMEDOR!L189+JORNADA!L189+'DIETOLOGÍA(S)'!L189)</f>
        <v>151</v>
      </c>
      <c r="M189" s="77">
        <f>SUM(PACIENTES!M189+COMEDOR!M189+JORNADA!M189+'DIETOLOGÍA(S)'!M189)</f>
        <v>130</v>
      </c>
      <c r="N189" s="77">
        <f>SUM(PACIENTES!N189+COMEDOR!N189+JORNADA!N189+'DIETOLOGÍA(S)'!N189)</f>
        <v>130</v>
      </c>
      <c r="O189" s="77">
        <f>SUM(PACIENTES!O189+COMEDOR!O189+JORNADA!O189+'DIETOLOGÍA(S)'!O189)</f>
        <v>130</v>
      </c>
      <c r="P189" s="77">
        <f>SUM(PACIENTES!P189+COMEDOR!P189+JORNADA!P189+'DIETOLOGÍA(S)'!P189)</f>
        <v>151</v>
      </c>
      <c r="Q189" s="77">
        <f>SUM(PACIENTES!Q189+COMEDOR!Q189+JORNADA!Q189+'DIETOLOGÍA(S)'!Q189)</f>
        <v>151</v>
      </c>
      <c r="R189" s="77">
        <f>SUM(PACIENTES!R189+COMEDOR!R189+JORNADA!R189+'DIETOLOGÍA(S)'!R189)</f>
        <v>151</v>
      </c>
      <c r="S189" s="77">
        <f>SUM(PACIENTES!S189+COMEDOR!S189+JORNADA!S189+'DIETOLOGÍA(S)'!S189)</f>
        <v>169</v>
      </c>
      <c r="T189" s="77">
        <f>SUM(PACIENTES!T189+COMEDOR!T189+JORNADA!T189+'DIETOLOGÍA(S)'!T189)</f>
        <v>130</v>
      </c>
      <c r="U189" s="77">
        <f>SUM(PACIENTES!U189+COMEDOR!U189+JORNADA!U189+'DIETOLOGÍA(S)'!U189)</f>
        <v>130</v>
      </c>
      <c r="V189" s="77">
        <f>SUM(PACIENTES!V189+COMEDOR!V189+JORNADA!V189+'DIETOLOGÍA(S)'!V189)</f>
        <v>151</v>
      </c>
      <c r="W189" s="77">
        <f>SUM(PACIENTES!W189+COMEDOR!W189+JORNADA!W189+'DIETOLOGÍA(S)'!W189)</f>
        <v>161</v>
      </c>
      <c r="X189" s="77">
        <f>SUM(PACIENTES!X189+COMEDOR!X189+JORNADA!X189+'DIETOLOGÍA(S)'!X189)</f>
        <v>151</v>
      </c>
      <c r="Y189" s="77">
        <f>SUM(PACIENTES!Y189+COMEDOR!Y189+JORNADA!Y189+'DIETOLOGÍA(S)'!Y189)</f>
        <v>151</v>
      </c>
      <c r="Z189" s="77">
        <f>SUM(PACIENTES!Z189+COMEDOR!Z189+JORNADA!Z189+'DIETOLOGÍA(S)'!Z189)</f>
        <v>151</v>
      </c>
      <c r="AA189" s="77">
        <f>SUM(PACIENTES!AA189+COMEDOR!AA189+JORNADA!AA189+'DIETOLOGÍA(S)'!AA189)</f>
        <v>130</v>
      </c>
      <c r="AB189" s="77">
        <f>SUM(PACIENTES!AB189+COMEDOR!AB189+JORNADA!AB189+'DIETOLOGÍA(S)'!AB189)</f>
        <v>130</v>
      </c>
      <c r="AC189" s="77">
        <f>SUM(PACIENTES!AC189+COMEDOR!AC189+JORNADA!AC189+'DIETOLOGÍA(S)'!AC189)</f>
        <v>118</v>
      </c>
      <c r="AD189" s="77">
        <f>SUM(PACIENTES!AD189+COMEDOR!AD189+JORNADA!AD189+'DIETOLOGÍA(S)'!AD189)</f>
        <v>166</v>
      </c>
      <c r="AE189" s="77">
        <f>SUM(PACIENTES!AE189+COMEDOR!AE189+JORNADA!AE189+'DIETOLOGÍA(S)'!AE189)</f>
        <v>151</v>
      </c>
      <c r="AF189" s="77">
        <f>SUM(PACIENTES!AF189+COMEDOR!AF189+JORNADA!AF189+'DIETOLOGÍA(S)'!AF189)</f>
        <v>169</v>
      </c>
      <c r="AG189" s="77">
        <f>SUM(PACIENTES!AG189+COMEDOR!AG189+JORNADA!AG189+'DIETOLOGÍA(S)'!AG189)</f>
        <v>151</v>
      </c>
      <c r="AH189" s="77">
        <f>SUM(PACIENTES!AH189+COMEDOR!AH189+JORNADA!AH189+'DIETOLOGÍA(S)'!AH189)</f>
        <v>130</v>
      </c>
      <c r="AI189" s="40">
        <f t="shared" si="7"/>
        <v>4494</v>
      </c>
    </row>
    <row r="190" spans="1:35" ht="18.75" customHeight="1">
      <c r="A190" s="608" t="s">
        <v>198</v>
      </c>
      <c r="B190" s="606"/>
      <c r="C190" s="606"/>
      <c r="D190" s="606"/>
      <c r="E190" s="606"/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  <c r="P190" s="606"/>
      <c r="Q190" s="606"/>
      <c r="R190" s="606"/>
      <c r="S190" s="606"/>
      <c r="T190" s="606"/>
      <c r="U190" s="606"/>
      <c r="V190" s="606"/>
      <c r="W190" s="606"/>
      <c r="X190" s="606"/>
      <c r="Y190" s="606"/>
      <c r="Z190" s="606"/>
      <c r="AA190" s="606"/>
      <c r="AB190" s="606"/>
      <c r="AC190" s="606"/>
      <c r="AD190" s="606"/>
      <c r="AE190" s="606"/>
      <c r="AF190" s="606"/>
      <c r="AG190" s="606"/>
      <c r="AH190" s="607"/>
      <c r="AI190" s="44"/>
    </row>
    <row r="191" spans="1:35" ht="15.75" customHeight="1">
      <c r="A191" s="162">
        <v>2212004041</v>
      </c>
      <c r="B191" s="163" t="s">
        <v>199</v>
      </c>
      <c r="C191" s="164" t="s">
        <v>6</v>
      </c>
      <c r="D191" s="77">
        <f>SUM(PACIENTES!D191+COMEDOR!D191+JORNADA!D191+'DIETOLOGÍA(S)'!D191)</f>
        <v>0</v>
      </c>
      <c r="E191" s="77">
        <f>SUM(PACIENTES!E191+COMEDOR!E191+JORNADA!E191+'DIETOLOGÍA(S)'!E191)</f>
        <v>0</v>
      </c>
      <c r="F191" s="77">
        <f>SUM(PACIENTES!F191+COMEDOR!F191+JORNADA!F191+'DIETOLOGÍA(S)'!F191)</f>
        <v>0</v>
      </c>
      <c r="G191" s="77">
        <f>SUM(PACIENTES!G191+COMEDOR!G191+JORNADA!G191+'DIETOLOGÍA(S)'!G191)</f>
        <v>0</v>
      </c>
      <c r="H191" s="77">
        <f>SUM(PACIENTES!H191+COMEDOR!H191+JORNADA!H191+'DIETOLOGÍA(S)'!H191)</f>
        <v>0</v>
      </c>
      <c r="I191" s="77">
        <f>SUM(PACIENTES!I191+COMEDOR!I191+JORNADA!I191+'DIETOLOGÍA(S)'!I191)</f>
        <v>0</v>
      </c>
      <c r="J191" s="77">
        <f>SUM(PACIENTES!J191+COMEDOR!J191+JORNADA!J191+'DIETOLOGÍA(S)'!J191)</f>
        <v>0</v>
      </c>
      <c r="K191" s="77">
        <f>SUM(PACIENTES!K191+COMEDOR!K191+JORNADA!K191+'DIETOLOGÍA(S)'!K191)</f>
        <v>0</v>
      </c>
      <c r="L191" s="77">
        <f>SUM(PACIENTES!L191+COMEDOR!L191+JORNADA!L191+'DIETOLOGÍA(S)'!L191)</f>
        <v>0</v>
      </c>
      <c r="M191" s="77">
        <f>SUM(PACIENTES!M191+COMEDOR!M191+JORNADA!M191+'DIETOLOGÍA(S)'!M191)</f>
        <v>0</v>
      </c>
      <c r="N191" s="77">
        <f>SUM(PACIENTES!N191+COMEDOR!N191+JORNADA!N191+'DIETOLOGÍA(S)'!N191)</f>
        <v>0</v>
      </c>
      <c r="O191" s="77">
        <f>SUM(PACIENTES!O191+COMEDOR!O191+JORNADA!O191+'DIETOLOGÍA(S)'!O191)</f>
        <v>0</v>
      </c>
      <c r="P191" s="77">
        <f>SUM(PACIENTES!P191+COMEDOR!P191+JORNADA!P191+'DIETOLOGÍA(S)'!P191)</f>
        <v>0</v>
      </c>
      <c r="Q191" s="77">
        <f>SUM(PACIENTES!Q191+COMEDOR!Q191+JORNADA!Q191+'DIETOLOGÍA(S)'!Q191)</f>
        <v>0</v>
      </c>
      <c r="R191" s="77">
        <f>SUM(PACIENTES!R191+COMEDOR!R191+JORNADA!R191+'DIETOLOGÍA(S)'!R191)</f>
        <v>0</v>
      </c>
      <c r="S191" s="77">
        <f>SUM(PACIENTES!S191+COMEDOR!S191+JORNADA!S191+'DIETOLOGÍA(S)'!S191)</f>
        <v>0</v>
      </c>
      <c r="T191" s="77">
        <f>SUM(PACIENTES!T191+COMEDOR!T191+JORNADA!T191+'DIETOLOGÍA(S)'!T191)</f>
        <v>0</v>
      </c>
      <c r="U191" s="77">
        <f>SUM(PACIENTES!U191+COMEDOR!U191+JORNADA!U191+'DIETOLOGÍA(S)'!U191)</f>
        <v>0</v>
      </c>
      <c r="V191" s="77">
        <f>SUM(PACIENTES!V191+COMEDOR!V191+JORNADA!V191+'DIETOLOGÍA(S)'!V191)</f>
        <v>0</v>
      </c>
      <c r="W191" s="77">
        <f>SUM(PACIENTES!W191+COMEDOR!W191+JORNADA!W191+'DIETOLOGÍA(S)'!W191)</f>
        <v>0</v>
      </c>
      <c r="X191" s="77">
        <f>SUM(PACIENTES!X191+COMEDOR!X191+JORNADA!X191+'DIETOLOGÍA(S)'!X191)</f>
        <v>0</v>
      </c>
      <c r="Y191" s="77">
        <f>SUM(PACIENTES!Y191+COMEDOR!Y191+JORNADA!Y191+'DIETOLOGÍA(S)'!Y191)</f>
        <v>0</v>
      </c>
      <c r="Z191" s="77">
        <f>SUM(PACIENTES!Z191+COMEDOR!Z191+JORNADA!Z191+'DIETOLOGÍA(S)'!Z191)</f>
        <v>0</v>
      </c>
      <c r="AA191" s="77">
        <f>SUM(PACIENTES!AA191+COMEDOR!AA191+JORNADA!AA191+'DIETOLOGÍA(S)'!AA191)</f>
        <v>0</v>
      </c>
      <c r="AB191" s="77">
        <f>SUM(PACIENTES!AB191+COMEDOR!AB191+JORNADA!AB191+'DIETOLOGÍA(S)'!AB191)</f>
        <v>0</v>
      </c>
      <c r="AC191" s="77">
        <f>SUM(PACIENTES!AC191+COMEDOR!AC191+JORNADA!AC191+'DIETOLOGÍA(S)'!AC191)</f>
        <v>0</v>
      </c>
      <c r="AD191" s="77">
        <f>SUM(PACIENTES!AD191+COMEDOR!AD191+JORNADA!AD191+'DIETOLOGÍA(S)'!AD191)</f>
        <v>0</v>
      </c>
      <c r="AE191" s="77">
        <f>SUM(PACIENTES!AE191+COMEDOR!AE191+JORNADA!AE191+'DIETOLOGÍA(S)'!AE191)</f>
        <v>0</v>
      </c>
      <c r="AF191" s="77">
        <f>SUM(PACIENTES!AF191+COMEDOR!AF191+JORNADA!AF191+'DIETOLOGÍA(S)'!AF191)</f>
        <v>0</v>
      </c>
      <c r="AG191" s="77">
        <f>SUM(PACIENTES!AG191+COMEDOR!AG191+JORNADA!AG191+'DIETOLOGÍA(S)'!AG191)</f>
        <v>0</v>
      </c>
      <c r="AH191" s="77">
        <f>SUM(PACIENTES!AH191+COMEDOR!AH191+JORNADA!AH191+'DIETOLOGÍA(S)'!AH191)</f>
        <v>0</v>
      </c>
      <c r="AI191" s="48">
        <f t="shared" ref="AI191:AI224" si="8">SUM(D191:AH191)</f>
        <v>0</v>
      </c>
    </row>
    <row r="192" spans="1:35" ht="15.75" customHeight="1">
      <c r="A192" s="165">
        <v>2212008002</v>
      </c>
      <c r="B192" s="166" t="s">
        <v>200</v>
      </c>
      <c r="C192" s="167" t="s">
        <v>86</v>
      </c>
      <c r="D192" s="77">
        <f>SUM(PACIENTES!D192+COMEDOR!D192+JORNADA!D192+'DIETOLOGÍA(S)'!D192)</f>
        <v>30</v>
      </c>
      <c r="E192" s="77">
        <f>SUM(PACIENTES!E192+COMEDOR!E192+JORNADA!E192+'DIETOLOGÍA(S)'!E192)</f>
        <v>0</v>
      </c>
      <c r="F192" s="77">
        <f>SUM(PACIENTES!F192+COMEDOR!F192+JORNADA!F192+'DIETOLOGÍA(S)'!F192)</f>
        <v>0</v>
      </c>
      <c r="G192" s="77">
        <f>SUM(PACIENTES!G192+COMEDOR!G192+JORNADA!G192+'DIETOLOGÍA(S)'!G192)</f>
        <v>0</v>
      </c>
      <c r="H192" s="77">
        <f>SUM(PACIENTES!H192+COMEDOR!H192+JORNADA!H192+'DIETOLOGÍA(S)'!H192)</f>
        <v>0</v>
      </c>
      <c r="I192" s="77">
        <f>SUM(PACIENTES!I192+COMEDOR!I192+JORNADA!I192+'DIETOLOGÍA(S)'!I192)</f>
        <v>0</v>
      </c>
      <c r="J192" s="77">
        <f>SUM(PACIENTES!J192+COMEDOR!J192+JORNADA!J192+'DIETOLOGÍA(S)'!J192)</f>
        <v>61</v>
      </c>
      <c r="K192" s="77">
        <f>SUM(PACIENTES!K192+COMEDOR!K192+JORNADA!K192+'DIETOLOGÍA(S)'!K192)</f>
        <v>0</v>
      </c>
      <c r="L192" s="77">
        <f>SUM(PACIENTES!L192+COMEDOR!L192+JORNADA!L192+'DIETOLOGÍA(S)'!L192)</f>
        <v>30</v>
      </c>
      <c r="M192" s="77">
        <f>SUM(PACIENTES!M192+COMEDOR!M192+JORNADA!M192+'DIETOLOGÍA(S)'!M192)</f>
        <v>0</v>
      </c>
      <c r="N192" s="77">
        <f>SUM(PACIENTES!N192+COMEDOR!N192+JORNADA!N192+'DIETOLOGÍA(S)'!N192)</f>
        <v>0</v>
      </c>
      <c r="O192" s="77">
        <f>SUM(PACIENTES!O192+COMEDOR!O192+JORNADA!O192+'DIETOLOGÍA(S)'!O192)</f>
        <v>0</v>
      </c>
      <c r="P192" s="77">
        <f>SUM(PACIENTES!P192+COMEDOR!P192+JORNADA!P192+'DIETOLOGÍA(S)'!P192)</f>
        <v>30</v>
      </c>
      <c r="Q192" s="77">
        <f>SUM(PACIENTES!Q192+COMEDOR!Q192+JORNADA!Q192+'DIETOLOGÍA(S)'!Q192)</f>
        <v>1</v>
      </c>
      <c r="R192" s="77">
        <f>SUM(PACIENTES!R192+COMEDOR!R192+JORNADA!R192+'DIETOLOGÍA(S)'!R192)</f>
        <v>0</v>
      </c>
      <c r="S192" s="77">
        <f>SUM(PACIENTES!S192+COMEDOR!S192+JORNADA!S192+'DIETOLOGÍA(S)'!S192)</f>
        <v>30</v>
      </c>
      <c r="T192" s="77">
        <f>SUM(PACIENTES!T192+COMEDOR!T192+JORNADA!T192+'DIETOLOGÍA(S)'!T192)</f>
        <v>0</v>
      </c>
      <c r="U192" s="77">
        <f>SUM(PACIENTES!U192+COMEDOR!U192+JORNADA!U192+'DIETOLOGÍA(S)'!U192)</f>
        <v>0</v>
      </c>
      <c r="V192" s="77">
        <f>SUM(PACIENTES!V192+COMEDOR!V192+JORNADA!V192+'DIETOLOGÍA(S)'!V192)</f>
        <v>0</v>
      </c>
      <c r="W192" s="77">
        <f>SUM(PACIENTES!W192+COMEDOR!W192+JORNADA!W192+'DIETOLOGÍA(S)'!W192)</f>
        <v>0</v>
      </c>
      <c r="X192" s="77">
        <f>SUM(PACIENTES!X192+COMEDOR!X192+JORNADA!X192+'DIETOLOGÍA(S)'!X192)</f>
        <v>1</v>
      </c>
      <c r="Y192" s="77">
        <f>SUM(PACIENTES!Y192+COMEDOR!Y192+JORNADA!Y192+'DIETOLOGÍA(S)'!Y192)</f>
        <v>30</v>
      </c>
      <c r="Z192" s="77">
        <f>SUM(PACIENTES!Z192+COMEDOR!Z192+JORNADA!Z192+'DIETOLOGÍA(S)'!Z192)</f>
        <v>0</v>
      </c>
      <c r="AA192" s="77">
        <f>SUM(PACIENTES!AA192+COMEDOR!AA192+JORNADA!AA192+'DIETOLOGÍA(S)'!AA192)</f>
        <v>0</v>
      </c>
      <c r="AB192" s="77">
        <f>SUM(PACIENTES!AB192+COMEDOR!AB192+JORNADA!AB192+'DIETOLOGÍA(S)'!AB192)</f>
        <v>27</v>
      </c>
      <c r="AC192" s="77">
        <f>SUM(PACIENTES!AC192+COMEDOR!AC192+JORNADA!AC192+'DIETOLOGÍA(S)'!AC192)</f>
        <v>0</v>
      </c>
      <c r="AD192" s="77">
        <f>SUM(PACIENTES!AD192+COMEDOR!AD192+JORNADA!AD192+'DIETOLOGÍA(S)'!AD192)</f>
        <v>30</v>
      </c>
      <c r="AE192" s="77">
        <f>SUM(PACIENTES!AE192+COMEDOR!AE192+JORNADA!AE192+'DIETOLOGÍA(S)'!AE192)</f>
        <v>31</v>
      </c>
      <c r="AF192" s="77">
        <f>SUM(PACIENTES!AF192+COMEDOR!AF192+JORNADA!AF192+'DIETOLOGÍA(S)'!AF192)</f>
        <v>0</v>
      </c>
      <c r="AG192" s="77">
        <f>SUM(PACIENTES!AG192+COMEDOR!AG192+JORNADA!AG192+'DIETOLOGÍA(S)'!AG192)</f>
        <v>0</v>
      </c>
      <c r="AH192" s="77">
        <f>SUM(PACIENTES!AH192+COMEDOR!AH192+JORNADA!AH192+'DIETOLOGÍA(S)'!AH192)</f>
        <v>0</v>
      </c>
      <c r="AI192" s="9">
        <f t="shared" si="8"/>
        <v>301</v>
      </c>
    </row>
    <row r="193" spans="1:35" ht="15.75" customHeight="1">
      <c r="A193" s="165">
        <v>2212008007</v>
      </c>
      <c r="B193" s="166" t="s">
        <v>201</v>
      </c>
      <c r="C193" s="167" t="s">
        <v>8</v>
      </c>
      <c r="D193" s="77">
        <f>SUM(PACIENTES!D193+COMEDOR!D193+JORNADA!D193+'DIETOLOGÍA(S)'!D193)</f>
        <v>0</v>
      </c>
      <c r="E193" s="77">
        <f>SUM(PACIENTES!E193+COMEDOR!E193+JORNADA!E193+'DIETOLOGÍA(S)'!E193)</f>
        <v>0</v>
      </c>
      <c r="F193" s="77">
        <f>SUM(PACIENTES!F193+COMEDOR!F193+JORNADA!F193+'DIETOLOGÍA(S)'!F193)</f>
        <v>0</v>
      </c>
      <c r="G193" s="77">
        <f>SUM(PACIENTES!G193+COMEDOR!G193+JORNADA!G193+'DIETOLOGÍA(S)'!G193)</f>
        <v>0</v>
      </c>
      <c r="H193" s="77">
        <f>SUM(PACIENTES!H193+COMEDOR!H193+JORNADA!H193+'DIETOLOGÍA(S)'!H193)</f>
        <v>0</v>
      </c>
      <c r="I193" s="77">
        <f>SUM(PACIENTES!I193+COMEDOR!I193+JORNADA!I193+'DIETOLOGÍA(S)'!I193)</f>
        <v>0</v>
      </c>
      <c r="J193" s="77">
        <f>SUM(PACIENTES!J193+COMEDOR!J193+JORNADA!J193+'DIETOLOGÍA(S)'!J193)</f>
        <v>5</v>
      </c>
      <c r="K193" s="77">
        <f>SUM(PACIENTES!K193+COMEDOR!K193+JORNADA!K193+'DIETOLOGÍA(S)'!K193)</f>
        <v>0</v>
      </c>
      <c r="L193" s="77">
        <f>SUM(PACIENTES!L193+COMEDOR!L193+JORNADA!L193+'DIETOLOGÍA(S)'!L193)</f>
        <v>0</v>
      </c>
      <c r="M193" s="77">
        <f>SUM(PACIENTES!M193+COMEDOR!M193+JORNADA!M193+'DIETOLOGÍA(S)'!M193)</f>
        <v>0</v>
      </c>
      <c r="N193" s="77">
        <f>SUM(PACIENTES!N193+COMEDOR!N193+JORNADA!N193+'DIETOLOGÍA(S)'!N193)</f>
        <v>0</v>
      </c>
      <c r="O193" s="77">
        <f>SUM(PACIENTES!O193+COMEDOR!O193+JORNADA!O193+'DIETOLOGÍA(S)'!O193)</f>
        <v>0</v>
      </c>
      <c r="P193" s="77">
        <f>SUM(PACIENTES!P193+COMEDOR!P193+JORNADA!P193+'DIETOLOGÍA(S)'!P193)</f>
        <v>0</v>
      </c>
      <c r="Q193" s="77">
        <f>SUM(PACIENTES!Q193+COMEDOR!Q193+JORNADA!Q193+'DIETOLOGÍA(S)'!Q193)</f>
        <v>5</v>
      </c>
      <c r="R193" s="77">
        <f>SUM(PACIENTES!R193+COMEDOR!R193+JORNADA!R193+'DIETOLOGÍA(S)'!R193)</f>
        <v>0</v>
      </c>
      <c r="S193" s="77">
        <f>SUM(PACIENTES!S193+COMEDOR!S193+JORNADA!S193+'DIETOLOGÍA(S)'!S193)</f>
        <v>0</v>
      </c>
      <c r="T193" s="77">
        <f>SUM(PACIENTES!T193+COMEDOR!T193+JORNADA!T193+'DIETOLOGÍA(S)'!T193)</f>
        <v>0</v>
      </c>
      <c r="U193" s="77">
        <f>SUM(PACIENTES!U193+COMEDOR!U193+JORNADA!U193+'DIETOLOGÍA(S)'!U193)</f>
        <v>0</v>
      </c>
      <c r="V193" s="77">
        <f>SUM(PACIENTES!V193+COMEDOR!V193+JORNADA!V193+'DIETOLOGÍA(S)'!V193)</f>
        <v>0</v>
      </c>
      <c r="W193" s="77">
        <f>SUM(PACIENTES!W193+COMEDOR!W193+JORNADA!W193+'DIETOLOGÍA(S)'!W193)</f>
        <v>0</v>
      </c>
      <c r="X193" s="77">
        <f>SUM(PACIENTES!X193+COMEDOR!X193+JORNADA!X193+'DIETOLOGÍA(S)'!X193)</f>
        <v>5</v>
      </c>
      <c r="Y193" s="77">
        <f>SUM(PACIENTES!Y193+COMEDOR!Y193+JORNADA!Y193+'DIETOLOGÍA(S)'!Y193)</f>
        <v>0</v>
      </c>
      <c r="Z193" s="77">
        <f>SUM(PACIENTES!Z193+COMEDOR!Z193+JORNADA!Z193+'DIETOLOGÍA(S)'!Z193)</f>
        <v>0</v>
      </c>
      <c r="AA193" s="77">
        <f>SUM(PACIENTES!AA193+COMEDOR!AA193+JORNADA!AA193+'DIETOLOGÍA(S)'!AA193)</f>
        <v>0</v>
      </c>
      <c r="AB193" s="77">
        <f>SUM(PACIENTES!AB193+COMEDOR!AB193+JORNADA!AB193+'DIETOLOGÍA(S)'!AB193)</f>
        <v>0</v>
      </c>
      <c r="AC193" s="77">
        <f>SUM(PACIENTES!AC193+COMEDOR!AC193+JORNADA!AC193+'DIETOLOGÍA(S)'!AC193)</f>
        <v>0</v>
      </c>
      <c r="AD193" s="77">
        <f>SUM(PACIENTES!AD193+COMEDOR!AD193+JORNADA!AD193+'DIETOLOGÍA(S)'!AD193)</f>
        <v>0</v>
      </c>
      <c r="AE193" s="77">
        <f>SUM(PACIENTES!AE193+COMEDOR!AE193+JORNADA!AE193+'DIETOLOGÍA(S)'!AE193)</f>
        <v>5</v>
      </c>
      <c r="AF193" s="77">
        <f>SUM(PACIENTES!AF193+COMEDOR!AF193+JORNADA!AF193+'DIETOLOGÍA(S)'!AF193)</f>
        <v>0</v>
      </c>
      <c r="AG193" s="77">
        <f>SUM(PACIENTES!AG193+COMEDOR!AG193+JORNADA!AG193+'DIETOLOGÍA(S)'!AG193)</f>
        <v>0</v>
      </c>
      <c r="AH193" s="77">
        <f>SUM(PACIENTES!AH193+COMEDOR!AH193+JORNADA!AH193+'DIETOLOGÍA(S)'!AH193)</f>
        <v>0</v>
      </c>
      <c r="AI193" s="9">
        <f t="shared" si="8"/>
        <v>20</v>
      </c>
    </row>
    <row r="194" spans="1:35" ht="15.75" customHeight="1">
      <c r="A194" s="165">
        <v>2212008008</v>
      </c>
      <c r="B194" s="166" t="s">
        <v>202</v>
      </c>
      <c r="C194" s="167" t="s">
        <v>8</v>
      </c>
      <c r="D194" s="77">
        <f>SUM(PACIENTES!D194+COMEDOR!D194+JORNADA!D194+'DIETOLOGÍA(S)'!D194)</f>
        <v>0</v>
      </c>
      <c r="E194" s="77">
        <f>SUM(PACIENTES!E194+COMEDOR!E194+JORNADA!E194+'DIETOLOGÍA(S)'!E194)</f>
        <v>0</v>
      </c>
      <c r="F194" s="77">
        <f>SUM(PACIENTES!F194+COMEDOR!F194+JORNADA!F194+'DIETOLOGÍA(S)'!F194)</f>
        <v>0</v>
      </c>
      <c r="G194" s="77">
        <f>SUM(PACIENTES!G194+COMEDOR!G194+JORNADA!G194+'DIETOLOGÍA(S)'!G194)</f>
        <v>0</v>
      </c>
      <c r="H194" s="77">
        <f>SUM(PACIENTES!H194+COMEDOR!H194+JORNADA!H194+'DIETOLOGÍA(S)'!H194)</f>
        <v>0</v>
      </c>
      <c r="I194" s="77">
        <f>SUM(PACIENTES!I194+COMEDOR!I194+JORNADA!I194+'DIETOLOGÍA(S)'!I194)</f>
        <v>0</v>
      </c>
      <c r="J194" s="77">
        <f>SUM(PACIENTES!J194+COMEDOR!J194+JORNADA!J194+'DIETOLOGÍA(S)'!J194)</f>
        <v>0</v>
      </c>
      <c r="K194" s="77">
        <f>SUM(PACIENTES!K194+COMEDOR!K194+JORNADA!K194+'DIETOLOGÍA(S)'!K194)</f>
        <v>0</v>
      </c>
      <c r="L194" s="77">
        <f>SUM(PACIENTES!L194+COMEDOR!L194+JORNADA!L194+'DIETOLOGÍA(S)'!L194)</f>
        <v>0</v>
      </c>
      <c r="M194" s="77">
        <f>SUM(PACIENTES!M194+COMEDOR!M194+JORNADA!M194+'DIETOLOGÍA(S)'!M194)</f>
        <v>0</v>
      </c>
      <c r="N194" s="77">
        <f>SUM(PACIENTES!N194+COMEDOR!N194+JORNADA!N194+'DIETOLOGÍA(S)'!N194)</f>
        <v>0</v>
      </c>
      <c r="O194" s="77">
        <f>SUM(PACIENTES!O194+COMEDOR!O194+JORNADA!O194+'DIETOLOGÍA(S)'!O194)</f>
        <v>0</v>
      </c>
      <c r="P194" s="77">
        <f>SUM(PACIENTES!P194+COMEDOR!P194+JORNADA!P194+'DIETOLOGÍA(S)'!P194)</f>
        <v>0</v>
      </c>
      <c r="Q194" s="77">
        <f>SUM(PACIENTES!Q194+COMEDOR!Q194+JORNADA!Q194+'DIETOLOGÍA(S)'!Q194)</f>
        <v>0</v>
      </c>
      <c r="R194" s="77">
        <f>SUM(PACIENTES!R194+COMEDOR!R194+JORNADA!R194+'DIETOLOGÍA(S)'!R194)</f>
        <v>0</v>
      </c>
      <c r="S194" s="77">
        <f>SUM(PACIENTES!S194+COMEDOR!S194+JORNADA!S194+'DIETOLOGÍA(S)'!S194)</f>
        <v>0</v>
      </c>
      <c r="T194" s="77">
        <f>SUM(PACIENTES!T194+COMEDOR!T194+JORNADA!T194+'DIETOLOGÍA(S)'!T194)</f>
        <v>0</v>
      </c>
      <c r="U194" s="77">
        <f>SUM(PACIENTES!U194+COMEDOR!U194+JORNADA!U194+'DIETOLOGÍA(S)'!U194)</f>
        <v>0</v>
      </c>
      <c r="V194" s="77">
        <f>SUM(PACIENTES!V194+COMEDOR!V194+JORNADA!V194+'DIETOLOGÍA(S)'!V194)</f>
        <v>0</v>
      </c>
      <c r="W194" s="77">
        <f>SUM(PACIENTES!W194+COMEDOR!W194+JORNADA!W194+'DIETOLOGÍA(S)'!W194)</f>
        <v>0</v>
      </c>
      <c r="X194" s="77">
        <f>SUM(PACIENTES!X194+COMEDOR!X194+JORNADA!X194+'DIETOLOGÍA(S)'!X194)</f>
        <v>0</v>
      </c>
      <c r="Y194" s="77">
        <f>SUM(PACIENTES!Y194+COMEDOR!Y194+JORNADA!Y194+'DIETOLOGÍA(S)'!Y194)</f>
        <v>0</v>
      </c>
      <c r="Z194" s="77">
        <f>SUM(PACIENTES!Z194+COMEDOR!Z194+JORNADA!Z194+'DIETOLOGÍA(S)'!Z194)</f>
        <v>0</v>
      </c>
      <c r="AA194" s="77">
        <f>SUM(PACIENTES!AA194+COMEDOR!AA194+JORNADA!AA194+'DIETOLOGÍA(S)'!AA194)</f>
        <v>80</v>
      </c>
      <c r="AB194" s="77">
        <f>SUM(PACIENTES!AB194+COMEDOR!AB194+JORNADA!AB194+'DIETOLOGÍA(S)'!AB194)</f>
        <v>300</v>
      </c>
      <c r="AC194" s="77">
        <f>SUM(PACIENTES!AC194+COMEDOR!AC194+JORNADA!AC194+'DIETOLOGÍA(S)'!AC194)</f>
        <v>0</v>
      </c>
      <c r="AD194" s="77">
        <f>SUM(PACIENTES!AD194+COMEDOR!AD194+JORNADA!AD194+'DIETOLOGÍA(S)'!AD194)</f>
        <v>0</v>
      </c>
      <c r="AE194" s="77">
        <f>SUM(PACIENTES!AE194+COMEDOR!AE194+JORNADA!AE194+'DIETOLOGÍA(S)'!AE194)</f>
        <v>0</v>
      </c>
      <c r="AF194" s="77">
        <f>SUM(PACIENTES!AF194+COMEDOR!AF194+JORNADA!AF194+'DIETOLOGÍA(S)'!AF194)</f>
        <v>0</v>
      </c>
      <c r="AG194" s="77">
        <f>SUM(PACIENTES!AG194+COMEDOR!AG194+JORNADA!AG194+'DIETOLOGÍA(S)'!AG194)</f>
        <v>0</v>
      </c>
      <c r="AH194" s="77">
        <f>SUM(PACIENTES!AH194+COMEDOR!AH194+JORNADA!AH194+'DIETOLOGÍA(S)'!AH194)</f>
        <v>80</v>
      </c>
      <c r="AI194" s="9">
        <f t="shared" si="8"/>
        <v>460</v>
      </c>
    </row>
    <row r="195" spans="1:35" ht="15.75" customHeight="1">
      <c r="A195" s="165">
        <v>2212008009</v>
      </c>
      <c r="B195" s="166" t="s">
        <v>203</v>
      </c>
      <c r="C195" s="167" t="s">
        <v>8</v>
      </c>
      <c r="D195" s="77">
        <f>SUM(PACIENTES!D195+COMEDOR!D195+JORNADA!D195+'DIETOLOGÍA(S)'!D195)</f>
        <v>0</v>
      </c>
      <c r="E195" s="77">
        <f>SUM(PACIENTES!E195+COMEDOR!E195+JORNADA!E195+'DIETOLOGÍA(S)'!E195)</f>
        <v>0</v>
      </c>
      <c r="F195" s="77">
        <f>SUM(PACIENTES!F195+COMEDOR!F195+JORNADA!F195+'DIETOLOGÍA(S)'!F195)</f>
        <v>0</v>
      </c>
      <c r="G195" s="77">
        <f>SUM(PACIENTES!G195+COMEDOR!G195+JORNADA!G195+'DIETOLOGÍA(S)'!G195)</f>
        <v>0</v>
      </c>
      <c r="H195" s="77">
        <f>SUM(PACIENTES!H195+COMEDOR!H195+JORNADA!H195+'DIETOLOGÍA(S)'!H195)</f>
        <v>0</v>
      </c>
      <c r="I195" s="77">
        <f>SUM(PACIENTES!I195+COMEDOR!I195+JORNADA!I195+'DIETOLOGÍA(S)'!I195)</f>
        <v>0</v>
      </c>
      <c r="J195" s="77">
        <f>SUM(PACIENTES!J195+COMEDOR!J195+JORNADA!J195+'DIETOLOGÍA(S)'!J195)</f>
        <v>0</v>
      </c>
      <c r="K195" s="77">
        <f>SUM(PACIENTES!K195+COMEDOR!K195+JORNADA!K195+'DIETOLOGÍA(S)'!K195)</f>
        <v>0</v>
      </c>
      <c r="L195" s="77">
        <f>SUM(PACIENTES!L195+COMEDOR!L195+JORNADA!L195+'DIETOLOGÍA(S)'!L195)</f>
        <v>0</v>
      </c>
      <c r="M195" s="77">
        <f>SUM(PACIENTES!M195+COMEDOR!M195+JORNADA!M195+'DIETOLOGÍA(S)'!M195)</f>
        <v>0</v>
      </c>
      <c r="N195" s="77">
        <f>SUM(PACIENTES!N195+COMEDOR!N195+JORNADA!N195+'DIETOLOGÍA(S)'!N195)</f>
        <v>0</v>
      </c>
      <c r="O195" s="77">
        <f>SUM(PACIENTES!O195+COMEDOR!O195+JORNADA!O195+'DIETOLOGÍA(S)'!O195)</f>
        <v>0</v>
      </c>
      <c r="P195" s="77">
        <f>SUM(PACIENTES!P195+COMEDOR!P195+JORNADA!P195+'DIETOLOGÍA(S)'!P195)</f>
        <v>0</v>
      </c>
      <c r="Q195" s="77">
        <f>SUM(PACIENTES!Q195+COMEDOR!Q195+JORNADA!Q195+'DIETOLOGÍA(S)'!Q195)</f>
        <v>0</v>
      </c>
      <c r="R195" s="77">
        <f>SUM(PACIENTES!R195+COMEDOR!R195+JORNADA!R195+'DIETOLOGÍA(S)'!R195)</f>
        <v>0</v>
      </c>
      <c r="S195" s="77">
        <f>SUM(PACIENTES!S195+COMEDOR!S195+JORNADA!S195+'DIETOLOGÍA(S)'!S195)</f>
        <v>0</v>
      </c>
      <c r="T195" s="77">
        <f>SUM(PACIENTES!T195+COMEDOR!T195+JORNADA!T195+'DIETOLOGÍA(S)'!T195)</f>
        <v>0</v>
      </c>
      <c r="U195" s="77">
        <f>SUM(PACIENTES!U195+COMEDOR!U195+JORNADA!U195+'DIETOLOGÍA(S)'!U195)</f>
        <v>0</v>
      </c>
      <c r="V195" s="77">
        <f>SUM(PACIENTES!V195+COMEDOR!V195+JORNADA!V195+'DIETOLOGÍA(S)'!V195)</f>
        <v>0</v>
      </c>
      <c r="W195" s="77">
        <f>SUM(PACIENTES!W195+COMEDOR!W195+JORNADA!W195+'DIETOLOGÍA(S)'!W195)</f>
        <v>0</v>
      </c>
      <c r="X195" s="77">
        <f>SUM(PACIENTES!X195+COMEDOR!X195+JORNADA!X195+'DIETOLOGÍA(S)'!X195)</f>
        <v>0</v>
      </c>
      <c r="Y195" s="77">
        <f>SUM(PACIENTES!Y195+COMEDOR!Y195+JORNADA!Y195+'DIETOLOGÍA(S)'!Y195)</f>
        <v>0</v>
      </c>
      <c r="Z195" s="77">
        <f>SUM(PACIENTES!Z195+COMEDOR!Z195+JORNADA!Z195+'DIETOLOGÍA(S)'!Z195)</f>
        <v>0</v>
      </c>
      <c r="AA195" s="77">
        <f>SUM(PACIENTES!AA195+COMEDOR!AA195+JORNADA!AA195+'DIETOLOGÍA(S)'!AA195)</f>
        <v>0</v>
      </c>
      <c r="AB195" s="77">
        <f>SUM(PACIENTES!AB195+COMEDOR!AB195+JORNADA!AB195+'DIETOLOGÍA(S)'!AB195)</f>
        <v>0</v>
      </c>
      <c r="AC195" s="77">
        <f>SUM(PACIENTES!AC195+COMEDOR!AC195+JORNADA!AC195+'DIETOLOGÍA(S)'!AC195)</f>
        <v>0</v>
      </c>
      <c r="AD195" s="77">
        <f>SUM(PACIENTES!AD195+COMEDOR!AD195+JORNADA!AD195+'DIETOLOGÍA(S)'!AD195)</f>
        <v>0</v>
      </c>
      <c r="AE195" s="77">
        <f>SUM(PACIENTES!AE195+COMEDOR!AE195+JORNADA!AE195+'DIETOLOGÍA(S)'!AE195)</f>
        <v>0</v>
      </c>
      <c r="AF195" s="77">
        <f>SUM(PACIENTES!AF195+COMEDOR!AF195+JORNADA!AF195+'DIETOLOGÍA(S)'!AF195)</f>
        <v>0</v>
      </c>
      <c r="AG195" s="77">
        <f>SUM(PACIENTES!AG195+COMEDOR!AG195+JORNADA!AG195+'DIETOLOGÍA(S)'!AG195)</f>
        <v>0</v>
      </c>
      <c r="AH195" s="77">
        <f>SUM(PACIENTES!AH195+COMEDOR!AH195+JORNADA!AH195+'DIETOLOGÍA(S)'!AH195)</f>
        <v>0</v>
      </c>
      <c r="AI195" s="9">
        <f t="shared" si="8"/>
        <v>0</v>
      </c>
    </row>
    <row r="196" spans="1:35" ht="15.75" customHeight="1">
      <c r="A196" s="165">
        <v>2212008010</v>
      </c>
      <c r="B196" s="166" t="s">
        <v>204</v>
      </c>
      <c r="C196" s="167" t="s">
        <v>86</v>
      </c>
      <c r="D196" s="77">
        <f>SUM(PACIENTES!D196+COMEDOR!D196+JORNADA!D196+'DIETOLOGÍA(S)'!D196)</f>
        <v>12</v>
      </c>
      <c r="E196" s="77">
        <f>SUM(PACIENTES!E196+COMEDOR!E196+JORNADA!E196+'DIETOLOGÍA(S)'!E196)</f>
        <v>12</v>
      </c>
      <c r="F196" s="77">
        <f>SUM(PACIENTES!F196+COMEDOR!F196+JORNADA!F196+'DIETOLOGÍA(S)'!F196)</f>
        <v>15</v>
      </c>
      <c r="G196" s="77">
        <f>SUM(PACIENTES!G196+COMEDOR!G196+JORNADA!G196+'DIETOLOGÍA(S)'!G196)</f>
        <v>37</v>
      </c>
      <c r="H196" s="77">
        <f>SUM(PACIENTES!H196+COMEDOR!H196+JORNADA!H196+'DIETOLOGÍA(S)'!H196)</f>
        <v>12</v>
      </c>
      <c r="I196" s="77">
        <f>SUM(PACIENTES!I196+COMEDOR!I196+JORNADA!I196+'DIETOLOGÍA(S)'!I196)</f>
        <v>55</v>
      </c>
      <c r="J196" s="77">
        <f>SUM(PACIENTES!J196+COMEDOR!J196+JORNADA!J196+'DIETOLOGÍA(S)'!J196)</f>
        <v>13</v>
      </c>
      <c r="K196" s="77">
        <f>SUM(PACIENTES!K196+COMEDOR!K196+JORNADA!K196+'DIETOLOGÍA(S)'!K196)</f>
        <v>12</v>
      </c>
      <c r="L196" s="77">
        <f>SUM(PACIENTES!L196+COMEDOR!L196+JORNADA!L196+'DIETOLOGÍA(S)'!L196)</f>
        <v>24</v>
      </c>
      <c r="M196" s="77">
        <f>SUM(PACIENTES!M196+COMEDOR!M196+JORNADA!M196+'DIETOLOGÍA(S)'!M196)</f>
        <v>37</v>
      </c>
      <c r="N196" s="77">
        <f>SUM(PACIENTES!N196+COMEDOR!N196+JORNADA!N196+'DIETOLOGÍA(S)'!N196)</f>
        <v>15</v>
      </c>
      <c r="O196" s="77">
        <f>SUM(PACIENTES!O196+COMEDOR!O196+JORNADA!O196+'DIETOLOGÍA(S)'!O196)</f>
        <v>15</v>
      </c>
      <c r="P196" s="77">
        <f>SUM(PACIENTES!P196+COMEDOR!P196+JORNADA!P196+'DIETOLOGÍA(S)'!P196)</f>
        <v>12</v>
      </c>
      <c r="Q196" s="77">
        <f>SUM(PACIENTES!Q196+COMEDOR!Q196+JORNADA!Q196+'DIETOLOGÍA(S)'!Q196)</f>
        <v>24</v>
      </c>
      <c r="R196" s="77">
        <f>SUM(PACIENTES!R196+COMEDOR!R196+JORNADA!R196+'DIETOLOGÍA(S)'!R196)</f>
        <v>12</v>
      </c>
      <c r="S196" s="77">
        <f>SUM(PACIENTES!S196+COMEDOR!S196+JORNADA!S196+'DIETOLOGÍA(S)'!S196)</f>
        <v>12</v>
      </c>
      <c r="T196" s="77">
        <f>SUM(PACIENTES!T196+COMEDOR!T196+JORNADA!T196+'DIETOLOGÍA(S)'!T196)</f>
        <v>15</v>
      </c>
      <c r="U196" s="77">
        <f>SUM(PACIENTES!U196+COMEDOR!U196+JORNADA!U196+'DIETOLOGÍA(S)'!U196)</f>
        <v>15</v>
      </c>
      <c r="V196" s="77">
        <f>SUM(PACIENTES!V196+COMEDOR!V196+JORNADA!V196+'DIETOLOGÍA(S)'!V196)</f>
        <v>12</v>
      </c>
      <c r="W196" s="77">
        <f>SUM(PACIENTES!W196+COMEDOR!W196+JORNADA!W196+'DIETOLOGÍA(S)'!W196)</f>
        <v>12</v>
      </c>
      <c r="X196" s="77">
        <f>SUM(PACIENTES!X196+COMEDOR!X196+JORNADA!X196+'DIETOLOGÍA(S)'!X196)</f>
        <v>55</v>
      </c>
      <c r="Y196" s="77">
        <f>SUM(PACIENTES!Y196+COMEDOR!Y196+JORNADA!Y196+'DIETOLOGÍA(S)'!Y196)</f>
        <v>12</v>
      </c>
      <c r="Z196" s="77">
        <f>SUM(PACIENTES!Z196+COMEDOR!Z196+JORNADA!Z196+'DIETOLOGÍA(S)'!Z196)</f>
        <v>12</v>
      </c>
      <c r="AA196" s="77">
        <f>SUM(PACIENTES!AA196+COMEDOR!AA196+JORNADA!AA196+'DIETOLOGÍA(S)'!AA196)</f>
        <v>79</v>
      </c>
      <c r="AB196" s="77">
        <f>SUM(PACIENTES!AB196+COMEDOR!AB196+JORNADA!AB196+'DIETOLOGÍA(S)'!AB196)</f>
        <v>15</v>
      </c>
      <c r="AC196" s="77">
        <f>SUM(PACIENTES!AC196+COMEDOR!AC196+JORNADA!AC196+'DIETOLOGÍA(S)'!AC196)</f>
        <v>24</v>
      </c>
      <c r="AD196" s="77">
        <f>SUM(PACIENTES!AD196+COMEDOR!AD196+JORNADA!AD196+'DIETOLOGÍA(S)'!AD196)</f>
        <v>12</v>
      </c>
      <c r="AE196" s="77">
        <f>SUM(PACIENTES!AE196+COMEDOR!AE196+JORNADA!AE196+'DIETOLOGÍA(S)'!AE196)</f>
        <v>12</v>
      </c>
      <c r="AF196" s="77">
        <f>SUM(PACIENTES!AF196+COMEDOR!AF196+JORNADA!AF196+'DIETOLOGÍA(S)'!AF196)</f>
        <v>24</v>
      </c>
      <c r="AG196" s="77">
        <f>SUM(PACIENTES!AG196+COMEDOR!AG196+JORNADA!AG196+'DIETOLOGÍA(S)'!AG196)</f>
        <v>12</v>
      </c>
      <c r="AH196" s="77">
        <f>SUM(PACIENTES!AH196+COMEDOR!AH196+JORNADA!AH196+'DIETOLOGÍA(S)'!AH196)</f>
        <v>15</v>
      </c>
      <c r="AI196" s="9">
        <f t="shared" si="8"/>
        <v>645</v>
      </c>
    </row>
    <row r="197" spans="1:35" ht="15.75" customHeight="1">
      <c r="A197" s="165">
        <v>2212008011</v>
      </c>
      <c r="B197" s="166" t="s">
        <v>205</v>
      </c>
      <c r="C197" s="167" t="s">
        <v>8</v>
      </c>
      <c r="D197" s="77">
        <f>SUM(PACIENTES!D197+COMEDOR!D197+JORNADA!D197+'DIETOLOGÍA(S)'!D197)</f>
        <v>0</v>
      </c>
      <c r="E197" s="77">
        <f>SUM(PACIENTES!E197+COMEDOR!E197+JORNADA!E197+'DIETOLOGÍA(S)'!E197)</f>
        <v>0</v>
      </c>
      <c r="F197" s="77">
        <f>SUM(PACIENTES!F197+COMEDOR!F197+JORNADA!F197+'DIETOLOGÍA(S)'!F197)</f>
        <v>0</v>
      </c>
      <c r="G197" s="77">
        <f>SUM(PACIENTES!G197+COMEDOR!G197+JORNADA!G197+'DIETOLOGÍA(S)'!G197)</f>
        <v>0</v>
      </c>
      <c r="H197" s="77">
        <f>SUM(PACIENTES!H197+COMEDOR!H197+JORNADA!H197+'DIETOLOGÍA(S)'!H197)</f>
        <v>0</v>
      </c>
      <c r="I197" s="77">
        <f>SUM(PACIENTES!I197+COMEDOR!I197+JORNADA!I197+'DIETOLOGÍA(S)'!I197)</f>
        <v>0</v>
      </c>
      <c r="J197" s="77">
        <f>SUM(PACIENTES!J197+COMEDOR!J197+JORNADA!J197+'DIETOLOGÍA(S)'!J197)</f>
        <v>0</v>
      </c>
      <c r="K197" s="77">
        <f>SUM(PACIENTES!K197+COMEDOR!K197+JORNADA!K197+'DIETOLOGÍA(S)'!K197)</f>
        <v>0</v>
      </c>
      <c r="L197" s="77">
        <f>SUM(PACIENTES!L197+COMEDOR!L197+JORNADA!L197+'DIETOLOGÍA(S)'!L197)</f>
        <v>250</v>
      </c>
      <c r="M197" s="77">
        <f>SUM(PACIENTES!M197+COMEDOR!M197+JORNADA!M197+'DIETOLOGÍA(S)'!M197)</f>
        <v>150</v>
      </c>
      <c r="N197" s="77">
        <f>SUM(PACIENTES!N197+COMEDOR!N197+JORNADA!N197+'DIETOLOGÍA(S)'!N197)</f>
        <v>250</v>
      </c>
      <c r="O197" s="77">
        <f>SUM(PACIENTES!O197+COMEDOR!O197+JORNADA!O197+'DIETOLOGÍA(S)'!O197)</f>
        <v>150</v>
      </c>
      <c r="P197" s="77">
        <f>SUM(PACIENTES!P197+COMEDOR!P197+JORNADA!P197+'DIETOLOGÍA(S)'!P197)</f>
        <v>0</v>
      </c>
      <c r="Q197" s="77">
        <f>SUM(PACIENTES!Q197+COMEDOR!Q197+JORNADA!Q197+'DIETOLOGÍA(S)'!Q197)</f>
        <v>150</v>
      </c>
      <c r="R197" s="77">
        <f>SUM(PACIENTES!R197+COMEDOR!R197+JORNADA!R197+'DIETOLOGÍA(S)'!R197)</f>
        <v>250</v>
      </c>
      <c r="S197" s="77">
        <f>SUM(PACIENTES!S197+COMEDOR!S197+JORNADA!S197+'DIETOLOGÍA(S)'!S197)</f>
        <v>0</v>
      </c>
      <c r="T197" s="77">
        <f>SUM(PACIENTES!T197+COMEDOR!T197+JORNADA!T197+'DIETOLOGÍA(S)'!T197)</f>
        <v>250</v>
      </c>
      <c r="U197" s="77">
        <f>SUM(PACIENTES!U197+COMEDOR!U197+JORNADA!U197+'DIETOLOGÍA(S)'!U197)</f>
        <v>250</v>
      </c>
      <c r="V197" s="77">
        <f>SUM(PACIENTES!V197+COMEDOR!V197+JORNADA!V197+'DIETOLOGÍA(S)'!V197)</f>
        <v>0</v>
      </c>
      <c r="W197" s="77">
        <f>SUM(PACIENTES!W197+COMEDOR!W197+JORNADA!W197+'DIETOLOGÍA(S)'!W197)</f>
        <v>150</v>
      </c>
      <c r="X197" s="77">
        <f>SUM(PACIENTES!X197+COMEDOR!X197+JORNADA!X197+'DIETOLOGÍA(S)'!X197)</f>
        <v>400</v>
      </c>
      <c r="Y197" s="77">
        <f>SUM(PACIENTES!Y197+COMEDOR!Y197+JORNADA!Y197+'DIETOLOGÍA(S)'!Y197)</f>
        <v>150</v>
      </c>
      <c r="Z197" s="77">
        <f>SUM(PACIENTES!Z197+COMEDOR!Z197+JORNADA!Z197+'DIETOLOGÍA(S)'!Z197)</f>
        <v>250</v>
      </c>
      <c r="AA197" s="77">
        <f>SUM(PACIENTES!AA197+COMEDOR!AA197+JORNADA!AA197+'DIETOLOGÍA(S)'!AA197)</f>
        <v>400</v>
      </c>
      <c r="AB197" s="77">
        <f>SUM(PACIENTES!AB197+COMEDOR!AB197+JORNADA!AB197+'DIETOLOGÍA(S)'!AB197)</f>
        <v>250</v>
      </c>
      <c r="AC197" s="77">
        <f>SUM(PACIENTES!AC197+COMEDOR!AC197+JORNADA!AC197+'DIETOLOGÍA(S)'!AC197)</f>
        <v>150</v>
      </c>
      <c r="AD197" s="77">
        <f>SUM(PACIENTES!AD197+COMEDOR!AD197+JORNADA!AD197+'DIETOLOGÍA(S)'!AD197)</f>
        <v>0</v>
      </c>
      <c r="AE197" s="77">
        <f>SUM(PACIENTES!AE197+COMEDOR!AE197+JORNADA!AE197+'DIETOLOGÍA(S)'!AE197)</f>
        <v>400</v>
      </c>
      <c r="AF197" s="77">
        <f>SUM(PACIENTES!AF197+COMEDOR!AF197+JORNADA!AF197+'DIETOLOGÍA(S)'!AF197)</f>
        <v>0</v>
      </c>
      <c r="AG197" s="77">
        <f>SUM(PACIENTES!AG197+COMEDOR!AG197+JORNADA!AG197+'DIETOLOGÍA(S)'!AG197)</f>
        <v>150</v>
      </c>
      <c r="AH197" s="77">
        <f>SUM(PACIENTES!AH197+COMEDOR!AH197+JORNADA!AH197+'DIETOLOGÍA(S)'!AH197)</f>
        <v>150</v>
      </c>
      <c r="AI197" s="9">
        <f t="shared" si="8"/>
        <v>4150</v>
      </c>
    </row>
    <row r="198" spans="1:35" ht="15.75" customHeight="1">
      <c r="A198" s="165">
        <v>2212008012</v>
      </c>
      <c r="B198" s="166" t="s">
        <v>206</v>
      </c>
      <c r="C198" s="167" t="s">
        <v>6</v>
      </c>
      <c r="D198" s="77">
        <f>SUM(PACIENTES!D198+COMEDOR!D198+JORNADA!D198+'DIETOLOGÍA(S)'!D198)</f>
        <v>0</v>
      </c>
      <c r="E198" s="77">
        <f>SUM(PACIENTES!E198+COMEDOR!E198+JORNADA!E198+'DIETOLOGÍA(S)'!E198)</f>
        <v>0</v>
      </c>
      <c r="F198" s="77">
        <f>SUM(PACIENTES!F198+COMEDOR!F198+JORNADA!F198+'DIETOLOGÍA(S)'!F198)</f>
        <v>0</v>
      </c>
      <c r="G198" s="77">
        <f>SUM(PACIENTES!G198+COMEDOR!G198+JORNADA!G198+'DIETOLOGÍA(S)'!G198)</f>
        <v>0</v>
      </c>
      <c r="H198" s="77">
        <f>SUM(PACIENTES!H198+COMEDOR!H198+JORNADA!H198+'DIETOLOGÍA(S)'!H198)</f>
        <v>0</v>
      </c>
      <c r="I198" s="77">
        <f>SUM(PACIENTES!I198+COMEDOR!I198+JORNADA!I198+'DIETOLOGÍA(S)'!I198)</f>
        <v>0</v>
      </c>
      <c r="J198" s="77">
        <f>SUM(PACIENTES!J198+COMEDOR!J198+JORNADA!J198+'DIETOLOGÍA(S)'!J198)</f>
        <v>1</v>
      </c>
      <c r="K198" s="77">
        <f>SUM(PACIENTES!K198+COMEDOR!K198+JORNADA!K198+'DIETOLOGÍA(S)'!K198)</f>
        <v>0</v>
      </c>
      <c r="L198" s="77">
        <f>SUM(PACIENTES!L198+COMEDOR!L198+JORNADA!L198+'DIETOLOGÍA(S)'!L198)</f>
        <v>0</v>
      </c>
      <c r="M198" s="77">
        <f>SUM(PACIENTES!M198+COMEDOR!M198+JORNADA!M198+'DIETOLOGÍA(S)'!M198)</f>
        <v>0</v>
      </c>
      <c r="N198" s="77">
        <f>SUM(PACIENTES!N198+COMEDOR!N198+JORNADA!N198+'DIETOLOGÍA(S)'!N198)</f>
        <v>0</v>
      </c>
      <c r="O198" s="77">
        <f>SUM(PACIENTES!O198+COMEDOR!O198+JORNADA!O198+'DIETOLOGÍA(S)'!O198)</f>
        <v>0</v>
      </c>
      <c r="P198" s="77">
        <f>SUM(PACIENTES!P198+COMEDOR!P198+JORNADA!P198+'DIETOLOGÍA(S)'!P198)</f>
        <v>0</v>
      </c>
      <c r="Q198" s="77">
        <f>SUM(PACIENTES!Q198+COMEDOR!Q198+JORNADA!Q198+'DIETOLOGÍA(S)'!Q198)</f>
        <v>0</v>
      </c>
      <c r="R198" s="77">
        <f>SUM(PACIENTES!R198+COMEDOR!R198+JORNADA!R198+'DIETOLOGÍA(S)'!R198)</f>
        <v>0</v>
      </c>
      <c r="S198" s="77">
        <f>SUM(PACIENTES!S198+COMEDOR!S198+JORNADA!S198+'DIETOLOGÍA(S)'!S198)</f>
        <v>0</v>
      </c>
      <c r="T198" s="77">
        <f>SUM(PACIENTES!T198+COMEDOR!T198+JORNADA!T198+'DIETOLOGÍA(S)'!T198)</f>
        <v>0</v>
      </c>
      <c r="U198" s="77">
        <f>SUM(PACIENTES!U198+COMEDOR!U198+JORNADA!U198+'DIETOLOGÍA(S)'!U198)</f>
        <v>0</v>
      </c>
      <c r="V198" s="77">
        <f>SUM(PACIENTES!V198+COMEDOR!V198+JORNADA!V198+'DIETOLOGÍA(S)'!V198)</f>
        <v>0</v>
      </c>
      <c r="W198" s="77">
        <f>SUM(PACIENTES!W198+COMEDOR!W198+JORNADA!W198+'DIETOLOGÍA(S)'!W198)</f>
        <v>0</v>
      </c>
      <c r="X198" s="77">
        <f>SUM(PACIENTES!X198+COMEDOR!X198+JORNADA!X198+'DIETOLOGÍA(S)'!X198)</f>
        <v>0</v>
      </c>
      <c r="Y198" s="77">
        <f>SUM(PACIENTES!Y198+COMEDOR!Y198+JORNADA!Y198+'DIETOLOGÍA(S)'!Y198)</f>
        <v>0</v>
      </c>
      <c r="Z198" s="77">
        <f>SUM(PACIENTES!Z198+COMEDOR!Z198+JORNADA!Z198+'DIETOLOGÍA(S)'!Z198)</f>
        <v>0</v>
      </c>
      <c r="AA198" s="77">
        <f>SUM(PACIENTES!AA198+COMEDOR!AA198+JORNADA!AA198+'DIETOLOGÍA(S)'!AA198)</f>
        <v>0</v>
      </c>
      <c r="AB198" s="77">
        <f>SUM(PACIENTES!AB198+COMEDOR!AB198+JORNADA!AB198+'DIETOLOGÍA(S)'!AB198)</f>
        <v>0</v>
      </c>
      <c r="AC198" s="77">
        <f>SUM(PACIENTES!AC198+COMEDOR!AC198+JORNADA!AC198+'DIETOLOGÍA(S)'!AC198)</f>
        <v>0</v>
      </c>
      <c r="AD198" s="77">
        <f>SUM(PACIENTES!AD198+COMEDOR!AD198+JORNADA!AD198+'DIETOLOGÍA(S)'!AD198)</f>
        <v>0</v>
      </c>
      <c r="AE198" s="77">
        <f>SUM(PACIENTES!AE198+COMEDOR!AE198+JORNADA!AE198+'DIETOLOGÍA(S)'!AE198)</f>
        <v>1</v>
      </c>
      <c r="AF198" s="77">
        <f>SUM(PACIENTES!AF198+COMEDOR!AF198+JORNADA!AF198+'DIETOLOGÍA(S)'!AF198)</f>
        <v>0</v>
      </c>
      <c r="AG198" s="77">
        <f>SUM(PACIENTES!AG198+COMEDOR!AG198+JORNADA!AG198+'DIETOLOGÍA(S)'!AG198)</f>
        <v>0</v>
      </c>
      <c r="AH198" s="77">
        <f>SUM(PACIENTES!AH198+COMEDOR!AH198+JORNADA!AH198+'DIETOLOGÍA(S)'!AH198)</f>
        <v>0</v>
      </c>
      <c r="AI198" s="9">
        <f t="shared" si="8"/>
        <v>2</v>
      </c>
    </row>
    <row r="199" spans="1:35" ht="15.75" customHeight="1">
      <c r="A199" s="165">
        <v>2212008013</v>
      </c>
      <c r="B199" s="166" t="s">
        <v>207</v>
      </c>
      <c r="C199" s="167" t="s">
        <v>86</v>
      </c>
      <c r="D199" s="77">
        <f>SUM(PACIENTES!D199+COMEDOR!D199+JORNADA!D199+'DIETOLOGÍA(S)'!D199)</f>
        <v>0</v>
      </c>
      <c r="E199" s="77">
        <f>SUM(PACIENTES!E199+COMEDOR!E199+JORNADA!E199+'DIETOLOGÍA(S)'!E199)</f>
        <v>0</v>
      </c>
      <c r="F199" s="77">
        <f>SUM(PACIENTES!F199+COMEDOR!F199+JORNADA!F199+'DIETOLOGÍA(S)'!F199)</f>
        <v>0</v>
      </c>
      <c r="G199" s="77">
        <f>SUM(PACIENTES!G199+COMEDOR!G199+JORNADA!G199+'DIETOLOGÍA(S)'!G199)</f>
        <v>0</v>
      </c>
      <c r="H199" s="77">
        <f>SUM(PACIENTES!H199+COMEDOR!H199+JORNADA!H199+'DIETOLOGÍA(S)'!H199)</f>
        <v>0</v>
      </c>
      <c r="I199" s="77">
        <f>SUM(PACIENTES!I199+COMEDOR!I199+JORNADA!I199+'DIETOLOGÍA(S)'!I199)</f>
        <v>0</v>
      </c>
      <c r="J199" s="77">
        <f>SUM(PACIENTES!J199+COMEDOR!J199+JORNADA!J199+'DIETOLOGÍA(S)'!J199)</f>
        <v>0</v>
      </c>
      <c r="K199" s="77">
        <f>SUM(PACIENTES!K199+COMEDOR!K199+JORNADA!K199+'DIETOLOGÍA(S)'!K199)</f>
        <v>0</v>
      </c>
      <c r="L199" s="77">
        <f>SUM(PACIENTES!L199+COMEDOR!L199+JORNADA!L199+'DIETOLOGÍA(S)'!L199)</f>
        <v>0</v>
      </c>
      <c r="M199" s="77">
        <f>SUM(PACIENTES!M199+COMEDOR!M199+JORNADA!M199+'DIETOLOGÍA(S)'!M199)</f>
        <v>0</v>
      </c>
      <c r="N199" s="77">
        <f>SUM(PACIENTES!N199+COMEDOR!N199+JORNADA!N199+'DIETOLOGÍA(S)'!N199)</f>
        <v>0</v>
      </c>
      <c r="O199" s="77">
        <f>SUM(PACIENTES!O199+COMEDOR!O199+JORNADA!O199+'DIETOLOGÍA(S)'!O199)</f>
        <v>0</v>
      </c>
      <c r="P199" s="77">
        <f>SUM(PACIENTES!P199+COMEDOR!P199+JORNADA!P199+'DIETOLOGÍA(S)'!P199)</f>
        <v>0</v>
      </c>
      <c r="Q199" s="77">
        <f>SUM(PACIENTES!Q199+COMEDOR!Q199+JORNADA!Q199+'DIETOLOGÍA(S)'!Q199)</f>
        <v>2</v>
      </c>
      <c r="R199" s="77">
        <f>SUM(PACIENTES!R199+COMEDOR!R199+JORNADA!R199+'DIETOLOGÍA(S)'!R199)</f>
        <v>0</v>
      </c>
      <c r="S199" s="77">
        <f>SUM(PACIENTES!S199+COMEDOR!S199+JORNADA!S199+'DIETOLOGÍA(S)'!S199)</f>
        <v>0</v>
      </c>
      <c r="T199" s="77">
        <f>SUM(PACIENTES!T199+COMEDOR!T199+JORNADA!T199+'DIETOLOGÍA(S)'!T199)</f>
        <v>0</v>
      </c>
      <c r="U199" s="77">
        <f>SUM(PACIENTES!U199+COMEDOR!U199+JORNADA!U199+'DIETOLOGÍA(S)'!U199)</f>
        <v>0</v>
      </c>
      <c r="V199" s="77">
        <f>SUM(PACIENTES!V199+COMEDOR!V199+JORNADA!V199+'DIETOLOGÍA(S)'!V199)</f>
        <v>0</v>
      </c>
      <c r="W199" s="77">
        <f>SUM(PACIENTES!W199+COMEDOR!W199+JORNADA!W199+'DIETOLOGÍA(S)'!W199)</f>
        <v>0</v>
      </c>
      <c r="X199" s="77">
        <f>SUM(PACIENTES!X199+COMEDOR!X199+JORNADA!X199+'DIETOLOGÍA(S)'!X199)</f>
        <v>0</v>
      </c>
      <c r="Y199" s="77">
        <f>SUM(PACIENTES!Y199+COMEDOR!Y199+JORNADA!Y199+'DIETOLOGÍA(S)'!Y199)</f>
        <v>0</v>
      </c>
      <c r="Z199" s="77">
        <f>SUM(PACIENTES!Z199+COMEDOR!Z199+JORNADA!Z199+'DIETOLOGÍA(S)'!Z199)</f>
        <v>0</v>
      </c>
      <c r="AA199" s="77">
        <f>SUM(PACIENTES!AA199+COMEDOR!AA199+JORNADA!AA199+'DIETOLOGÍA(S)'!AA199)</f>
        <v>0</v>
      </c>
      <c r="AB199" s="77">
        <f>SUM(PACIENTES!AB199+COMEDOR!AB199+JORNADA!AB199+'DIETOLOGÍA(S)'!AB199)</f>
        <v>0</v>
      </c>
      <c r="AC199" s="77">
        <f>SUM(PACIENTES!AC199+COMEDOR!AC199+JORNADA!AC199+'DIETOLOGÍA(S)'!AC199)</f>
        <v>0</v>
      </c>
      <c r="AD199" s="77">
        <f>SUM(PACIENTES!AD199+COMEDOR!AD199+JORNADA!AD199+'DIETOLOGÍA(S)'!AD199)</f>
        <v>0</v>
      </c>
      <c r="AE199" s="77">
        <f>SUM(PACIENTES!AE199+COMEDOR!AE199+JORNADA!AE199+'DIETOLOGÍA(S)'!AE199)</f>
        <v>0</v>
      </c>
      <c r="AF199" s="77">
        <f>SUM(PACIENTES!AF199+COMEDOR!AF199+JORNADA!AF199+'DIETOLOGÍA(S)'!AF199)</f>
        <v>0</v>
      </c>
      <c r="AG199" s="77">
        <f>SUM(PACIENTES!AG199+COMEDOR!AG199+JORNADA!AG199+'DIETOLOGÍA(S)'!AG199)</f>
        <v>0</v>
      </c>
      <c r="AH199" s="77">
        <f>SUM(PACIENTES!AH199+COMEDOR!AH199+JORNADA!AH199+'DIETOLOGÍA(S)'!AH199)</f>
        <v>0</v>
      </c>
      <c r="AI199" s="9">
        <f t="shared" si="8"/>
        <v>2</v>
      </c>
    </row>
    <row r="200" spans="1:35" ht="15.75" customHeight="1">
      <c r="A200" s="165">
        <v>2212008014</v>
      </c>
      <c r="B200" s="166" t="s">
        <v>208</v>
      </c>
      <c r="C200" s="167" t="s">
        <v>86</v>
      </c>
      <c r="D200" s="77">
        <f>SUM(PACIENTES!D200+COMEDOR!D200+JORNADA!D200+'DIETOLOGÍA(S)'!D200)</f>
        <v>0</v>
      </c>
      <c r="E200" s="77">
        <f>SUM(PACIENTES!E200+COMEDOR!E200+JORNADA!E200+'DIETOLOGÍA(S)'!E200)</f>
        <v>0</v>
      </c>
      <c r="F200" s="77">
        <f>SUM(PACIENTES!F200+COMEDOR!F200+JORNADA!F200+'DIETOLOGÍA(S)'!F200)</f>
        <v>0</v>
      </c>
      <c r="G200" s="77">
        <f>SUM(PACIENTES!G200+COMEDOR!G200+JORNADA!G200+'DIETOLOGÍA(S)'!G200)</f>
        <v>0</v>
      </c>
      <c r="H200" s="77">
        <f>SUM(PACIENTES!H200+COMEDOR!H200+JORNADA!H200+'DIETOLOGÍA(S)'!H200)</f>
        <v>0</v>
      </c>
      <c r="I200" s="77">
        <f>SUM(PACIENTES!I200+COMEDOR!I200+JORNADA!I200+'DIETOLOGÍA(S)'!I200)</f>
        <v>0</v>
      </c>
      <c r="J200" s="77">
        <f>SUM(PACIENTES!J200+COMEDOR!J200+JORNADA!J200+'DIETOLOGÍA(S)'!J200)</f>
        <v>0</v>
      </c>
      <c r="K200" s="77">
        <f>SUM(PACIENTES!K200+COMEDOR!K200+JORNADA!K200+'DIETOLOGÍA(S)'!K200)</f>
        <v>0</v>
      </c>
      <c r="L200" s="77">
        <f>SUM(PACIENTES!L200+COMEDOR!L200+JORNADA!L200+'DIETOLOGÍA(S)'!L200)</f>
        <v>0</v>
      </c>
      <c r="M200" s="77">
        <f>SUM(PACIENTES!M200+COMEDOR!M200+JORNADA!M200+'DIETOLOGÍA(S)'!M200)</f>
        <v>0</v>
      </c>
      <c r="N200" s="77">
        <f>SUM(PACIENTES!N200+COMEDOR!N200+JORNADA!N200+'DIETOLOGÍA(S)'!N200)</f>
        <v>0</v>
      </c>
      <c r="O200" s="77">
        <f>SUM(PACIENTES!O200+COMEDOR!O200+JORNADA!O200+'DIETOLOGÍA(S)'!O200)</f>
        <v>0</v>
      </c>
      <c r="P200" s="77">
        <f>SUM(PACIENTES!P200+COMEDOR!P200+JORNADA!P200+'DIETOLOGÍA(S)'!P200)</f>
        <v>0</v>
      </c>
      <c r="Q200" s="77">
        <f>SUM(PACIENTES!Q200+COMEDOR!Q200+JORNADA!Q200+'DIETOLOGÍA(S)'!Q200)</f>
        <v>0</v>
      </c>
      <c r="R200" s="77">
        <f>SUM(PACIENTES!R200+COMEDOR!R200+JORNADA!R200+'DIETOLOGÍA(S)'!R200)</f>
        <v>0</v>
      </c>
      <c r="S200" s="77">
        <f>SUM(PACIENTES!S200+COMEDOR!S200+JORNADA!S200+'DIETOLOGÍA(S)'!S200)</f>
        <v>0</v>
      </c>
      <c r="T200" s="77">
        <f>SUM(PACIENTES!T200+COMEDOR!T200+JORNADA!T200+'DIETOLOGÍA(S)'!T200)</f>
        <v>0</v>
      </c>
      <c r="U200" s="77">
        <f>SUM(PACIENTES!U200+COMEDOR!U200+JORNADA!U200+'DIETOLOGÍA(S)'!U200)</f>
        <v>0</v>
      </c>
      <c r="V200" s="77">
        <f>SUM(PACIENTES!V200+COMEDOR!V200+JORNADA!V200+'DIETOLOGÍA(S)'!V200)</f>
        <v>0</v>
      </c>
      <c r="W200" s="77">
        <f>SUM(PACIENTES!W200+COMEDOR!W200+JORNADA!W200+'DIETOLOGÍA(S)'!W200)</f>
        <v>0</v>
      </c>
      <c r="X200" s="77">
        <f>SUM(PACIENTES!X200+COMEDOR!X200+JORNADA!X200+'DIETOLOGÍA(S)'!X200)</f>
        <v>2</v>
      </c>
      <c r="Y200" s="77">
        <f>SUM(PACIENTES!Y200+COMEDOR!Y200+JORNADA!Y200+'DIETOLOGÍA(S)'!Y200)</f>
        <v>0</v>
      </c>
      <c r="Z200" s="77">
        <f>SUM(PACIENTES!Z200+COMEDOR!Z200+JORNADA!Z200+'DIETOLOGÍA(S)'!Z200)</f>
        <v>20</v>
      </c>
      <c r="AA200" s="77">
        <f>SUM(PACIENTES!AA200+COMEDOR!AA200+JORNADA!AA200+'DIETOLOGÍA(S)'!AA200)</f>
        <v>0</v>
      </c>
      <c r="AB200" s="77">
        <f>SUM(PACIENTES!AB200+COMEDOR!AB200+JORNADA!AB200+'DIETOLOGÍA(S)'!AB200)</f>
        <v>0</v>
      </c>
      <c r="AC200" s="77">
        <f>SUM(PACIENTES!AC200+COMEDOR!AC200+JORNADA!AC200+'DIETOLOGÍA(S)'!AC200)</f>
        <v>0</v>
      </c>
      <c r="AD200" s="77">
        <f>SUM(PACIENTES!AD200+COMEDOR!AD200+JORNADA!AD200+'DIETOLOGÍA(S)'!AD200)</f>
        <v>0</v>
      </c>
      <c r="AE200" s="77">
        <f>SUM(PACIENTES!AE200+COMEDOR!AE200+JORNADA!AE200+'DIETOLOGÍA(S)'!AE200)</f>
        <v>0</v>
      </c>
      <c r="AF200" s="77">
        <f>SUM(PACIENTES!AF200+COMEDOR!AF200+JORNADA!AF200+'DIETOLOGÍA(S)'!AF200)</f>
        <v>0</v>
      </c>
      <c r="AG200" s="77">
        <f>SUM(PACIENTES!AG200+COMEDOR!AG200+JORNADA!AG200+'DIETOLOGÍA(S)'!AG200)</f>
        <v>0</v>
      </c>
      <c r="AH200" s="77">
        <f>SUM(PACIENTES!AH200+COMEDOR!AH200+JORNADA!AH200+'DIETOLOGÍA(S)'!AH200)</f>
        <v>0</v>
      </c>
      <c r="AI200" s="9">
        <f t="shared" si="8"/>
        <v>22</v>
      </c>
    </row>
    <row r="201" spans="1:35" ht="15.75" customHeight="1">
      <c r="A201" s="165">
        <v>2212008015</v>
      </c>
      <c r="B201" s="166" t="s">
        <v>209</v>
      </c>
      <c r="C201" s="167" t="s">
        <v>86</v>
      </c>
      <c r="D201" s="77">
        <f>SUM(PACIENTES!D201+COMEDOR!D201+JORNADA!D201+'DIETOLOGÍA(S)'!D201)</f>
        <v>0</v>
      </c>
      <c r="E201" s="77">
        <f>SUM(PACIENTES!E201+COMEDOR!E201+JORNADA!E201+'DIETOLOGÍA(S)'!E201)</f>
        <v>0</v>
      </c>
      <c r="F201" s="77">
        <f>SUM(PACIENTES!F201+COMEDOR!F201+JORNADA!F201+'DIETOLOGÍA(S)'!F201)</f>
        <v>0</v>
      </c>
      <c r="G201" s="77">
        <f>SUM(PACIENTES!G201+COMEDOR!G201+JORNADA!G201+'DIETOLOGÍA(S)'!G201)</f>
        <v>0</v>
      </c>
      <c r="H201" s="77">
        <f>SUM(PACIENTES!H201+COMEDOR!H201+JORNADA!H201+'DIETOLOGÍA(S)'!H201)</f>
        <v>0</v>
      </c>
      <c r="I201" s="77">
        <f>SUM(PACIENTES!I201+COMEDOR!I201+JORNADA!I201+'DIETOLOGÍA(S)'!I201)</f>
        <v>1</v>
      </c>
      <c r="J201" s="77">
        <f>SUM(PACIENTES!J201+COMEDOR!J201+JORNADA!J201+'DIETOLOGÍA(S)'!J201)</f>
        <v>1</v>
      </c>
      <c r="K201" s="77">
        <f>SUM(PACIENTES!K201+COMEDOR!K201+JORNADA!K201+'DIETOLOGÍA(S)'!K201)</f>
        <v>0</v>
      </c>
      <c r="L201" s="77">
        <f>SUM(PACIENTES!L201+COMEDOR!L201+JORNADA!L201+'DIETOLOGÍA(S)'!L201)</f>
        <v>0</v>
      </c>
      <c r="M201" s="77">
        <f>SUM(PACIENTES!M201+COMEDOR!M201+JORNADA!M201+'DIETOLOGÍA(S)'!M201)</f>
        <v>0</v>
      </c>
      <c r="N201" s="77">
        <f>SUM(PACIENTES!N201+COMEDOR!N201+JORNADA!N201+'DIETOLOGÍA(S)'!N201)</f>
        <v>0</v>
      </c>
      <c r="O201" s="77">
        <f>SUM(PACIENTES!O201+COMEDOR!O201+JORNADA!O201+'DIETOLOGÍA(S)'!O201)</f>
        <v>0</v>
      </c>
      <c r="P201" s="77">
        <f>SUM(PACIENTES!P201+COMEDOR!P201+JORNADA!P201+'DIETOLOGÍA(S)'!P201)</f>
        <v>0</v>
      </c>
      <c r="Q201" s="77">
        <f>SUM(PACIENTES!Q201+COMEDOR!Q201+JORNADA!Q201+'DIETOLOGÍA(S)'!Q201)</f>
        <v>0</v>
      </c>
      <c r="R201" s="77">
        <f>SUM(PACIENTES!R201+COMEDOR!R201+JORNADA!R201+'DIETOLOGÍA(S)'!R201)</f>
        <v>0</v>
      </c>
      <c r="S201" s="77">
        <f>SUM(PACIENTES!S201+COMEDOR!S201+JORNADA!S201+'DIETOLOGÍA(S)'!S201)</f>
        <v>0</v>
      </c>
      <c r="T201" s="77">
        <f>SUM(PACIENTES!T201+COMEDOR!T201+JORNADA!T201+'DIETOLOGÍA(S)'!T201)</f>
        <v>0</v>
      </c>
      <c r="U201" s="77">
        <f>SUM(PACIENTES!U201+COMEDOR!U201+JORNADA!U201+'DIETOLOGÍA(S)'!U201)</f>
        <v>0</v>
      </c>
      <c r="V201" s="77">
        <f>SUM(PACIENTES!V201+COMEDOR!V201+JORNADA!V201+'DIETOLOGÍA(S)'!V201)</f>
        <v>0</v>
      </c>
      <c r="W201" s="77">
        <f>SUM(PACIENTES!W201+COMEDOR!W201+JORNADA!W201+'DIETOLOGÍA(S)'!W201)</f>
        <v>0</v>
      </c>
      <c r="X201" s="77">
        <f>SUM(PACIENTES!X201+COMEDOR!X201+JORNADA!X201+'DIETOLOGÍA(S)'!X201)</f>
        <v>1</v>
      </c>
      <c r="Y201" s="77">
        <f>SUM(PACIENTES!Y201+COMEDOR!Y201+JORNADA!Y201+'DIETOLOGÍA(S)'!Y201)</f>
        <v>0</v>
      </c>
      <c r="Z201" s="77">
        <f>SUM(PACIENTES!Z201+COMEDOR!Z201+JORNADA!Z201+'DIETOLOGÍA(S)'!Z201)</f>
        <v>0</v>
      </c>
      <c r="AA201" s="77">
        <f>SUM(PACIENTES!AA201+COMEDOR!AA201+JORNADA!AA201+'DIETOLOGÍA(S)'!AA201)</f>
        <v>0</v>
      </c>
      <c r="AB201" s="77">
        <f>SUM(PACIENTES!AB201+COMEDOR!AB201+JORNADA!AB201+'DIETOLOGÍA(S)'!AB201)</f>
        <v>0</v>
      </c>
      <c r="AC201" s="77">
        <f>SUM(PACIENTES!AC201+COMEDOR!AC201+JORNADA!AC201+'DIETOLOGÍA(S)'!AC201)</f>
        <v>18</v>
      </c>
      <c r="AD201" s="77">
        <f>SUM(PACIENTES!AD201+COMEDOR!AD201+JORNADA!AD201+'DIETOLOGÍA(S)'!AD201)</f>
        <v>1</v>
      </c>
      <c r="AE201" s="77">
        <f>SUM(PACIENTES!AE201+COMEDOR!AE201+JORNADA!AE201+'DIETOLOGÍA(S)'!AE201)</f>
        <v>0</v>
      </c>
      <c r="AF201" s="77">
        <f>SUM(PACIENTES!AF201+COMEDOR!AF201+JORNADA!AF201+'DIETOLOGÍA(S)'!AF201)</f>
        <v>0</v>
      </c>
      <c r="AG201" s="77">
        <f>SUM(PACIENTES!AG201+COMEDOR!AG201+JORNADA!AG201+'DIETOLOGÍA(S)'!AG201)</f>
        <v>0</v>
      </c>
      <c r="AH201" s="77">
        <f>SUM(PACIENTES!AH201+COMEDOR!AH201+JORNADA!AH201+'DIETOLOGÍA(S)'!AH201)</f>
        <v>0</v>
      </c>
      <c r="AI201" s="9">
        <f t="shared" si="8"/>
        <v>22</v>
      </c>
    </row>
    <row r="202" spans="1:35" ht="15.75" customHeight="1">
      <c r="A202" s="165">
        <v>2212008016</v>
      </c>
      <c r="B202" s="166" t="s">
        <v>210</v>
      </c>
      <c r="C202" s="167" t="s">
        <v>8</v>
      </c>
      <c r="D202" s="77">
        <f>SUM(PACIENTES!D202+COMEDOR!D202+JORNADA!D202+'DIETOLOGÍA(S)'!D202)</f>
        <v>0</v>
      </c>
      <c r="E202" s="77">
        <f>SUM(PACIENTES!E202+COMEDOR!E202+JORNADA!E202+'DIETOLOGÍA(S)'!E202)</f>
        <v>0</v>
      </c>
      <c r="F202" s="77">
        <f>SUM(PACIENTES!F202+COMEDOR!F202+JORNADA!F202+'DIETOLOGÍA(S)'!F202)</f>
        <v>0</v>
      </c>
      <c r="G202" s="77">
        <f>SUM(PACIENTES!G202+COMEDOR!G202+JORNADA!G202+'DIETOLOGÍA(S)'!G202)</f>
        <v>0</v>
      </c>
      <c r="H202" s="77">
        <f>SUM(PACIENTES!H202+COMEDOR!H202+JORNADA!H202+'DIETOLOGÍA(S)'!H202)</f>
        <v>0</v>
      </c>
      <c r="I202" s="77">
        <f>SUM(PACIENTES!I202+COMEDOR!I202+JORNADA!I202+'DIETOLOGÍA(S)'!I202)</f>
        <v>0</v>
      </c>
      <c r="J202" s="77">
        <f>SUM(PACIENTES!J202+COMEDOR!J202+JORNADA!J202+'DIETOLOGÍA(S)'!J202)</f>
        <v>0</v>
      </c>
      <c r="K202" s="77">
        <f>SUM(PACIENTES!K202+COMEDOR!K202+JORNADA!K202+'DIETOLOGÍA(S)'!K202)</f>
        <v>0</v>
      </c>
      <c r="L202" s="77">
        <f>SUM(PACIENTES!L202+COMEDOR!L202+JORNADA!L202+'DIETOLOGÍA(S)'!L202)</f>
        <v>0</v>
      </c>
      <c r="M202" s="77">
        <f>SUM(PACIENTES!M202+COMEDOR!M202+JORNADA!M202+'DIETOLOGÍA(S)'!M202)</f>
        <v>0</v>
      </c>
      <c r="N202" s="77">
        <f>SUM(PACIENTES!N202+COMEDOR!N202+JORNADA!N202+'DIETOLOGÍA(S)'!N202)</f>
        <v>0</v>
      </c>
      <c r="O202" s="77">
        <f>SUM(PACIENTES!O202+COMEDOR!O202+JORNADA!O202+'DIETOLOGÍA(S)'!O202)</f>
        <v>0</v>
      </c>
      <c r="P202" s="77">
        <f>SUM(PACIENTES!P202+COMEDOR!P202+JORNADA!P202+'DIETOLOGÍA(S)'!P202)</f>
        <v>0</v>
      </c>
      <c r="Q202" s="77">
        <f>SUM(PACIENTES!Q202+COMEDOR!Q202+JORNADA!Q202+'DIETOLOGÍA(S)'!Q202)</f>
        <v>0</v>
      </c>
      <c r="R202" s="77">
        <f>SUM(PACIENTES!R202+COMEDOR!R202+JORNADA!R202+'DIETOLOGÍA(S)'!R202)</f>
        <v>0</v>
      </c>
      <c r="S202" s="77">
        <f>SUM(PACIENTES!S202+COMEDOR!S202+JORNADA!S202+'DIETOLOGÍA(S)'!S202)</f>
        <v>0</v>
      </c>
      <c r="T202" s="77">
        <f>SUM(PACIENTES!T202+COMEDOR!T202+JORNADA!T202+'DIETOLOGÍA(S)'!T202)</f>
        <v>0</v>
      </c>
      <c r="U202" s="77">
        <f>SUM(PACIENTES!U202+COMEDOR!U202+JORNADA!U202+'DIETOLOGÍA(S)'!U202)</f>
        <v>0</v>
      </c>
      <c r="V202" s="77">
        <f>SUM(PACIENTES!V202+COMEDOR!V202+JORNADA!V202+'DIETOLOGÍA(S)'!V202)</f>
        <v>0</v>
      </c>
      <c r="W202" s="77">
        <f>SUM(PACIENTES!W202+COMEDOR!W202+JORNADA!W202+'DIETOLOGÍA(S)'!W202)</f>
        <v>0</v>
      </c>
      <c r="X202" s="77">
        <f>SUM(PACIENTES!X202+COMEDOR!X202+JORNADA!X202+'DIETOLOGÍA(S)'!X202)</f>
        <v>0</v>
      </c>
      <c r="Y202" s="77">
        <f>SUM(PACIENTES!Y202+COMEDOR!Y202+JORNADA!Y202+'DIETOLOGÍA(S)'!Y202)</f>
        <v>0</v>
      </c>
      <c r="Z202" s="77">
        <f>SUM(PACIENTES!Z202+COMEDOR!Z202+JORNADA!Z202+'DIETOLOGÍA(S)'!Z202)</f>
        <v>0</v>
      </c>
      <c r="AA202" s="77">
        <f>SUM(PACIENTES!AA202+COMEDOR!AA202+JORNADA!AA202+'DIETOLOGÍA(S)'!AA202)</f>
        <v>0</v>
      </c>
      <c r="AB202" s="77">
        <f>SUM(PACIENTES!AB202+COMEDOR!AB202+JORNADA!AB202+'DIETOLOGÍA(S)'!AB202)</f>
        <v>0</v>
      </c>
      <c r="AC202" s="77">
        <f>SUM(PACIENTES!AC202+COMEDOR!AC202+JORNADA!AC202+'DIETOLOGÍA(S)'!AC202)</f>
        <v>0</v>
      </c>
      <c r="AD202" s="77">
        <f>SUM(PACIENTES!AD202+COMEDOR!AD202+JORNADA!AD202+'DIETOLOGÍA(S)'!AD202)</f>
        <v>0</v>
      </c>
      <c r="AE202" s="77">
        <f>SUM(PACIENTES!AE202+COMEDOR!AE202+JORNADA!AE202+'DIETOLOGÍA(S)'!AE202)</f>
        <v>0</v>
      </c>
      <c r="AF202" s="77">
        <f>SUM(PACIENTES!AF202+COMEDOR!AF202+JORNADA!AF202+'DIETOLOGÍA(S)'!AF202)</f>
        <v>0</v>
      </c>
      <c r="AG202" s="77">
        <f>SUM(PACIENTES!AG202+COMEDOR!AG202+JORNADA!AG202+'DIETOLOGÍA(S)'!AG202)</f>
        <v>0</v>
      </c>
      <c r="AH202" s="77">
        <f>SUM(PACIENTES!AH202+COMEDOR!AH202+JORNADA!AH202+'DIETOLOGÍA(S)'!AH202)</f>
        <v>0</v>
      </c>
      <c r="AI202" s="9">
        <f t="shared" si="8"/>
        <v>0</v>
      </c>
    </row>
    <row r="203" spans="1:35" ht="15.75" customHeight="1">
      <c r="A203" s="165">
        <v>2212008017</v>
      </c>
      <c r="B203" s="166" t="s">
        <v>211</v>
      </c>
      <c r="C203" s="167" t="s">
        <v>8</v>
      </c>
      <c r="D203" s="77">
        <f>SUM(PACIENTES!D203+COMEDOR!D203+JORNADA!D203+'DIETOLOGÍA(S)'!D203)</f>
        <v>0</v>
      </c>
      <c r="E203" s="77">
        <f>SUM(PACIENTES!E203+COMEDOR!E203+JORNADA!E203+'DIETOLOGÍA(S)'!E203)</f>
        <v>0</v>
      </c>
      <c r="F203" s="77">
        <f>SUM(PACIENTES!F203+COMEDOR!F203+JORNADA!F203+'DIETOLOGÍA(S)'!F203)</f>
        <v>0</v>
      </c>
      <c r="G203" s="77">
        <f>SUM(PACIENTES!G203+COMEDOR!G203+JORNADA!G203+'DIETOLOGÍA(S)'!G203)</f>
        <v>0</v>
      </c>
      <c r="H203" s="77">
        <f>SUM(PACIENTES!H203+COMEDOR!H203+JORNADA!H203+'DIETOLOGÍA(S)'!H203)</f>
        <v>0</v>
      </c>
      <c r="I203" s="77">
        <f>SUM(PACIENTES!I203+COMEDOR!I203+JORNADA!I203+'DIETOLOGÍA(S)'!I203)</f>
        <v>0</v>
      </c>
      <c r="J203" s="77">
        <f>SUM(PACIENTES!J203+COMEDOR!J203+JORNADA!J203+'DIETOLOGÍA(S)'!J203)</f>
        <v>0</v>
      </c>
      <c r="K203" s="77">
        <f>SUM(PACIENTES!K203+COMEDOR!K203+JORNADA!K203+'DIETOLOGÍA(S)'!K203)</f>
        <v>0</v>
      </c>
      <c r="L203" s="77">
        <f>SUM(PACIENTES!L203+COMEDOR!L203+JORNADA!L203+'DIETOLOGÍA(S)'!L203)</f>
        <v>0</v>
      </c>
      <c r="M203" s="77">
        <f>SUM(PACIENTES!M203+COMEDOR!M203+JORNADA!M203+'DIETOLOGÍA(S)'!M203)</f>
        <v>0</v>
      </c>
      <c r="N203" s="77">
        <f>SUM(PACIENTES!N203+COMEDOR!N203+JORNADA!N203+'DIETOLOGÍA(S)'!N203)</f>
        <v>0</v>
      </c>
      <c r="O203" s="77">
        <f>SUM(PACIENTES!O203+COMEDOR!O203+JORNADA!O203+'DIETOLOGÍA(S)'!O203)</f>
        <v>0</v>
      </c>
      <c r="P203" s="77">
        <f>SUM(PACIENTES!P203+COMEDOR!P203+JORNADA!P203+'DIETOLOGÍA(S)'!P203)</f>
        <v>0</v>
      </c>
      <c r="Q203" s="77">
        <f>SUM(PACIENTES!Q203+COMEDOR!Q203+JORNADA!Q203+'DIETOLOGÍA(S)'!Q203)</f>
        <v>0</v>
      </c>
      <c r="R203" s="77">
        <f>SUM(PACIENTES!R203+COMEDOR!R203+JORNADA!R203+'DIETOLOGÍA(S)'!R203)</f>
        <v>0</v>
      </c>
      <c r="S203" s="77">
        <f>SUM(PACIENTES!S203+COMEDOR!S203+JORNADA!S203+'DIETOLOGÍA(S)'!S203)</f>
        <v>0</v>
      </c>
      <c r="T203" s="77">
        <f>SUM(PACIENTES!T203+COMEDOR!T203+JORNADA!T203+'DIETOLOGÍA(S)'!T203)</f>
        <v>0</v>
      </c>
      <c r="U203" s="77">
        <f>SUM(PACIENTES!U203+COMEDOR!U203+JORNADA!U203+'DIETOLOGÍA(S)'!U203)</f>
        <v>0</v>
      </c>
      <c r="V203" s="77">
        <f>SUM(PACIENTES!V203+COMEDOR!V203+JORNADA!V203+'DIETOLOGÍA(S)'!V203)</f>
        <v>0</v>
      </c>
      <c r="W203" s="77">
        <f>SUM(PACIENTES!W203+COMEDOR!W203+JORNADA!W203+'DIETOLOGÍA(S)'!W203)</f>
        <v>0</v>
      </c>
      <c r="X203" s="77">
        <f>SUM(PACIENTES!X203+COMEDOR!X203+JORNADA!X203+'DIETOLOGÍA(S)'!X203)</f>
        <v>0</v>
      </c>
      <c r="Y203" s="77">
        <f>SUM(PACIENTES!Y203+COMEDOR!Y203+JORNADA!Y203+'DIETOLOGÍA(S)'!Y203)</f>
        <v>0</v>
      </c>
      <c r="Z203" s="77">
        <f>SUM(PACIENTES!Z203+COMEDOR!Z203+JORNADA!Z203+'DIETOLOGÍA(S)'!Z203)</f>
        <v>0</v>
      </c>
      <c r="AA203" s="77">
        <f>SUM(PACIENTES!AA203+COMEDOR!AA203+JORNADA!AA203+'DIETOLOGÍA(S)'!AA203)</f>
        <v>0</v>
      </c>
      <c r="AB203" s="77">
        <f>SUM(PACIENTES!AB203+COMEDOR!AB203+JORNADA!AB203+'DIETOLOGÍA(S)'!AB203)</f>
        <v>0</v>
      </c>
      <c r="AC203" s="77">
        <f>SUM(PACIENTES!AC203+COMEDOR!AC203+JORNADA!AC203+'DIETOLOGÍA(S)'!AC203)</f>
        <v>0</v>
      </c>
      <c r="AD203" s="77">
        <f>SUM(PACIENTES!AD203+COMEDOR!AD203+JORNADA!AD203+'DIETOLOGÍA(S)'!AD203)</f>
        <v>0</v>
      </c>
      <c r="AE203" s="77">
        <f>SUM(PACIENTES!AE203+COMEDOR!AE203+JORNADA!AE203+'DIETOLOGÍA(S)'!AE203)</f>
        <v>0</v>
      </c>
      <c r="AF203" s="77">
        <f>SUM(PACIENTES!AF203+COMEDOR!AF203+JORNADA!AF203+'DIETOLOGÍA(S)'!AF203)</f>
        <v>0</v>
      </c>
      <c r="AG203" s="77">
        <f>SUM(PACIENTES!AG203+COMEDOR!AG203+JORNADA!AG203+'DIETOLOGÍA(S)'!AG203)</f>
        <v>0</v>
      </c>
      <c r="AH203" s="77">
        <f>SUM(PACIENTES!AH203+COMEDOR!AH203+JORNADA!AH203+'DIETOLOGÍA(S)'!AH203)</f>
        <v>0</v>
      </c>
      <c r="AI203" s="9">
        <f t="shared" si="8"/>
        <v>0</v>
      </c>
    </row>
    <row r="204" spans="1:35" ht="15.75" customHeight="1">
      <c r="A204" s="165">
        <v>2212008018</v>
      </c>
      <c r="B204" s="166" t="s">
        <v>212</v>
      </c>
      <c r="C204" s="167" t="s">
        <v>8</v>
      </c>
      <c r="D204" s="77">
        <f>SUM(PACIENTES!D204+COMEDOR!D204+JORNADA!D204+'DIETOLOGÍA(S)'!D204)</f>
        <v>0</v>
      </c>
      <c r="E204" s="77">
        <f>SUM(PACIENTES!E204+COMEDOR!E204+JORNADA!E204+'DIETOLOGÍA(S)'!E204)</f>
        <v>0</v>
      </c>
      <c r="F204" s="77">
        <f>SUM(PACIENTES!F204+COMEDOR!F204+JORNADA!F204+'DIETOLOGÍA(S)'!F204)</f>
        <v>0</v>
      </c>
      <c r="G204" s="77">
        <f>SUM(PACIENTES!G204+COMEDOR!G204+JORNADA!G204+'DIETOLOGÍA(S)'!G204)</f>
        <v>0</v>
      </c>
      <c r="H204" s="77">
        <f>SUM(PACIENTES!H204+COMEDOR!H204+JORNADA!H204+'DIETOLOGÍA(S)'!H204)</f>
        <v>0</v>
      </c>
      <c r="I204" s="599">
        <f>SUM(PACIENTES!I204+COMEDOR!I204+JORNADA!I204+'DIETOLOGÍA(S)'!I204)</f>
        <v>0</v>
      </c>
      <c r="J204" s="77">
        <f>SUM(PACIENTES!J204+COMEDOR!J204+JORNADA!J204+'DIETOLOGÍA(S)'!J204)</f>
        <v>5</v>
      </c>
      <c r="K204" s="77">
        <f>SUM(PACIENTES!K204+COMEDOR!K204+JORNADA!K204+'DIETOLOGÍA(S)'!K204)</f>
        <v>0</v>
      </c>
      <c r="L204" s="77">
        <f>SUM(PACIENTES!L204+COMEDOR!L204+JORNADA!L204+'DIETOLOGÍA(S)'!L204)</f>
        <v>0</v>
      </c>
      <c r="M204" s="77">
        <f>SUM(PACIENTES!M204+COMEDOR!M204+JORNADA!M204+'DIETOLOGÍA(S)'!M204)</f>
        <v>0</v>
      </c>
      <c r="N204" s="77">
        <f>SUM(PACIENTES!N204+COMEDOR!N204+JORNADA!N204+'DIETOLOGÍA(S)'!N204)</f>
        <v>0</v>
      </c>
      <c r="O204" s="77">
        <f>SUM(PACIENTES!O204+COMEDOR!O204+JORNADA!O204+'DIETOLOGÍA(S)'!O204)</f>
        <v>0</v>
      </c>
      <c r="P204" s="77">
        <f>SUM(PACIENTES!P204+COMEDOR!P204+JORNADA!P204+'DIETOLOGÍA(S)'!P204)</f>
        <v>0</v>
      </c>
      <c r="Q204" s="77">
        <f>SUM(PACIENTES!Q204+COMEDOR!Q204+JORNADA!Q204+'DIETOLOGÍA(S)'!Q204)</f>
        <v>5</v>
      </c>
      <c r="R204" s="77">
        <f>SUM(PACIENTES!R204+COMEDOR!R204+JORNADA!R204+'DIETOLOGÍA(S)'!R204)</f>
        <v>0</v>
      </c>
      <c r="S204" s="77">
        <f>SUM(PACIENTES!S204+COMEDOR!S204+JORNADA!S204+'DIETOLOGÍA(S)'!S204)</f>
        <v>0</v>
      </c>
      <c r="T204" s="77">
        <f>SUM(PACIENTES!T204+COMEDOR!T204+JORNADA!T204+'DIETOLOGÍA(S)'!T204)</f>
        <v>0</v>
      </c>
      <c r="U204" s="77">
        <f>SUM(PACIENTES!U204+COMEDOR!U204+JORNADA!U204+'DIETOLOGÍA(S)'!U204)</f>
        <v>0</v>
      </c>
      <c r="V204" s="77">
        <f>SUM(PACIENTES!V204+COMEDOR!V204+JORNADA!V204+'DIETOLOGÍA(S)'!V204)</f>
        <v>0</v>
      </c>
      <c r="W204" s="77">
        <f>SUM(PACIENTES!W204+COMEDOR!W204+JORNADA!W204+'DIETOLOGÍA(S)'!W204)</f>
        <v>0</v>
      </c>
      <c r="X204" s="77">
        <f>SUM(PACIENTES!X204+COMEDOR!X204+JORNADA!X204+'DIETOLOGÍA(S)'!X204)</f>
        <v>5</v>
      </c>
      <c r="Y204" s="77">
        <f>SUM(PACIENTES!Y204+COMEDOR!Y204+JORNADA!Y204+'DIETOLOGÍA(S)'!Y204)</f>
        <v>0</v>
      </c>
      <c r="Z204" s="77">
        <f>SUM(PACIENTES!Z204+COMEDOR!Z204+JORNADA!Z204+'DIETOLOGÍA(S)'!Z204)</f>
        <v>0</v>
      </c>
      <c r="AA204" s="77">
        <f>SUM(PACIENTES!AA204+COMEDOR!AA204+JORNADA!AA204+'DIETOLOGÍA(S)'!AA204)</f>
        <v>0</v>
      </c>
      <c r="AB204" s="77">
        <f>SUM(PACIENTES!AB204+COMEDOR!AB204+JORNADA!AB204+'DIETOLOGÍA(S)'!AB204)</f>
        <v>0</v>
      </c>
      <c r="AC204" s="77">
        <f>SUM(PACIENTES!AC204+COMEDOR!AC204+JORNADA!AC204+'DIETOLOGÍA(S)'!AC204)</f>
        <v>0</v>
      </c>
      <c r="AD204" s="77">
        <f>SUM(PACIENTES!AD204+COMEDOR!AD204+JORNADA!AD204+'DIETOLOGÍA(S)'!AD204)</f>
        <v>0</v>
      </c>
      <c r="AE204" s="77">
        <f>SUM(PACIENTES!AE204+COMEDOR!AE204+JORNADA!AE204+'DIETOLOGÍA(S)'!AE204)</f>
        <v>5</v>
      </c>
      <c r="AF204" s="77">
        <f>SUM(PACIENTES!AF204+COMEDOR!AF204+JORNADA!AF204+'DIETOLOGÍA(S)'!AF204)</f>
        <v>0</v>
      </c>
      <c r="AG204" s="77">
        <f>SUM(PACIENTES!AG204+COMEDOR!AG204+JORNADA!AG204+'DIETOLOGÍA(S)'!AG204)</f>
        <v>0</v>
      </c>
      <c r="AH204" s="77">
        <f>SUM(PACIENTES!AH204+COMEDOR!AH204+JORNADA!AH204+'DIETOLOGÍA(S)'!AH204)</f>
        <v>0</v>
      </c>
      <c r="AI204" s="9">
        <f t="shared" si="8"/>
        <v>20</v>
      </c>
    </row>
    <row r="205" spans="1:35" ht="15.75" customHeight="1">
      <c r="A205" s="165">
        <v>2212008020</v>
      </c>
      <c r="B205" s="166" t="s">
        <v>213</v>
      </c>
      <c r="C205" s="167" t="s">
        <v>6</v>
      </c>
      <c r="D205" s="77">
        <f>SUM(PACIENTES!D205+COMEDOR!D205+JORNADA!D205+'DIETOLOGÍA(S)'!D205)</f>
        <v>0</v>
      </c>
      <c r="E205" s="77">
        <f>SUM(PACIENTES!E205+COMEDOR!E205+JORNADA!E205+'DIETOLOGÍA(S)'!E205)</f>
        <v>0</v>
      </c>
      <c r="F205" s="77">
        <f>SUM(PACIENTES!F205+COMEDOR!F205+JORNADA!F205+'DIETOLOGÍA(S)'!F205)</f>
        <v>0</v>
      </c>
      <c r="G205" s="77">
        <f>SUM(PACIENTES!G205+COMEDOR!G205+JORNADA!G205+'DIETOLOGÍA(S)'!G205)</f>
        <v>0</v>
      </c>
      <c r="H205" s="77">
        <f>SUM(PACIENTES!H205+COMEDOR!H205+JORNADA!H205+'DIETOLOGÍA(S)'!H205)</f>
        <v>0</v>
      </c>
      <c r="I205" s="77">
        <f>SUM(PACIENTES!I205+COMEDOR!I205+JORNADA!I205+'DIETOLOGÍA(S)'!I205)</f>
        <v>0</v>
      </c>
      <c r="J205" s="77">
        <f>SUM(PACIENTES!J205+COMEDOR!J205+JORNADA!J205+'DIETOLOGÍA(S)'!J205)</f>
        <v>1</v>
      </c>
      <c r="K205" s="77">
        <f>SUM(PACIENTES!K205+COMEDOR!K205+JORNADA!K205+'DIETOLOGÍA(S)'!K205)</f>
        <v>7</v>
      </c>
      <c r="L205" s="77">
        <f>SUM(PACIENTES!L205+COMEDOR!L205+JORNADA!L205+'DIETOLOGÍA(S)'!L205)</f>
        <v>0</v>
      </c>
      <c r="M205" s="77">
        <f>SUM(PACIENTES!M205+COMEDOR!M205+JORNADA!M205+'DIETOLOGÍA(S)'!M205)</f>
        <v>0</v>
      </c>
      <c r="N205" s="77">
        <f>SUM(PACIENTES!N205+COMEDOR!N205+JORNADA!N205+'DIETOLOGÍA(S)'!N205)</f>
        <v>0</v>
      </c>
      <c r="O205" s="77">
        <f>SUM(PACIENTES!O205+COMEDOR!O205+JORNADA!O205+'DIETOLOGÍA(S)'!O205)</f>
        <v>0</v>
      </c>
      <c r="P205" s="77">
        <f>SUM(PACIENTES!P205+COMEDOR!P205+JORNADA!P205+'DIETOLOGÍA(S)'!P205)</f>
        <v>0</v>
      </c>
      <c r="Q205" s="77">
        <f>SUM(PACIENTES!Q205+COMEDOR!Q205+JORNADA!Q205+'DIETOLOGÍA(S)'!Q205)</f>
        <v>0</v>
      </c>
      <c r="R205" s="77">
        <f>SUM(PACIENTES!R205+COMEDOR!R205+JORNADA!R205+'DIETOLOGÍA(S)'!R205)</f>
        <v>0</v>
      </c>
      <c r="S205" s="77">
        <f>SUM(PACIENTES!S205+COMEDOR!S205+JORNADA!S205+'DIETOLOGÍA(S)'!S205)</f>
        <v>0</v>
      </c>
      <c r="T205" s="77">
        <f>SUM(PACIENTES!T205+COMEDOR!T205+JORNADA!T205+'DIETOLOGÍA(S)'!T205)</f>
        <v>0</v>
      </c>
      <c r="U205" s="77">
        <f>SUM(PACIENTES!U205+COMEDOR!U205+JORNADA!U205+'DIETOLOGÍA(S)'!U205)</f>
        <v>0</v>
      </c>
      <c r="V205" s="77">
        <f>SUM(PACIENTES!V205+COMEDOR!V205+JORNADA!V205+'DIETOLOGÍA(S)'!V205)</f>
        <v>0</v>
      </c>
      <c r="W205" s="77">
        <f>SUM(PACIENTES!W205+COMEDOR!W205+JORNADA!W205+'DIETOLOGÍA(S)'!W205)</f>
        <v>20</v>
      </c>
      <c r="X205" s="77">
        <f>SUM(PACIENTES!X205+COMEDOR!X205+JORNADA!X205+'DIETOLOGÍA(S)'!X205)</f>
        <v>1</v>
      </c>
      <c r="Y205" s="77">
        <f>SUM(PACIENTES!Y205+COMEDOR!Y205+JORNADA!Y205+'DIETOLOGÍA(S)'!Y205)</f>
        <v>0</v>
      </c>
      <c r="Z205" s="77">
        <f>SUM(PACIENTES!Z205+COMEDOR!Z205+JORNADA!Z205+'DIETOLOGÍA(S)'!Z205)</f>
        <v>0</v>
      </c>
      <c r="AA205" s="77">
        <f>SUM(PACIENTES!AA205+COMEDOR!AA205+JORNADA!AA205+'DIETOLOGÍA(S)'!AA205)</f>
        <v>0</v>
      </c>
      <c r="AB205" s="77">
        <f>SUM(PACIENTES!AB205+COMEDOR!AB205+JORNADA!AB205+'DIETOLOGÍA(S)'!AB205)</f>
        <v>0</v>
      </c>
      <c r="AC205" s="77">
        <f>SUM(PACIENTES!AC205+COMEDOR!AC205+JORNADA!AC205+'DIETOLOGÍA(S)'!AC205)</f>
        <v>0</v>
      </c>
      <c r="AD205" s="77">
        <f>SUM(PACIENTES!AD205+COMEDOR!AD205+JORNADA!AD205+'DIETOLOGÍA(S)'!AD205)</f>
        <v>0</v>
      </c>
      <c r="AE205" s="77">
        <f>SUM(PACIENTES!AE205+COMEDOR!AE205+JORNADA!AE205+'DIETOLOGÍA(S)'!AE205)</f>
        <v>0</v>
      </c>
      <c r="AF205" s="77">
        <f>SUM(PACIENTES!AF205+COMEDOR!AF205+JORNADA!AF205+'DIETOLOGÍA(S)'!AF205)</f>
        <v>0</v>
      </c>
      <c r="AG205" s="77">
        <f>SUM(PACIENTES!AG205+COMEDOR!AG205+JORNADA!AG205+'DIETOLOGÍA(S)'!AG205)</f>
        <v>0</v>
      </c>
      <c r="AH205" s="77">
        <f>SUM(PACIENTES!AH205+COMEDOR!AH205+JORNADA!AH205+'DIETOLOGÍA(S)'!AH205)</f>
        <v>0</v>
      </c>
      <c r="AI205" s="9">
        <f t="shared" si="8"/>
        <v>29</v>
      </c>
    </row>
    <row r="206" spans="1:35" ht="15.75" customHeight="1">
      <c r="A206" s="165">
        <v>2212008021</v>
      </c>
      <c r="B206" s="166" t="s">
        <v>214</v>
      </c>
      <c r="C206" s="167" t="s">
        <v>6</v>
      </c>
      <c r="D206" s="77">
        <f>SUM(PACIENTES!D206+COMEDOR!D206+JORNADA!D206+'DIETOLOGÍA(S)'!D206)</f>
        <v>0</v>
      </c>
      <c r="E206" s="77">
        <f>SUM(PACIENTES!E206+COMEDOR!E206+JORNADA!E206+'DIETOLOGÍA(S)'!E206)</f>
        <v>44</v>
      </c>
      <c r="F206" s="77">
        <f>SUM(PACIENTES!F206+COMEDOR!F206+JORNADA!F206+'DIETOLOGÍA(S)'!F206)</f>
        <v>44</v>
      </c>
      <c r="G206" s="77">
        <f>SUM(PACIENTES!G206+COMEDOR!G206+JORNADA!G206+'DIETOLOGÍA(S)'!G206)</f>
        <v>0</v>
      </c>
      <c r="H206" s="77">
        <f>SUM(PACIENTES!H206+COMEDOR!H206+JORNADA!H206+'DIETOLOGÍA(S)'!H206)</f>
        <v>0</v>
      </c>
      <c r="I206" s="77">
        <f>SUM(PACIENTES!I206+COMEDOR!I206+JORNADA!I206+'DIETOLOGÍA(S)'!I206)</f>
        <v>44</v>
      </c>
      <c r="J206" s="77">
        <f>SUM(PACIENTES!J206+COMEDOR!J206+JORNADA!J206+'DIETOLOGÍA(S)'!J206)</f>
        <v>22</v>
      </c>
      <c r="K206" s="77">
        <f>SUM(PACIENTES!K206+COMEDOR!K206+JORNADA!K206+'DIETOLOGÍA(S)'!K206)</f>
        <v>44</v>
      </c>
      <c r="L206" s="77">
        <f>SUM(PACIENTES!L206+COMEDOR!L206+JORNADA!L206+'DIETOLOGÍA(S)'!L206)</f>
        <v>0</v>
      </c>
      <c r="M206" s="77">
        <f>SUM(PACIENTES!M206+COMEDOR!M206+JORNADA!M206+'DIETOLOGÍA(S)'!M206)</f>
        <v>22</v>
      </c>
      <c r="N206" s="77">
        <f>SUM(PACIENTES!N206+COMEDOR!N206+JORNADA!N206+'DIETOLOGÍA(S)'!N206)</f>
        <v>44</v>
      </c>
      <c r="O206" s="77">
        <f>SUM(PACIENTES!O206+COMEDOR!O206+JORNADA!O206+'DIETOLOGÍA(S)'!O206)</f>
        <v>44</v>
      </c>
      <c r="P206" s="77">
        <f>SUM(PACIENTES!P206+COMEDOR!P206+JORNADA!P206+'DIETOLOGÍA(S)'!P206)</f>
        <v>0</v>
      </c>
      <c r="Q206" s="77">
        <f>SUM(PACIENTES!Q206+COMEDOR!Q206+JORNADA!Q206+'DIETOLOGÍA(S)'!Q206)</f>
        <v>44</v>
      </c>
      <c r="R206" s="77">
        <f>SUM(PACIENTES!R206+COMEDOR!R206+JORNADA!R206+'DIETOLOGÍA(S)'!R206)</f>
        <v>22</v>
      </c>
      <c r="S206" s="77">
        <f>SUM(PACIENTES!S206+COMEDOR!S206+JORNADA!S206+'DIETOLOGÍA(S)'!S206)</f>
        <v>22</v>
      </c>
      <c r="T206" s="77">
        <f>SUM(PACIENTES!T206+COMEDOR!T206+JORNADA!T206+'DIETOLOGÍA(S)'!T206)</f>
        <v>22</v>
      </c>
      <c r="U206" s="77">
        <f>SUM(PACIENTES!U206+COMEDOR!U206+JORNADA!U206+'DIETOLOGÍA(S)'!U206)</f>
        <v>0</v>
      </c>
      <c r="V206" s="77">
        <f>SUM(PACIENTES!V206+COMEDOR!V206+JORNADA!V206+'DIETOLOGÍA(S)'!V206)</f>
        <v>44</v>
      </c>
      <c r="W206" s="77">
        <f>SUM(PACIENTES!W206+COMEDOR!W206+JORNADA!W206+'DIETOLOGÍA(S)'!W206)</f>
        <v>22</v>
      </c>
      <c r="X206" s="77">
        <f>SUM(PACIENTES!X206+COMEDOR!X206+JORNADA!X206+'DIETOLOGÍA(S)'!X206)</f>
        <v>22</v>
      </c>
      <c r="Y206" s="77">
        <f>SUM(PACIENTES!Y206+COMEDOR!Y206+JORNADA!Y206+'DIETOLOGÍA(S)'!Y206)</f>
        <v>22</v>
      </c>
      <c r="Z206" s="77">
        <f>SUM(PACIENTES!Z206+COMEDOR!Z206+JORNADA!Z206+'DIETOLOGÍA(S)'!Z206)</f>
        <v>44</v>
      </c>
      <c r="AA206" s="77">
        <f>SUM(PACIENTES!AA206+COMEDOR!AA206+JORNADA!AA206+'DIETOLOGÍA(S)'!AA206)</f>
        <v>44</v>
      </c>
      <c r="AB206" s="77">
        <f>SUM(PACIENTES!AB206+COMEDOR!AB206+JORNADA!AB206+'DIETOLOGÍA(S)'!AB206)</f>
        <v>0</v>
      </c>
      <c r="AC206" s="77">
        <f>SUM(PACIENTES!AC206+COMEDOR!AC206+JORNADA!AC206+'DIETOLOGÍA(S)'!AC206)</f>
        <v>22</v>
      </c>
      <c r="AD206" s="77">
        <f>SUM(PACIENTES!AD206+COMEDOR!AD206+JORNADA!AD206+'DIETOLOGÍA(S)'!AD206)</f>
        <v>22</v>
      </c>
      <c r="AE206" s="77">
        <f>SUM(PACIENTES!AE206+COMEDOR!AE206+JORNADA!AE206+'DIETOLOGÍA(S)'!AE206)</f>
        <v>44</v>
      </c>
      <c r="AF206" s="77">
        <f>SUM(PACIENTES!AF206+COMEDOR!AF206+JORNADA!AF206+'DIETOLOGÍA(S)'!AF206)</f>
        <v>47</v>
      </c>
      <c r="AG206" s="77">
        <f>SUM(PACIENTES!AG206+COMEDOR!AG206+JORNADA!AG206+'DIETOLOGÍA(S)'!AG206)</f>
        <v>44</v>
      </c>
      <c r="AH206" s="77">
        <f>SUM(PACIENTES!AH206+COMEDOR!AH206+JORNADA!AH206+'DIETOLOGÍA(S)'!AH206)</f>
        <v>47</v>
      </c>
      <c r="AI206" s="9">
        <f t="shared" si="8"/>
        <v>842</v>
      </c>
    </row>
    <row r="207" spans="1:35" ht="15.75" customHeight="1">
      <c r="A207" s="165">
        <v>2212008022</v>
      </c>
      <c r="B207" s="166" t="s">
        <v>215</v>
      </c>
      <c r="C207" s="167" t="s">
        <v>8</v>
      </c>
      <c r="D207" s="77">
        <f>SUM(PACIENTES!D207+COMEDOR!D207+JORNADA!D207+'DIETOLOGÍA(S)'!D207)</f>
        <v>200</v>
      </c>
      <c r="E207" s="77">
        <f>SUM(PACIENTES!E207+COMEDOR!E207+JORNADA!E207+'DIETOLOGÍA(S)'!E207)</f>
        <v>200</v>
      </c>
      <c r="F207" s="77">
        <f>SUM(PACIENTES!F207+COMEDOR!F207+JORNADA!F207+'DIETOLOGÍA(S)'!F207)</f>
        <v>0</v>
      </c>
      <c r="G207" s="77">
        <f>SUM(PACIENTES!G207+COMEDOR!G207+JORNADA!G207+'DIETOLOGÍA(S)'!G207)</f>
        <v>300</v>
      </c>
      <c r="H207" s="77">
        <f>SUM(PACIENTES!H207+COMEDOR!H207+JORNADA!H207+'DIETOLOGÍA(S)'!H207)</f>
        <v>600</v>
      </c>
      <c r="I207" s="77">
        <f>SUM(PACIENTES!I207+COMEDOR!I207+JORNADA!I207+'DIETOLOGÍA(S)'!I207)</f>
        <v>0</v>
      </c>
      <c r="J207" s="77">
        <f>SUM(PACIENTES!J207+COMEDOR!J207+JORNADA!J207+'DIETOLOGÍA(S)'!J207)</f>
        <v>224</v>
      </c>
      <c r="K207" s="77">
        <f>SUM(PACIENTES!K207+COMEDOR!K207+JORNADA!K207+'DIETOLOGÍA(S)'!K207)</f>
        <v>0</v>
      </c>
      <c r="L207" s="77">
        <f>SUM(PACIENTES!L207+COMEDOR!L207+JORNADA!L207+'DIETOLOGÍA(S)'!L207)</f>
        <v>500</v>
      </c>
      <c r="M207" s="77">
        <f>SUM(PACIENTES!M207+COMEDOR!M207+JORNADA!M207+'DIETOLOGÍA(S)'!M207)</f>
        <v>0</v>
      </c>
      <c r="N207" s="77">
        <f>SUM(PACIENTES!N207+COMEDOR!N207+JORNADA!N207+'DIETOLOGÍA(S)'!N207)</f>
        <v>200</v>
      </c>
      <c r="O207" s="77">
        <f>SUM(PACIENTES!O207+COMEDOR!O207+JORNADA!O207+'DIETOLOGÍA(S)'!O207)</f>
        <v>200</v>
      </c>
      <c r="P207" s="77">
        <f>SUM(PACIENTES!P207+COMEDOR!P207+JORNADA!P207+'DIETOLOGÍA(S)'!P207)</f>
        <v>300</v>
      </c>
      <c r="Q207" s="77">
        <f>SUM(PACIENTES!Q207+COMEDOR!Q207+JORNADA!Q207+'DIETOLOGÍA(S)'!Q207)</f>
        <v>0</v>
      </c>
      <c r="R207" s="77">
        <f>SUM(PACIENTES!R207+COMEDOR!R207+JORNADA!R207+'DIETOLOGÍA(S)'!R207)</f>
        <v>300</v>
      </c>
      <c r="S207" s="77">
        <f>SUM(PACIENTES!S207+COMEDOR!S207+JORNADA!S207+'DIETOLOGÍA(S)'!S207)</f>
        <v>0</v>
      </c>
      <c r="T207" s="77">
        <f>SUM(PACIENTES!T207+COMEDOR!T207+JORNADA!T207+'DIETOLOGÍA(S)'!T207)</f>
        <v>200</v>
      </c>
      <c r="U207" s="77">
        <f>SUM(PACIENTES!U207+COMEDOR!U207+JORNADA!U207+'DIETOLOGÍA(S)'!U207)</f>
        <v>300</v>
      </c>
      <c r="V207" s="77">
        <f>SUM(PACIENTES!V207+COMEDOR!V207+JORNADA!V207+'DIETOLOGÍA(S)'!V207)</f>
        <v>0</v>
      </c>
      <c r="W207" s="77">
        <f>SUM(PACIENTES!W207+COMEDOR!W207+JORNADA!W207+'DIETOLOGÍA(S)'!W207)</f>
        <v>0</v>
      </c>
      <c r="X207" s="77">
        <f>SUM(PACIENTES!X207+COMEDOR!X207+JORNADA!X207+'DIETOLOGÍA(S)'!X207)</f>
        <v>500</v>
      </c>
      <c r="Y207" s="77">
        <f>SUM(PACIENTES!Y207+COMEDOR!Y207+JORNADA!Y207+'DIETOLOGÍA(S)'!Y207)</f>
        <v>0</v>
      </c>
      <c r="Z207" s="77">
        <f>SUM(PACIENTES!Z207+COMEDOR!Z207+JORNADA!Z207+'DIETOLOGÍA(S)'!Z207)</f>
        <v>0</v>
      </c>
      <c r="AA207" s="77">
        <f>SUM(PACIENTES!AA207+COMEDOR!AA207+JORNADA!AA207+'DIETOLOGÍA(S)'!AA207)</f>
        <v>0</v>
      </c>
      <c r="AB207" s="77">
        <f>SUM(PACIENTES!AB207+COMEDOR!AB207+JORNADA!AB207+'DIETOLOGÍA(S)'!AB207)</f>
        <v>0</v>
      </c>
      <c r="AC207" s="77">
        <f>SUM(PACIENTES!AC207+COMEDOR!AC207+JORNADA!AC207+'DIETOLOGÍA(S)'!AC207)</f>
        <v>500</v>
      </c>
      <c r="AD207" s="77">
        <f>SUM(PACIENTES!AD207+COMEDOR!AD207+JORNADA!AD207+'DIETOLOGÍA(S)'!AD207)</f>
        <v>0</v>
      </c>
      <c r="AE207" s="77">
        <f>SUM(PACIENTES!AE207+COMEDOR!AE207+JORNADA!AE207+'DIETOLOGÍA(S)'!AE207)</f>
        <v>200</v>
      </c>
      <c r="AF207" s="77">
        <f>SUM(PACIENTES!AF207+COMEDOR!AF207+JORNADA!AF207+'DIETOLOGÍA(S)'!AF207)</f>
        <v>0</v>
      </c>
      <c r="AG207" s="77">
        <f>SUM(PACIENTES!AG207+COMEDOR!AG207+JORNADA!AG207+'DIETOLOGÍA(S)'!AG207)</f>
        <v>0</v>
      </c>
      <c r="AH207" s="77">
        <f>SUM(PACIENTES!AH207+COMEDOR!AH207+JORNADA!AH207+'DIETOLOGÍA(S)'!AH207)</f>
        <v>0</v>
      </c>
      <c r="AI207" s="9">
        <f t="shared" si="8"/>
        <v>4724</v>
      </c>
    </row>
    <row r="208" spans="1:35" ht="15.75" customHeight="1">
      <c r="A208" s="165">
        <v>2212008023</v>
      </c>
      <c r="B208" s="166" t="s">
        <v>216</v>
      </c>
      <c r="C208" s="167" t="s">
        <v>6</v>
      </c>
      <c r="D208" s="77">
        <f>SUM(PACIENTES!D208+COMEDOR!D208+JORNADA!D208+'DIETOLOGÍA(S)'!D208)</f>
        <v>15</v>
      </c>
      <c r="E208" s="77">
        <f>SUM(PACIENTES!E208+COMEDOR!E208+JORNADA!E208+'DIETOLOGÍA(S)'!E208)</f>
        <v>0</v>
      </c>
      <c r="F208" s="77">
        <f>SUM(PACIENTES!F208+COMEDOR!F208+JORNADA!F208+'DIETOLOGÍA(S)'!F208)</f>
        <v>0</v>
      </c>
      <c r="G208" s="77">
        <f>SUM(PACIENTES!G208+COMEDOR!G208+JORNADA!G208+'DIETOLOGÍA(S)'!G208)</f>
        <v>6</v>
      </c>
      <c r="H208" s="77">
        <f>SUM(PACIENTES!H208+COMEDOR!H208+JORNADA!H208+'DIETOLOGÍA(S)'!H208)</f>
        <v>0</v>
      </c>
      <c r="I208" s="77">
        <f>SUM(PACIENTES!I208+COMEDOR!I208+JORNADA!I208+'DIETOLOGÍA(S)'!I208)</f>
        <v>0</v>
      </c>
      <c r="J208" s="77">
        <f>SUM(PACIENTES!J208+COMEDOR!J208+JORNADA!J208+'DIETOLOGÍA(S)'!J208)</f>
        <v>0</v>
      </c>
      <c r="K208" s="77">
        <f>SUM(PACIENTES!K208+COMEDOR!K208+JORNADA!K208+'DIETOLOGÍA(S)'!K208)</f>
        <v>0</v>
      </c>
      <c r="L208" s="77">
        <f>SUM(PACIENTES!L208+COMEDOR!L208+JORNADA!L208+'DIETOLOGÍA(S)'!L208)</f>
        <v>15</v>
      </c>
      <c r="M208" s="77">
        <f>SUM(PACIENTES!M208+COMEDOR!M208+JORNADA!M208+'DIETOLOGÍA(S)'!M208)</f>
        <v>0</v>
      </c>
      <c r="N208" s="77">
        <f>SUM(PACIENTES!N208+COMEDOR!N208+JORNADA!N208+'DIETOLOGÍA(S)'!N208)</f>
        <v>0</v>
      </c>
      <c r="O208" s="77">
        <f>SUM(PACIENTES!O208+COMEDOR!O208+JORNADA!O208+'DIETOLOGÍA(S)'!O208)</f>
        <v>0</v>
      </c>
      <c r="P208" s="77">
        <f>SUM(PACIENTES!P208+COMEDOR!P208+JORNADA!P208+'DIETOLOGÍA(S)'!P208)</f>
        <v>6</v>
      </c>
      <c r="Q208" s="77">
        <f>SUM(PACIENTES!Q208+COMEDOR!Q208+JORNADA!Q208+'DIETOLOGÍA(S)'!Q208)</f>
        <v>1</v>
      </c>
      <c r="R208" s="77">
        <f>SUM(PACIENTES!R208+COMEDOR!R208+JORNADA!R208+'DIETOLOGÍA(S)'!R208)</f>
        <v>0</v>
      </c>
      <c r="S208" s="77">
        <f>SUM(PACIENTES!S208+COMEDOR!S208+JORNADA!S208+'DIETOLOGÍA(S)'!S208)</f>
        <v>0</v>
      </c>
      <c r="T208" s="77">
        <f>SUM(PACIENTES!T208+COMEDOR!T208+JORNADA!T208+'DIETOLOGÍA(S)'!T208)</f>
        <v>15</v>
      </c>
      <c r="U208" s="77">
        <f>SUM(PACIENTES!U208+COMEDOR!U208+JORNADA!U208+'DIETOLOGÍA(S)'!U208)</f>
        <v>0</v>
      </c>
      <c r="V208" s="77">
        <f>SUM(PACIENTES!V208+COMEDOR!V208+JORNADA!V208+'DIETOLOGÍA(S)'!V208)</f>
        <v>7</v>
      </c>
      <c r="W208" s="77">
        <f>SUM(PACIENTES!W208+COMEDOR!W208+JORNADA!W208+'DIETOLOGÍA(S)'!W208)</f>
        <v>0</v>
      </c>
      <c r="X208" s="77">
        <f>SUM(PACIENTES!X208+COMEDOR!X208+JORNADA!X208+'DIETOLOGÍA(S)'!X208)</f>
        <v>0</v>
      </c>
      <c r="Y208" s="77">
        <f>SUM(PACIENTES!Y208+COMEDOR!Y208+JORNADA!Y208+'DIETOLOGÍA(S)'!Y208)</f>
        <v>6</v>
      </c>
      <c r="Z208" s="77">
        <f>SUM(PACIENTES!Z208+COMEDOR!Z208+JORNADA!Z208+'DIETOLOGÍA(S)'!Z208)</f>
        <v>0</v>
      </c>
      <c r="AA208" s="77">
        <f>SUM(PACIENTES!AA208+COMEDOR!AA208+JORNADA!AA208+'DIETOLOGÍA(S)'!AA208)</f>
        <v>0</v>
      </c>
      <c r="AB208" s="77">
        <f>SUM(PACIENTES!AB208+COMEDOR!AB208+JORNADA!AB208+'DIETOLOGÍA(S)'!AB208)</f>
        <v>27</v>
      </c>
      <c r="AC208" s="77">
        <f>SUM(PACIENTES!AC208+COMEDOR!AC208+JORNADA!AC208+'DIETOLOGÍA(S)'!AC208)</f>
        <v>0</v>
      </c>
      <c r="AD208" s="77">
        <f>SUM(PACIENTES!AD208+COMEDOR!AD208+JORNADA!AD208+'DIETOLOGÍA(S)'!AD208)</f>
        <v>0</v>
      </c>
      <c r="AE208" s="77">
        <f>SUM(PACIENTES!AE208+COMEDOR!AE208+JORNADA!AE208+'DIETOLOGÍA(S)'!AE208)</f>
        <v>1</v>
      </c>
      <c r="AF208" s="77">
        <f>SUM(PACIENTES!AF208+COMEDOR!AF208+JORNADA!AF208+'DIETOLOGÍA(S)'!AF208)</f>
        <v>0</v>
      </c>
      <c r="AG208" s="77">
        <f>SUM(PACIENTES!AG208+COMEDOR!AG208+JORNADA!AG208+'DIETOLOGÍA(S)'!AG208)</f>
        <v>0</v>
      </c>
      <c r="AH208" s="77">
        <f>SUM(PACIENTES!AH208+COMEDOR!AH208+JORNADA!AH208+'DIETOLOGÍA(S)'!AH208)</f>
        <v>6</v>
      </c>
      <c r="AI208" s="9">
        <f t="shared" si="8"/>
        <v>105</v>
      </c>
    </row>
    <row r="209" spans="1:35" ht="15.75" customHeight="1">
      <c r="A209" s="165">
        <v>2212008024</v>
      </c>
      <c r="B209" s="166" t="s">
        <v>217</v>
      </c>
      <c r="C209" s="167" t="s">
        <v>86</v>
      </c>
      <c r="D209" s="77">
        <f>SUM(PACIENTES!D209+COMEDOR!D209+JORNADA!D209+'DIETOLOGÍA(S)'!D209)</f>
        <v>0</v>
      </c>
      <c r="E209" s="77">
        <f>SUM(PACIENTES!E209+COMEDOR!E209+JORNADA!E209+'DIETOLOGÍA(S)'!E209)</f>
        <v>0</v>
      </c>
      <c r="F209" s="77">
        <f>SUM(PACIENTES!F209+COMEDOR!F209+JORNADA!F209+'DIETOLOGÍA(S)'!F209)</f>
        <v>0</v>
      </c>
      <c r="G209" s="77">
        <f>SUM(PACIENTES!G209+COMEDOR!G209+JORNADA!G209+'DIETOLOGÍA(S)'!G209)</f>
        <v>0</v>
      </c>
      <c r="H209" s="77">
        <f>SUM(PACIENTES!H209+COMEDOR!H209+JORNADA!H209+'DIETOLOGÍA(S)'!H209)</f>
        <v>0</v>
      </c>
      <c r="I209" s="77">
        <f>SUM(PACIENTES!I209+COMEDOR!I209+JORNADA!I209+'DIETOLOGÍA(S)'!I209)</f>
        <v>0</v>
      </c>
      <c r="J209" s="77">
        <f>SUM(PACIENTES!J209+COMEDOR!J209+JORNADA!J209+'DIETOLOGÍA(S)'!J209)</f>
        <v>0</v>
      </c>
      <c r="K209" s="77">
        <f>SUM(PACIENTES!K209+COMEDOR!K209+JORNADA!K209+'DIETOLOGÍA(S)'!K209)</f>
        <v>0</v>
      </c>
      <c r="L209" s="77">
        <f>SUM(PACIENTES!L209+COMEDOR!L209+JORNADA!L209+'DIETOLOGÍA(S)'!L209)</f>
        <v>0</v>
      </c>
      <c r="M209" s="77">
        <f>SUM(PACIENTES!M209+COMEDOR!M209+JORNADA!M209+'DIETOLOGÍA(S)'!M209)</f>
        <v>0</v>
      </c>
      <c r="N209" s="77">
        <f>SUM(PACIENTES!N209+COMEDOR!N209+JORNADA!N209+'DIETOLOGÍA(S)'!N209)</f>
        <v>0</v>
      </c>
      <c r="O209" s="77">
        <f>SUM(PACIENTES!O209+COMEDOR!O209+JORNADA!O209+'DIETOLOGÍA(S)'!O209)</f>
        <v>0</v>
      </c>
      <c r="P209" s="77">
        <f>SUM(PACIENTES!P209+COMEDOR!P209+JORNADA!P209+'DIETOLOGÍA(S)'!P209)</f>
        <v>0</v>
      </c>
      <c r="Q209" s="77">
        <f>SUM(PACIENTES!Q209+COMEDOR!Q209+JORNADA!Q209+'DIETOLOGÍA(S)'!Q209)</f>
        <v>1</v>
      </c>
      <c r="R209" s="77">
        <f>SUM(PACIENTES!R209+COMEDOR!R209+JORNADA!R209+'DIETOLOGÍA(S)'!R209)</f>
        <v>0</v>
      </c>
      <c r="S209" s="77">
        <f>SUM(PACIENTES!S209+COMEDOR!S209+JORNADA!S209+'DIETOLOGÍA(S)'!S209)</f>
        <v>0</v>
      </c>
      <c r="T209" s="77">
        <f>SUM(PACIENTES!T209+COMEDOR!T209+JORNADA!T209+'DIETOLOGÍA(S)'!T209)</f>
        <v>0</v>
      </c>
      <c r="U209" s="77">
        <f>SUM(PACIENTES!U209+COMEDOR!U209+JORNADA!U209+'DIETOLOGÍA(S)'!U209)</f>
        <v>0</v>
      </c>
      <c r="V209" s="77">
        <f>SUM(PACIENTES!V209+COMEDOR!V209+JORNADA!V209+'DIETOLOGÍA(S)'!V209)</f>
        <v>0</v>
      </c>
      <c r="W209" s="77">
        <f>SUM(PACIENTES!W209+COMEDOR!W209+JORNADA!W209+'DIETOLOGÍA(S)'!W209)</f>
        <v>1</v>
      </c>
      <c r="X209" s="77">
        <f>SUM(PACIENTES!X209+COMEDOR!X209+JORNADA!X209+'DIETOLOGÍA(S)'!X209)</f>
        <v>0</v>
      </c>
      <c r="Y209" s="77">
        <f>SUM(PACIENTES!Y209+COMEDOR!Y209+JORNADA!Y209+'DIETOLOGÍA(S)'!Y209)</f>
        <v>0</v>
      </c>
      <c r="Z209" s="77">
        <f>SUM(PACIENTES!Z209+COMEDOR!Z209+JORNADA!Z209+'DIETOLOGÍA(S)'!Z209)</f>
        <v>0</v>
      </c>
      <c r="AA209" s="77">
        <f>SUM(PACIENTES!AA209+COMEDOR!AA209+JORNADA!AA209+'DIETOLOGÍA(S)'!AA209)</f>
        <v>0</v>
      </c>
      <c r="AB209" s="77">
        <f>SUM(PACIENTES!AB209+COMEDOR!AB209+JORNADA!AB209+'DIETOLOGÍA(S)'!AB209)</f>
        <v>0</v>
      </c>
      <c r="AC209" s="77">
        <f>SUM(PACIENTES!AC209+COMEDOR!AC209+JORNADA!AC209+'DIETOLOGÍA(S)'!AC209)</f>
        <v>0</v>
      </c>
      <c r="AD209" s="77">
        <f>SUM(PACIENTES!AD209+COMEDOR!AD209+JORNADA!AD209+'DIETOLOGÍA(S)'!AD209)</f>
        <v>1</v>
      </c>
      <c r="AE209" s="77">
        <f>SUM(PACIENTES!AE209+COMEDOR!AE209+JORNADA!AE209+'DIETOLOGÍA(S)'!AE209)</f>
        <v>1</v>
      </c>
      <c r="AF209" s="77">
        <f>SUM(PACIENTES!AF209+COMEDOR!AF209+JORNADA!AF209+'DIETOLOGÍA(S)'!AF209)</f>
        <v>0</v>
      </c>
      <c r="AG209" s="77">
        <f>SUM(PACIENTES!AG209+COMEDOR!AG209+JORNADA!AG209+'DIETOLOGÍA(S)'!AG209)</f>
        <v>0</v>
      </c>
      <c r="AH209" s="77">
        <f>SUM(PACIENTES!AH209+COMEDOR!AH209+JORNADA!AH209+'DIETOLOGÍA(S)'!AH209)</f>
        <v>0</v>
      </c>
      <c r="AI209" s="9">
        <f t="shared" si="8"/>
        <v>4</v>
      </c>
    </row>
    <row r="210" spans="1:35" ht="15.75" customHeight="1">
      <c r="A210" s="165">
        <v>2212008025</v>
      </c>
      <c r="B210" s="166" t="s">
        <v>218</v>
      </c>
      <c r="C210" s="167" t="s">
        <v>219</v>
      </c>
      <c r="D210" s="77">
        <f>SUM(PACIENTES!D210+COMEDOR!D210+JORNADA!D210+'DIETOLOGÍA(S)'!D210)</f>
        <v>0</v>
      </c>
      <c r="E210" s="77">
        <f>SUM(PACIENTES!E210+COMEDOR!E210+JORNADA!E210+'DIETOLOGÍA(S)'!E210)</f>
        <v>0</v>
      </c>
      <c r="F210" s="77">
        <f>SUM(PACIENTES!F210+COMEDOR!F210+JORNADA!F210+'DIETOLOGÍA(S)'!F210)</f>
        <v>0</v>
      </c>
      <c r="G210" s="77">
        <f>SUM(PACIENTES!G210+COMEDOR!G210+JORNADA!G210+'DIETOLOGÍA(S)'!G210)</f>
        <v>0</v>
      </c>
      <c r="H210" s="77">
        <f>SUM(PACIENTES!H210+COMEDOR!H210+JORNADA!H210+'DIETOLOGÍA(S)'!H210)</f>
        <v>0</v>
      </c>
      <c r="I210" s="77">
        <f>SUM(PACIENTES!I210+COMEDOR!I210+JORNADA!I210+'DIETOLOGÍA(S)'!I210)</f>
        <v>0</v>
      </c>
      <c r="J210" s="77">
        <f>SUM(PACIENTES!J210+COMEDOR!J210+JORNADA!J210+'DIETOLOGÍA(S)'!J210)</f>
        <v>0</v>
      </c>
      <c r="K210" s="77">
        <f>SUM(PACIENTES!K210+COMEDOR!K210+JORNADA!K210+'DIETOLOGÍA(S)'!K210)</f>
        <v>0</v>
      </c>
      <c r="L210" s="77">
        <f>SUM(PACIENTES!L210+COMEDOR!L210+JORNADA!L210+'DIETOLOGÍA(S)'!L210)</f>
        <v>0</v>
      </c>
      <c r="M210" s="77">
        <f>SUM(PACIENTES!M210+COMEDOR!M210+JORNADA!M210+'DIETOLOGÍA(S)'!M210)</f>
        <v>0</v>
      </c>
      <c r="N210" s="77">
        <f>SUM(PACIENTES!N210+COMEDOR!N210+JORNADA!N210+'DIETOLOGÍA(S)'!N210)</f>
        <v>0</v>
      </c>
      <c r="O210" s="77">
        <f>SUM(PACIENTES!O210+COMEDOR!O210+JORNADA!O210+'DIETOLOGÍA(S)'!O210)</f>
        <v>0</v>
      </c>
      <c r="P210" s="77">
        <f>SUM(PACIENTES!P210+COMEDOR!P210+JORNADA!P210+'DIETOLOGÍA(S)'!P210)</f>
        <v>0</v>
      </c>
      <c r="Q210" s="77">
        <f>SUM(PACIENTES!Q210+COMEDOR!Q210+JORNADA!Q210+'DIETOLOGÍA(S)'!Q210)</f>
        <v>0</v>
      </c>
      <c r="R210" s="77">
        <f>SUM(PACIENTES!R210+COMEDOR!R210+JORNADA!R210+'DIETOLOGÍA(S)'!R210)</f>
        <v>0</v>
      </c>
      <c r="S210" s="77">
        <f>SUM(PACIENTES!S210+COMEDOR!S210+JORNADA!S210+'DIETOLOGÍA(S)'!S210)</f>
        <v>0</v>
      </c>
      <c r="T210" s="77">
        <f>SUM(PACIENTES!T210+COMEDOR!T210+JORNADA!T210+'DIETOLOGÍA(S)'!T210)</f>
        <v>0</v>
      </c>
      <c r="U210" s="77">
        <f>SUM(PACIENTES!U210+COMEDOR!U210+JORNADA!U210+'DIETOLOGÍA(S)'!U210)</f>
        <v>0</v>
      </c>
      <c r="V210" s="77">
        <f>SUM(PACIENTES!V210+COMEDOR!V210+JORNADA!V210+'DIETOLOGÍA(S)'!V210)</f>
        <v>0</v>
      </c>
      <c r="W210" s="77">
        <f>SUM(PACIENTES!W210+COMEDOR!W210+JORNADA!W210+'DIETOLOGÍA(S)'!W210)</f>
        <v>0</v>
      </c>
      <c r="X210" s="77">
        <f>SUM(PACIENTES!X210+COMEDOR!X210+JORNADA!X210+'DIETOLOGÍA(S)'!X210)</f>
        <v>0</v>
      </c>
      <c r="Y210" s="77">
        <f>SUM(PACIENTES!Y210+COMEDOR!Y210+JORNADA!Y210+'DIETOLOGÍA(S)'!Y210)</f>
        <v>0</v>
      </c>
      <c r="Z210" s="77">
        <f>SUM(PACIENTES!Z210+COMEDOR!Z210+JORNADA!Z210+'DIETOLOGÍA(S)'!Z210)</f>
        <v>0</v>
      </c>
      <c r="AA210" s="77">
        <f>SUM(PACIENTES!AA210+COMEDOR!AA210+JORNADA!AA210+'DIETOLOGÍA(S)'!AA210)</f>
        <v>0</v>
      </c>
      <c r="AB210" s="77">
        <f>SUM(PACIENTES!AB210+COMEDOR!AB210+JORNADA!AB210+'DIETOLOGÍA(S)'!AB210)</f>
        <v>0</v>
      </c>
      <c r="AC210" s="77">
        <f>SUM(PACIENTES!AC210+COMEDOR!AC210+JORNADA!AC210+'DIETOLOGÍA(S)'!AC210)</f>
        <v>0</v>
      </c>
      <c r="AD210" s="77">
        <f>SUM(PACIENTES!AD210+COMEDOR!AD210+JORNADA!AD210+'DIETOLOGÍA(S)'!AD210)</f>
        <v>0</v>
      </c>
      <c r="AE210" s="77">
        <f>SUM(PACIENTES!AE210+COMEDOR!AE210+JORNADA!AE210+'DIETOLOGÍA(S)'!AE210)</f>
        <v>0</v>
      </c>
      <c r="AF210" s="77">
        <f>SUM(PACIENTES!AF210+COMEDOR!AF210+JORNADA!AF210+'DIETOLOGÍA(S)'!AF210)</f>
        <v>0</v>
      </c>
      <c r="AG210" s="77">
        <f>SUM(PACIENTES!AG210+COMEDOR!AG210+JORNADA!AG210+'DIETOLOGÍA(S)'!AG210)</f>
        <v>0</v>
      </c>
      <c r="AH210" s="77">
        <f>SUM(PACIENTES!AH210+COMEDOR!AH210+JORNADA!AH210+'DIETOLOGÍA(S)'!AH210)</f>
        <v>0</v>
      </c>
      <c r="AI210" s="9">
        <f t="shared" si="8"/>
        <v>0</v>
      </c>
    </row>
    <row r="211" spans="1:35" ht="15.75" customHeight="1">
      <c r="A211" s="165">
        <v>2212008026</v>
      </c>
      <c r="B211" s="166" t="s">
        <v>220</v>
      </c>
      <c r="C211" s="167" t="s">
        <v>8</v>
      </c>
      <c r="D211" s="77">
        <f>SUM(PACIENTES!D211+COMEDOR!D211+JORNADA!D211+'DIETOLOGÍA(S)'!D211)</f>
        <v>0</v>
      </c>
      <c r="E211" s="77">
        <f>SUM(PACIENTES!E211+COMEDOR!E211+JORNADA!E211+'DIETOLOGÍA(S)'!E211)</f>
        <v>0</v>
      </c>
      <c r="F211" s="77">
        <f>SUM(PACIENTES!F211+COMEDOR!F211+JORNADA!F211+'DIETOLOGÍA(S)'!F211)</f>
        <v>0</v>
      </c>
      <c r="G211" s="77">
        <f>SUM(PACIENTES!G211+COMEDOR!G211+JORNADA!G211+'DIETOLOGÍA(S)'!G211)</f>
        <v>0</v>
      </c>
      <c r="H211" s="77">
        <f>SUM(PACIENTES!H211+COMEDOR!H211+JORNADA!H211+'DIETOLOGÍA(S)'!H211)</f>
        <v>0</v>
      </c>
      <c r="I211" s="77">
        <f>SUM(PACIENTES!I211+COMEDOR!I211+JORNADA!I211+'DIETOLOGÍA(S)'!I211)</f>
        <v>0</v>
      </c>
      <c r="J211" s="77">
        <f>SUM(PACIENTES!J211+COMEDOR!J211+JORNADA!J211+'DIETOLOGÍA(S)'!J211)</f>
        <v>0</v>
      </c>
      <c r="K211" s="77">
        <f>SUM(PACIENTES!K211+COMEDOR!K211+JORNADA!K211+'DIETOLOGÍA(S)'!K211)</f>
        <v>0</v>
      </c>
      <c r="L211" s="77">
        <f>SUM(PACIENTES!L211+COMEDOR!L211+JORNADA!L211+'DIETOLOGÍA(S)'!L211)</f>
        <v>0</v>
      </c>
      <c r="M211" s="77">
        <f>SUM(PACIENTES!M211+COMEDOR!M211+JORNADA!M211+'DIETOLOGÍA(S)'!M211)</f>
        <v>0</v>
      </c>
      <c r="N211" s="77">
        <f>SUM(PACIENTES!N211+COMEDOR!N211+JORNADA!N211+'DIETOLOGÍA(S)'!N211)</f>
        <v>0</v>
      </c>
      <c r="O211" s="77">
        <f>SUM(PACIENTES!O211+COMEDOR!O211+JORNADA!O211+'DIETOLOGÍA(S)'!O211)</f>
        <v>0</v>
      </c>
      <c r="P211" s="77">
        <f>SUM(PACIENTES!P211+COMEDOR!P211+JORNADA!P211+'DIETOLOGÍA(S)'!P211)</f>
        <v>0</v>
      </c>
      <c r="Q211" s="77">
        <f>SUM(PACIENTES!Q211+COMEDOR!Q211+JORNADA!Q211+'DIETOLOGÍA(S)'!Q211)</f>
        <v>0</v>
      </c>
      <c r="R211" s="77">
        <f>SUM(PACIENTES!R211+COMEDOR!R211+JORNADA!R211+'DIETOLOGÍA(S)'!R211)</f>
        <v>0</v>
      </c>
      <c r="S211" s="77">
        <f>SUM(PACIENTES!S211+COMEDOR!S211+JORNADA!S211+'DIETOLOGÍA(S)'!S211)</f>
        <v>0</v>
      </c>
      <c r="T211" s="77">
        <f>SUM(PACIENTES!T211+COMEDOR!T211+JORNADA!T211+'DIETOLOGÍA(S)'!T211)</f>
        <v>0</v>
      </c>
      <c r="U211" s="77">
        <f>SUM(PACIENTES!U211+COMEDOR!U211+JORNADA!U211+'DIETOLOGÍA(S)'!U211)</f>
        <v>0</v>
      </c>
      <c r="V211" s="77">
        <f>SUM(PACIENTES!V211+COMEDOR!V211+JORNADA!V211+'DIETOLOGÍA(S)'!V211)</f>
        <v>0</v>
      </c>
      <c r="W211" s="77">
        <f>SUM(PACIENTES!W211+COMEDOR!W211+JORNADA!W211+'DIETOLOGÍA(S)'!W211)</f>
        <v>0</v>
      </c>
      <c r="X211" s="77">
        <f>SUM(PACIENTES!X211+COMEDOR!X211+JORNADA!X211+'DIETOLOGÍA(S)'!X211)</f>
        <v>0</v>
      </c>
      <c r="Y211" s="77">
        <f>SUM(PACIENTES!Y211+COMEDOR!Y211+JORNADA!Y211+'DIETOLOGÍA(S)'!Y211)</f>
        <v>0</v>
      </c>
      <c r="Z211" s="77">
        <f>SUM(PACIENTES!Z211+COMEDOR!Z211+JORNADA!Z211+'DIETOLOGÍA(S)'!Z211)</f>
        <v>0</v>
      </c>
      <c r="AA211" s="77">
        <f>SUM(PACIENTES!AA211+COMEDOR!AA211+JORNADA!AA211+'DIETOLOGÍA(S)'!AA211)</f>
        <v>0</v>
      </c>
      <c r="AB211" s="77">
        <f>SUM(PACIENTES!AB211+COMEDOR!AB211+JORNADA!AB211+'DIETOLOGÍA(S)'!AB211)</f>
        <v>0</v>
      </c>
      <c r="AC211" s="77">
        <f>SUM(PACIENTES!AC211+COMEDOR!AC211+JORNADA!AC211+'DIETOLOGÍA(S)'!AC211)</f>
        <v>0</v>
      </c>
      <c r="AD211" s="77">
        <f>SUM(PACIENTES!AD211+COMEDOR!AD211+JORNADA!AD211+'DIETOLOGÍA(S)'!AD211)</f>
        <v>0</v>
      </c>
      <c r="AE211" s="77">
        <f>SUM(PACIENTES!AE211+COMEDOR!AE211+JORNADA!AE211+'DIETOLOGÍA(S)'!AE211)</f>
        <v>0</v>
      </c>
      <c r="AF211" s="77">
        <f>SUM(PACIENTES!AF211+COMEDOR!AF211+JORNADA!AF211+'DIETOLOGÍA(S)'!AF211)</f>
        <v>0</v>
      </c>
      <c r="AG211" s="77">
        <f>SUM(PACIENTES!AG211+COMEDOR!AG211+JORNADA!AG211+'DIETOLOGÍA(S)'!AG211)</f>
        <v>0</v>
      </c>
      <c r="AH211" s="77">
        <f>SUM(PACIENTES!AH211+COMEDOR!AH211+JORNADA!AH211+'DIETOLOGÍA(S)'!AH211)</f>
        <v>0</v>
      </c>
      <c r="AI211" s="9">
        <f t="shared" si="8"/>
        <v>0</v>
      </c>
    </row>
    <row r="212" spans="1:35" ht="15.75" customHeight="1">
      <c r="A212" s="165">
        <v>2212008028</v>
      </c>
      <c r="B212" s="166" t="s">
        <v>221</v>
      </c>
      <c r="C212" s="167" t="s">
        <v>8</v>
      </c>
      <c r="D212" s="77">
        <f>SUM(PACIENTES!D212+COMEDOR!D212+JORNADA!D212+'DIETOLOGÍA(S)'!D212)</f>
        <v>0</v>
      </c>
      <c r="E212" s="77">
        <f>SUM(PACIENTES!E212+COMEDOR!E212+JORNADA!E212+'DIETOLOGÍA(S)'!E212)</f>
        <v>0</v>
      </c>
      <c r="F212" s="77">
        <f>SUM(PACIENTES!F212+COMEDOR!F212+JORNADA!F212+'DIETOLOGÍA(S)'!F212)</f>
        <v>0</v>
      </c>
      <c r="G212" s="77">
        <f>SUM(PACIENTES!G212+COMEDOR!G212+JORNADA!G212+'DIETOLOGÍA(S)'!G212)</f>
        <v>200</v>
      </c>
      <c r="H212" s="77">
        <f>SUM(PACIENTES!H212+COMEDOR!H212+JORNADA!H212+'DIETOLOGÍA(S)'!H212)</f>
        <v>0</v>
      </c>
      <c r="I212" s="77">
        <f>SUM(PACIENTES!I212+COMEDOR!I212+JORNADA!I212+'DIETOLOGÍA(S)'!I212)</f>
        <v>0</v>
      </c>
      <c r="J212" s="77">
        <f>SUM(PACIENTES!J212+COMEDOR!J212+JORNADA!J212+'DIETOLOGÍA(S)'!J212)</f>
        <v>0</v>
      </c>
      <c r="K212" s="77">
        <f>SUM(PACIENTES!K212+COMEDOR!K212+JORNADA!K212+'DIETOLOGÍA(S)'!K212)</f>
        <v>0</v>
      </c>
      <c r="L212" s="77">
        <f>SUM(PACIENTES!L212+COMEDOR!L212+JORNADA!L212+'DIETOLOGÍA(S)'!L212)</f>
        <v>0</v>
      </c>
      <c r="M212" s="77">
        <f>SUM(PACIENTES!M212+COMEDOR!M212+JORNADA!M212+'DIETOLOGÍA(S)'!M212)</f>
        <v>0</v>
      </c>
      <c r="N212" s="77">
        <f>SUM(PACIENTES!N212+COMEDOR!N212+JORNADA!N212+'DIETOLOGÍA(S)'!N212)</f>
        <v>0</v>
      </c>
      <c r="O212" s="77">
        <f>SUM(PACIENTES!O212+COMEDOR!O212+JORNADA!O212+'DIETOLOGÍA(S)'!O212)</f>
        <v>0</v>
      </c>
      <c r="P212" s="77">
        <f>SUM(PACIENTES!P212+COMEDOR!P212+JORNADA!P212+'DIETOLOGÍA(S)'!P212)</f>
        <v>200</v>
      </c>
      <c r="Q212" s="77">
        <f>SUM(PACIENTES!Q212+COMEDOR!Q212+JORNADA!Q212+'DIETOLOGÍA(S)'!Q212)</f>
        <v>10</v>
      </c>
      <c r="R212" s="77">
        <f>SUM(PACIENTES!R212+COMEDOR!R212+JORNADA!R212+'DIETOLOGÍA(S)'!R212)</f>
        <v>0</v>
      </c>
      <c r="S212" s="77">
        <f>SUM(PACIENTES!S212+COMEDOR!S212+JORNADA!S212+'DIETOLOGÍA(S)'!S212)</f>
        <v>0</v>
      </c>
      <c r="T212" s="77">
        <f>SUM(PACIENTES!T212+COMEDOR!T212+JORNADA!T212+'DIETOLOGÍA(S)'!T212)</f>
        <v>0</v>
      </c>
      <c r="U212" s="77">
        <f>SUM(PACIENTES!U212+COMEDOR!U212+JORNADA!U212+'DIETOLOGÍA(S)'!U212)</f>
        <v>0</v>
      </c>
      <c r="V212" s="77">
        <f>SUM(PACIENTES!V212+COMEDOR!V212+JORNADA!V212+'DIETOLOGÍA(S)'!V212)</f>
        <v>0</v>
      </c>
      <c r="W212" s="77">
        <f>SUM(PACIENTES!W212+COMEDOR!W212+JORNADA!W212+'DIETOLOGÍA(S)'!W212)</f>
        <v>0</v>
      </c>
      <c r="X212" s="77">
        <f>SUM(PACIENTES!X212+COMEDOR!X212+JORNADA!X212+'DIETOLOGÍA(S)'!X212)</f>
        <v>0</v>
      </c>
      <c r="Y212" s="77">
        <f>SUM(PACIENTES!Y212+COMEDOR!Y212+JORNADA!Y212+'DIETOLOGÍA(S)'!Y212)</f>
        <v>0</v>
      </c>
      <c r="Z212" s="77">
        <f>SUM(PACIENTES!Z212+COMEDOR!Z212+JORNADA!Z212+'DIETOLOGÍA(S)'!Z212)</f>
        <v>0</v>
      </c>
      <c r="AA212" s="77">
        <f>SUM(PACIENTES!AA212+COMEDOR!AA212+JORNADA!AA212+'DIETOLOGÍA(S)'!AA212)</f>
        <v>0</v>
      </c>
      <c r="AB212" s="77">
        <f>SUM(PACIENTES!AB212+COMEDOR!AB212+JORNADA!AB212+'DIETOLOGÍA(S)'!AB212)</f>
        <v>0</v>
      </c>
      <c r="AC212" s="77">
        <f>SUM(PACIENTES!AC212+COMEDOR!AC212+JORNADA!AC212+'DIETOLOGÍA(S)'!AC212)</f>
        <v>0</v>
      </c>
      <c r="AD212" s="77">
        <f>SUM(PACIENTES!AD212+COMEDOR!AD212+JORNADA!AD212+'DIETOLOGÍA(S)'!AD212)</f>
        <v>0</v>
      </c>
      <c r="AE212" s="77">
        <f>SUM(PACIENTES!AE212+COMEDOR!AE212+JORNADA!AE212+'DIETOLOGÍA(S)'!AE212)</f>
        <v>0</v>
      </c>
      <c r="AF212" s="77">
        <f>SUM(PACIENTES!AF212+COMEDOR!AF212+JORNADA!AF212+'DIETOLOGÍA(S)'!AF212)</f>
        <v>0</v>
      </c>
      <c r="AG212" s="77">
        <f>SUM(PACIENTES!AG212+COMEDOR!AG212+JORNADA!AG212+'DIETOLOGÍA(S)'!AG212)</f>
        <v>0</v>
      </c>
      <c r="AH212" s="77">
        <f>SUM(PACIENTES!AH212+COMEDOR!AH212+JORNADA!AH212+'DIETOLOGÍA(S)'!AH212)</f>
        <v>0</v>
      </c>
      <c r="AI212" s="9">
        <f t="shared" si="8"/>
        <v>410</v>
      </c>
    </row>
    <row r="213" spans="1:35" ht="15.75" customHeight="1">
      <c r="A213" s="165">
        <v>2212008029</v>
      </c>
      <c r="B213" s="166" t="s">
        <v>222</v>
      </c>
      <c r="C213" s="167" t="s">
        <v>8</v>
      </c>
      <c r="D213" s="77">
        <f>SUM(PACIENTES!D213+COMEDOR!D213+JORNADA!D213+'DIETOLOGÍA(S)'!D213)</f>
        <v>0</v>
      </c>
      <c r="E213" s="77">
        <f>SUM(PACIENTES!E213+COMEDOR!E213+JORNADA!E213+'DIETOLOGÍA(S)'!E213)</f>
        <v>5</v>
      </c>
      <c r="F213" s="77">
        <f>SUM(PACIENTES!F213+COMEDOR!F213+JORNADA!F213+'DIETOLOGÍA(S)'!F213)</f>
        <v>0</v>
      </c>
      <c r="G213" s="77">
        <f>SUM(PACIENTES!G213+COMEDOR!G213+JORNADA!G213+'DIETOLOGÍA(S)'!G213)</f>
        <v>0</v>
      </c>
      <c r="H213" s="77">
        <f>SUM(PACIENTES!H213+COMEDOR!H213+JORNADA!H213+'DIETOLOGÍA(S)'!H213)</f>
        <v>0</v>
      </c>
      <c r="I213" s="77">
        <f>SUM(PACIENTES!I213+COMEDOR!I213+JORNADA!I213+'DIETOLOGÍA(S)'!I213)</f>
        <v>0</v>
      </c>
      <c r="J213" s="77">
        <f>SUM(PACIENTES!J213+COMEDOR!J213+JORNADA!J213+'DIETOLOGÍA(S)'!J213)</f>
        <v>10</v>
      </c>
      <c r="K213" s="77">
        <f>SUM(PACIENTES!K213+COMEDOR!K213+JORNADA!K213+'DIETOLOGÍA(S)'!K213)</f>
        <v>0</v>
      </c>
      <c r="L213" s="77">
        <f>SUM(PACIENTES!L213+COMEDOR!L213+JORNADA!L213+'DIETOLOGÍA(S)'!L213)</f>
        <v>0</v>
      </c>
      <c r="M213" s="77">
        <f>SUM(PACIENTES!M213+COMEDOR!M213+JORNADA!M213+'DIETOLOGÍA(S)'!M213)</f>
        <v>0</v>
      </c>
      <c r="N213" s="77">
        <f>SUM(PACIENTES!N213+COMEDOR!N213+JORNADA!N213+'DIETOLOGÍA(S)'!N213)</f>
        <v>0</v>
      </c>
      <c r="O213" s="77">
        <f>SUM(PACIENTES!O213+COMEDOR!O213+JORNADA!O213+'DIETOLOGÍA(S)'!O213)</f>
        <v>0</v>
      </c>
      <c r="P213" s="77">
        <f>SUM(PACIENTES!P213+COMEDOR!P213+JORNADA!P213+'DIETOLOGÍA(S)'!P213)</f>
        <v>0</v>
      </c>
      <c r="Q213" s="77">
        <f>SUM(PACIENTES!Q213+COMEDOR!Q213+JORNADA!Q213+'DIETOLOGÍA(S)'!Q213)</f>
        <v>10</v>
      </c>
      <c r="R213" s="77">
        <f>SUM(PACIENTES!R213+COMEDOR!R213+JORNADA!R213+'DIETOLOGÍA(S)'!R213)</f>
        <v>0</v>
      </c>
      <c r="S213" s="77">
        <f>SUM(PACIENTES!S213+COMEDOR!S213+JORNADA!S213+'DIETOLOGÍA(S)'!S213)</f>
        <v>0</v>
      </c>
      <c r="T213" s="77">
        <f>SUM(PACIENTES!T213+COMEDOR!T213+JORNADA!T213+'DIETOLOGÍA(S)'!T213)</f>
        <v>0</v>
      </c>
      <c r="U213" s="77">
        <f>SUM(PACIENTES!U213+COMEDOR!U213+JORNADA!U213+'DIETOLOGÍA(S)'!U213)</f>
        <v>0</v>
      </c>
      <c r="V213" s="77">
        <f>SUM(PACIENTES!V213+COMEDOR!V213+JORNADA!V213+'DIETOLOGÍA(S)'!V213)</f>
        <v>0</v>
      </c>
      <c r="W213" s="77">
        <f>SUM(PACIENTES!W213+COMEDOR!W213+JORNADA!W213+'DIETOLOGÍA(S)'!W213)</f>
        <v>0</v>
      </c>
      <c r="X213" s="77">
        <f>SUM(PACIENTES!X213+COMEDOR!X213+JORNADA!X213+'DIETOLOGÍA(S)'!X213)</f>
        <v>10</v>
      </c>
      <c r="Y213" s="77">
        <f>SUM(PACIENTES!Y213+COMEDOR!Y213+JORNADA!Y213+'DIETOLOGÍA(S)'!Y213)</f>
        <v>0</v>
      </c>
      <c r="Z213" s="77">
        <f>SUM(PACIENTES!Z213+COMEDOR!Z213+JORNADA!Z213+'DIETOLOGÍA(S)'!Z213)</f>
        <v>0</v>
      </c>
      <c r="AA213" s="77">
        <f>SUM(PACIENTES!AA213+COMEDOR!AA213+JORNADA!AA213+'DIETOLOGÍA(S)'!AA213)</f>
        <v>0</v>
      </c>
      <c r="AB213" s="77">
        <f>SUM(PACIENTES!AB213+COMEDOR!AB213+JORNADA!AB213+'DIETOLOGÍA(S)'!AB213)</f>
        <v>0</v>
      </c>
      <c r="AC213" s="77">
        <f>SUM(PACIENTES!AC213+COMEDOR!AC213+JORNADA!AC213+'DIETOLOGÍA(S)'!AC213)</f>
        <v>0</v>
      </c>
      <c r="AD213" s="77">
        <f>SUM(PACIENTES!AD213+COMEDOR!AD213+JORNADA!AD213+'DIETOLOGÍA(S)'!AD213)</f>
        <v>0</v>
      </c>
      <c r="AE213" s="77">
        <f>SUM(PACIENTES!AE213+COMEDOR!AE213+JORNADA!AE213+'DIETOLOGÍA(S)'!AE213)</f>
        <v>10</v>
      </c>
      <c r="AF213" s="77">
        <f>SUM(PACIENTES!AF213+COMEDOR!AF213+JORNADA!AF213+'DIETOLOGÍA(S)'!AF213)</f>
        <v>0</v>
      </c>
      <c r="AG213" s="77">
        <f>SUM(PACIENTES!AG213+COMEDOR!AG213+JORNADA!AG213+'DIETOLOGÍA(S)'!AG213)</f>
        <v>0</v>
      </c>
      <c r="AH213" s="77">
        <f>SUM(PACIENTES!AH213+COMEDOR!AH213+JORNADA!AH213+'DIETOLOGÍA(S)'!AH213)</f>
        <v>0</v>
      </c>
      <c r="AI213" s="9">
        <f t="shared" si="8"/>
        <v>45</v>
      </c>
    </row>
    <row r="214" spans="1:35" ht="15.75" customHeight="1">
      <c r="A214" s="176">
        <v>2212008031</v>
      </c>
      <c r="B214" s="177" t="s">
        <v>223</v>
      </c>
      <c r="C214" s="178" t="s">
        <v>8</v>
      </c>
      <c r="D214" s="77">
        <f>SUM(PACIENTES!D214+COMEDOR!D214+JORNADA!D214+'DIETOLOGÍA(S)'!D214)</f>
        <v>0</v>
      </c>
      <c r="E214" s="77">
        <f>SUM(PACIENTES!E214+COMEDOR!E214+JORNADA!E214+'DIETOLOGÍA(S)'!E214)</f>
        <v>0</v>
      </c>
      <c r="F214" s="77">
        <f>SUM(PACIENTES!F214+COMEDOR!F214+JORNADA!F214+'DIETOLOGÍA(S)'!F214)</f>
        <v>0</v>
      </c>
      <c r="G214" s="77">
        <f>SUM(PACIENTES!G214+COMEDOR!G214+JORNADA!G214+'DIETOLOGÍA(S)'!G214)</f>
        <v>0</v>
      </c>
      <c r="H214" s="77">
        <f>SUM(PACIENTES!H214+COMEDOR!H214+JORNADA!H214+'DIETOLOGÍA(S)'!H214)</f>
        <v>0</v>
      </c>
      <c r="I214" s="77">
        <f>SUM(PACIENTES!I214+COMEDOR!I214+JORNADA!I214+'DIETOLOGÍA(S)'!I214)</f>
        <v>0</v>
      </c>
      <c r="J214" s="77">
        <f>SUM(PACIENTES!J214+COMEDOR!J214+JORNADA!J214+'DIETOLOGÍA(S)'!J214)</f>
        <v>0</v>
      </c>
      <c r="K214" s="77">
        <f>SUM(PACIENTES!K214+COMEDOR!K214+JORNADA!K214+'DIETOLOGÍA(S)'!K214)</f>
        <v>0</v>
      </c>
      <c r="L214" s="77">
        <f>SUM(PACIENTES!L214+COMEDOR!L214+JORNADA!L214+'DIETOLOGÍA(S)'!L214)</f>
        <v>0</v>
      </c>
      <c r="M214" s="77">
        <f>SUM(PACIENTES!M214+COMEDOR!M214+JORNADA!M214+'DIETOLOGÍA(S)'!M214)</f>
        <v>0</v>
      </c>
      <c r="N214" s="77">
        <f>SUM(PACIENTES!N214+COMEDOR!N214+JORNADA!N214+'DIETOLOGÍA(S)'!N214)</f>
        <v>0</v>
      </c>
      <c r="O214" s="77">
        <f>SUM(PACIENTES!O214+COMEDOR!O214+JORNADA!O214+'DIETOLOGÍA(S)'!O214)</f>
        <v>0</v>
      </c>
      <c r="P214" s="77">
        <f>SUM(PACIENTES!P214+COMEDOR!P214+JORNADA!P214+'DIETOLOGÍA(S)'!P214)</f>
        <v>0</v>
      </c>
      <c r="Q214" s="77">
        <f>SUM(PACIENTES!Q214+COMEDOR!Q214+JORNADA!Q214+'DIETOLOGÍA(S)'!Q214)</f>
        <v>0</v>
      </c>
      <c r="R214" s="77">
        <f>SUM(PACIENTES!R214+COMEDOR!R214+JORNADA!R214+'DIETOLOGÍA(S)'!R214)</f>
        <v>0</v>
      </c>
      <c r="S214" s="77">
        <f>SUM(PACIENTES!S214+COMEDOR!S214+JORNADA!S214+'DIETOLOGÍA(S)'!S214)</f>
        <v>0</v>
      </c>
      <c r="T214" s="77">
        <f>SUM(PACIENTES!T214+COMEDOR!T214+JORNADA!T214+'DIETOLOGÍA(S)'!T214)</f>
        <v>0</v>
      </c>
      <c r="U214" s="77">
        <f>SUM(PACIENTES!U214+COMEDOR!U214+JORNADA!U214+'DIETOLOGÍA(S)'!U214)</f>
        <v>0</v>
      </c>
      <c r="V214" s="77">
        <f>SUM(PACIENTES!V214+COMEDOR!V214+JORNADA!V214+'DIETOLOGÍA(S)'!V214)</f>
        <v>0</v>
      </c>
      <c r="W214" s="77">
        <f>SUM(PACIENTES!W214+COMEDOR!W214+JORNADA!W214+'DIETOLOGÍA(S)'!W214)</f>
        <v>0</v>
      </c>
      <c r="X214" s="77">
        <f>SUM(PACIENTES!X214+COMEDOR!X214+JORNADA!X214+'DIETOLOGÍA(S)'!X214)</f>
        <v>0</v>
      </c>
      <c r="Y214" s="77">
        <f>SUM(PACIENTES!Y214+COMEDOR!Y214+JORNADA!Y214+'DIETOLOGÍA(S)'!Y214)</f>
        <v>0</v>
      </c>
      <c r="Z214" s="77">
        <f>SUM(PACIENTES!Z214+COMEDOR!Z214+JORNADA!Z214+'DIETOLOGÍA(S)'!Z214)</f>
        <v>0</v>
      </c>
      <c r="AA214" s="77">
        <f>SUM(PACIENTES!AA214+COMEDOR!AA214+JORNADA!AA214+'DIETOLOGÍA(S)'!AA214)</f>
        <v>0</v>
      </c>
      <c r="AB214" s="77">
        <f>SUM(PACIENTES!AB214+COMEDOR!AB214+JORNADA!AB214+'DIETOLOGÍA(S)'!AB214)</f>
        <v>0</v>
      </c>
      <c r="AC214" s="77">
        <f>SUM(PACIENTES!AC214+COMEDOR!AC214+JORNADA!AC214+'DIETOLOGÍA(S)'!AC214)</f>
        <v>0</v>
      </c>
      <c r="AD214" s="77">
        <f>SUM(PACIENTES!AD214+COMEDOR!AD214+JORNADA!AD214+'DIETOLOGÍA(S)'!AD214)</f>
        <v>0</v>
      </c>
      <c r="AE214" s="77">
        <f>SUM(PACIENTES!AE214+COMEDOR!AE214+JORNADA!AE214+'DIETOLOGÍA(S)'!AE214)</f>
        <v>0</v>
      </c>
      <c r="AF214" s="77">
        <f>SUM(PACIENTES!AF214+COMEDOR!AF214+JORNADA!AF214+'DIETOLOGÍA(S)'!AF214)</f>
        <v>0</v>
      </c>
      <c r="AG214" s="77">
        <f>SUM(PACIENTES!AG214+COMEDOR!AG214+JORNADA!AG214+'DIETOLOGÍA(S)'!AG214)</f>
        <v>0</v>
      </c>
      <c r="AH214" s="77">
        <f>SUM(PACIENTES!AH214+COMEDOR!AH214+JORNADA!AH214+'DIETOLOGÍA(S)'!AH214)</f>
        <v>0</v>
      </c>
      <c r="AI214" s="9">
        <f t="shared" si="8"/>
        <v>0</v>
      </c>
    </row>
    <row r="215" spans="1:35" ht="15.75" customHeight="1">
      <c r="A215" s="165">
        <v>2212008032</v>
      </c>
      <c r="B215" s="166" t="s">
        <v>224</v>
      </c>
      <c r="C215" s="167" t="s">
        <v>8</v>
      </c>
      <c r="D215" s="77">
        <f>SUM(PACIENTES!D215+COMEDOR!D215+JORNADA!D215+'DIETOLOGÍA(S)'!D215)</f>
        <v>0</v>
      </c>
      <c r="E215" s="77">
        <f>SUM(PACIENTES!E215+COMEDOR!E215+JORNADA!E215+'DIETOLOGÍA(S)'!E215)</f>
        <v>0</v>
      </c>
      <c r="F215" s="77">
        <f>SUM(PACIENTES!F215+COMEDOR!F215+JORNADA!F215+'DIETOLOGÍA(S)'!F215)</f>
        <v>0</v>
      </c>
      <c r="G215" s="77">
        <f>SUM(PACIENTES!G215+COMEDOR!G215+JORNADA!G215+'DIETOLOGÍA(S)'!G215)</f>
        <v>0</v>
      </c>
      <c r="H215" s="77">
        <f>SUM(PACIENTES!H215+COMEDOR!H215+JORNADA!H215+'DIETOLOGÍA(S)'!H215)</f>
        <v>0</v>
      </c>
      <c r="I215" s="77">
        <v>0</v>
      </c>
      <c r="J215" s="77">
        <f>SUM(PACIENTES!J215+COMEDOR!J215+JORNADA!J215+'DIETOLOGÍA(S)'!J215)</f>
        <v>0</v>
      </c>
      <c r="K215" s="77">
        <f>SUM(PACIENTES!K215+COMEDOR!K215+JORNADA!K215+'DIETOLOGÍA(S)'!K215)</f>
        <v>0</v>
      </c>
      <c r="L215" s="77">
        <f>SUM(PACIENTES!L215+COMEDOR!L215+JORNADA!L215+'DIETOLOGÍA(S)'!L215)</f>
        <v>0</v>
      </c>
      <c r="M215" s="77">
        <f>SUM(PACIENTES!M215+COMEDOR!M215+JORNADA!M215+'DIETOLOGÍA(S)'!M215)</f>
        <v>0</v>
      </c>
      <c r="N215" s="77">
        <f>SUM(PACIENTES!N215+COMEDOR!N215+JORNADA!N215+'DIETOLOGÍA(S)'!N215)</f>
        <v>0</v>
      </c>
      <c r="O215" s="77">
        <f>SUM(PACIENTES!O215+COMEDOR!O215+JORNADA!O215+'DIETOLOGÍA(S)'!O215)</f>
        <v>0</v>
      </c>
      <c r="P215" s="77">
        <f>SUM(PACIENTES!P215+COMEDOR!P215+JORNADA!P215+'DIETOLOGÍA(S)'!P215)</f>
        <v>0</v>
      </c>
      <c r="Q215" s="77">
        <v>0</v>
      </c>
      <c r="R215" s="77">
        <f>SUM(PACIENTES!R215+COMEDOR!R215+JORNADA!R215+'DIETOLOGÍA(S)'!R215)</f>
        <v>0</v>
      </c>
      <c r="S215" s="77">
        <f>SUM(PACIENTES!S215+COMEDOR!S215+JORNADA!S215+'DIETOLOGÍA(S)'!S215)</f>
        <v>0</v>
      </c>
      <c r="T215" s="77">
        <f>SUM(PACIENTES!T215+COMEDOR!T215+JORNADA!T215+'DIETOLOGÍA(S)'!T215)</f>
        <v>0</v>
      </c>
      <c r="U215" s="77">
        <f>SUM(PACIENTES!U215+COMEDOR!U215+JORNADA!U215+'DIETOLOGÍA(S)'!U215)</f>
        <v>0</v>
      </c>
      <c r="V215" s="77">
        <f>SUM(PACIENTES!V215+COMEDOR!V215+JORNADA!V215+'DIETOLOGÍA(S)'!V215)</f>
        <v>0</v>
      </c>
      <c r="W215" s="77">
        <f>SUM(PACIENTES!W215+COMEDOR!W215+JORNADA!W215+'DIETOLOGÍA(S)'!W215)</f>
        <v>0</v>
      </c>
      <c r="X215" s="77">
        <f>SUM(PACIENTES!X215+COMEDOR!X215+JORNADA!X215+'DIETOLOGÍA(S)'!X215)</f>
        <v>0</v>
      </c>
      <c r="Y215" s="77">
        <f>SUM(PACIENTES!Y215+COMEDOR!Y215+JORNADA!Y215+'DIETOLOGÍA(S)'!Y215)</f>
        <v>0</v>
      </c>
      <c r="Z215" s="77">
        <f>SUM(PACIENTES!Z215+COMEDOR!Z215+JORNADA!Z215+'DIETOLOGÍA(S)'!Z215)</f>
        <v>0</v>
      </c>
      <c r="AA215" s="77">
        <f>SUM(PACIENTES!AA215+COMEDOR!AA215+JORNADA!AA215+'DIETOLOGÍA(S)'!AA215)</f>
        <v>0</v>
      </c>
      <c r="AB215" s="77">
        <f>SUM(PACIENTES!AB215+COMEDOR!AB215+JORNADA!AB215+'DIETOLOGÍA(S)'!AB215)</f>
        <v>0</v>
      </c>
      <c r="AC215" s="77">
        <f>SUM(PACIENTES!AC215+COMEDOR!AC215+JORNADA!AC215+'DIETOLOGÍA(S)'!AC215)</f>
        <v>0</v>
      </c>
      <c r="AD215" s="77">
        <f>SUM(PACIENTES!AD215+COMEDOR!AD215+JORNADA!AD215+'DIETOLOGÍA(S)'!AD215)</f>
        <v>0</v>
      </c>
      <c r="AE215" s="77">
        <f>SUM(PACIENTES!AE215+COMEDOR!AE215+JORNADA!AE215+'DIETOLOGÍA(S)'!AE215)</f>
        <v>0</v>
      </c>
      <c r="AF215" s="77">
        <f>SUM(PACIENTES!AF215+COMEDOR!AF215+JORNADA!AF215+'DIETOLOGÍA(S)'!AF215)</f>
        <v>0</v>
      </c>
      <c r="AG215" s="77">
        <f>SUM(PACIENTES!AG215+COMEDOR!AG215+JORNADA!AG215+'DIETOLOGÍA(S)'!AG215)</f>
        <v>0</v>
      </c>
      <c r="AH215" s="77">
        <f>SUM(PACIENTES!AH215+COMEDOR!AH215+JORNADA!AH215+'DIETOLOGÍA(S)'!AH215)</f>
        <v>0</v>
      </c>
      <c r="AI215" s="9">
        <f t="shared" si="8"/>
        <v>0</v>
      </c>
    </row>
    <row r="216" spans="1:35" ht="15.75" customHeight="1">
      <c r="A216" s="165">
        <v>2212008033</v>
      </c>
      <c r="B216" s="166" t="s">
        <v>225</v>
      </c>
      <c r="C216" s="167" t="s">
        <v>8</v>
      </c>
      <c r="D216" s="77">
        <f>SUM(PACIENTES!D216+COMEDOR!D216+JORNADA!D216+'DIETOLOGÍA(S)'!D216)</f>
        <v>0</v>
      </c>
      <c r="E216" s="77">
        <f>SUM(PACIENTES!E216+COMEDOR!E216+JORNADA!E216+'DIETOLOGÍA(S)'!E216)</f>
        <v>0</v>
      </c>
      <c r="F216" s="77">
        <f>SUM(PACIENTES!F216+COMEDOR!F216+JORNADA!F216+'DIETOLOGÍA(S)'!F216)</f>
        <v>0</v>
      </c>
      <c r="G216" s="77">
        <f>SUM(PACIENTES!G216+COMEDOR!G216+JORNADA!G216+'DIETOLOGÍA(S)'!G216)</f>
        <v>0</v>
      </c>
      <c r="H216" s="77">
        <f>SUM(PACIENTES!H216+COMEDOR!H216+JORNADA!H216+'DIETOLOGÍA(S)'!H216)</f>
        <v>0</v>
      </c>
      <c r="I216" s="77">
        <f>SUM(PACIENTES!I216+COMEDOR!I216+JORNADA!I216+'DIETOLOGÍA(S)'!I216)</f>
        <v>0</v>
      </c>
      <c r="J216" s="77">
        <f>SUM(PACIENTES!J216+COMEDOR!J216+JORNADA!J216+'DIETOLOGÍA(S)'!J216)</f>
        <v>0</v>
      </c>
      <c r="K216" s="77">
        <f>SUM(PACIENTES!K216+COMEDOR!K216+JORNADA!K216+'DIETOLOGÍA(S)'!K216)</f>
        <v>0</v>
      </c>
      <c r="L216" s="77">
        <f>SUM(PACIENTES!L216+COMEDOR!L216+JORNADA!L216+'DIETOLOGÍA(S)'!L216)</f>
        <v>0</v>
      </c>
      <c r="M216" s="77">
        <f>SUM(PACIENTES!M216+COMEDOR!M216+JORNADA!M216+'DIETOLOGÍA(S)'!M216)</f>
        <v>0</v>
      </c>
      <c r="N216" s="77">
        <f>SUM(PACIENTES!N216+COMEDOR!N216+JORNADA!N216+'DIETOLOGÍA(S)'!N216)</f>
        <v>0</v>
      </c>
      <c r="O216" s="77">
        <f>SUM(PACIENTES!O216+COMEDOR!O216+JORNADA!O216+'DIETOLOGÍA(S)'!O216)</f>
        <v>0</v>
      </c>
      <c r="P216" s="77">
        <f>SUM(PACIENTES!P216+COMEDOR!P216+JORNADA!P216+'DIETOLOGÍA(S)'!P216)</f>
        <v>0</v>
      </c>
      <c r="Q216" s="77">
        <f>SUM(PACIENTES!Q216+COMEDOR!Q216+JORNADA!Q216+'DIETOLOGÍA(S)'!Q216)</f>
        <v>0</v>
      </c>
      <c r="R216" s="77">
        <f>SUM(PACIENTES!R216+COMEDOR!R216+JORNADA!R216+'DIETOLOGÍA(S)'!R216)</f>
        <v>0</v>
      </c>
      <c r="S216" s="77">
        <f>SUM(PACIENTES!S216+COMEDOR!S216+JORNADA!S216+'DIETOLOGÍA(S)'!S216)</f>
        <v>0</v>
      </c>
      <c r="T216" s="77">
        <f>SUM(PACIENTES!T216+COMEDOR!T216+JORNADA!T216+'DIETOLOGÍA(S)'!T216)</f>
        <v>0</v>
      </c>
      <c r="U216" s="77">
        <f>SUM(PACIENTES!U216+COMEDOR!U216+JORNADA!U216+'DIETOLOGÍA(S)'!U216)</f>
        <v>0</v>
      </c>
      <c r="V216" s="77">
        <f>SUM(PACIENTES!V216+COMEDOR!V216+JORNADA!V216+'DIETOLOGÍA(S)'!V216)</f>
        <v>0</v>
      </c>
      <c r="W216" s="77">
        <f>SUM(PACIENTES!W216+COMEDOR!W216+JORNADA!W216+'DIETOLOGÍA(S)'!W216)</f>
        <v>0</v>
      </c>
      <c r="X216" s="77">
        <f>SUM(PACIENTES!X216+COMEDOR!X216+JORNADA!X216+'DIETOLOGÍA(S)'!X216)</f>
        <v>0</v>
      </c>
      <c r="Y216" s="77">
        <f>SUM(PACIENTES!Y216+COMEDOR!Y216+JORNADA!Y216+'DIETOLOGÍA(S)'!Y216)</f>
        <v>0</v>
      </c>
      <c r="Z216" s="77">
        <f>SUM(PACIENTES!Z216+COMEDOR!Z216+JORNADA!Z216+'DIETOLOGÍA(S)'!Z216)</f>
        <v>0</v>
      </c>
      <c r="AA216" s="77">
        <f>SUM(PACIENTES!AA216+COMEDOR!AA216+JORNADA!AA216+'DIETOLOGÍA(S)'!AA216)</f>
        <v>0</v>
      </c>
      <c r="AB216" s="77">
        <f>SUM(PACIENTES!AB216+COMEDOR!AB216+JORNADA!AB216+'DIETOLOGÍA(S)'!AB216)</f>
        <v>0</v>
      </c>
      <c r="AC216" s="77">
        <f>SUM(PACIENTES!AC216+COMEDOR!AC216+JORNADA!AC216+'DIETOLOGÍA(S)'!AC216)</f>
        <v>0</v>
      </c>
      <c r="AD216" s="77">
        <f>SUM(PACIENTES!AD216+COMEDOR!AD216+JORNADA!AD216+'DIETOLOGÍA(S)'!AD216)</f>
        <v>0</v>
      </c>
      <c r="AE216" s="77">
        <f>SUM(PACIENTES!AE216+COMEDOR!AE216+JORNADA!AE216+'DIETOLOGÍA(S)'!AE216)</f>
        <v>0</v>
      </c>
      <c r="AF216" s="77">
        <f>SUM(PACIENTES!AF216+COMEDOR!AF216+JORNADA!AF216+'DIETOLOGÍA(S)'!AF216)</f>
        <v>0</v>
      </c>
      <c r="AG216" s="77">
        <f>SUM(PACIENTES!AG216+COMEDOR!AG216+JORNADA!AG216+'DIETOLOGÍA(S)'!AG216)</f>
        <v>0</v>
      </c>
      <c r="AH216" s="77">
        <f>SUM(PACIENTES!AH216+COMEDOR!AH216+JORNADA!AH216+'DIETOLOGÍA(S)'!AH216)</f>
        <v>0</v>
      </c>
      <c r="AI216" s="9">
        <f t="shared" si="8"/>
        <v>0</v>
      </c>
    </row>
    <row r="217" spans="1:35" ht="15.75" customHeight="1">
      <c r="A217" s="165">
        <v>2212008034</v>
      </c>
      <c r="B217" s="166" t="s">
        <v>226</v>
      </c>
      <c r="C217" s="167" t="s">
        <v>6</v>
      </c>
      <c r="D217" s="77">
        <f>SUM(PACIENTES!D217+COMEDOR!D217+JORNADA!D217+'DIETOLOGÍA(S)'!D217)</f>
        <v>0</v>
      </c>
      <c r="E217" s="77">
        <f>SUM(PACIENTES!E217+COMEDOR!E217+JORNADA!E217+'DIETOLOGÍA(S)'!E217)</f>
        <v>0</v>
      </c>
      <c r="F217" s="77">
        <f>SUM(PACIENTES!F217+COMEDOR!F217+JORNADA!F217+'DIETOLOGÍA(S)'!F217)</f>
        <v>0</v>
      </c>
      <c r="G217" s="77">
        <f>SUM(PACIENTES!G217+COMEDOR!G217+JORNADA!G217+'DIETOLOGÍA(S)'!G217)</f>
        <v>0</v>
      </c>
      <c r="H217" s="77">
        <f>SUM(PACIENTES!H217+COMEDOR!H217+JORNADA!H217+'DIETOLOGÍA(S)'!H217)</f>
        <v>0</v>
      </c>
      <c r="I217" s="77">
        <f>SUM(PACIENTES!I217+COMEDOR!I217+JORNADA!I217+'DIETOLOGÍA(S)'!I217)</f>
        <v>0</v>
      </c>
      <c r="J217" s="77">
        <f>SUM(PACIENTES!J217+COMEDOR!J217+JORNADA!J217+'DIETOLOGÍA(S)'!J217)</f>
        <v>0</v>
      </c>
      <c r="K217" s="77">
        <f>SUM(PACIENTES!K217+COMEDOR!K217+JORNADA!K217+'DIETOLOGÍA(S)'!K217)</f>
        <v>0</v>
      </c>
      <c r="L217" s="77">
        <f>SUM(PACIENTES!L217+COMEDOR!L217+JORNADA!L217+'DIETOLOGÍA(S)'!L217)</f>
        <v>0</v>
      </c>
      <c r="M217" s="77">
        <f>SUM(PACIENTES!M217+COMEDOR!M217+JORNADA!M217+'DIETOLOGÍA(S)'!M217)</f>
        <v>0</v>
      </c>
      <c r="N217" s="77">
        <f>SUM(PACIENTES!N217+COMEDOR!N217+JORNADA!N217+'DIETOLOGÍA(S)'!N217)</f>
        <v>0</v>
      </c>
      <c r="O217" s="77">
        <f>SUM(PACIENTES!O217+COMEDOR!O217+JORNADA!O217+'DIETOLOGÍA(S)'!O217)</f>
        <v>0</v>
      </c>
      <c r="P217" s="77">
        <f>SUM(PACIENTES!P217+COMEDOR!P217+JORNADA!P217+'DIETOLOGÍA(S)'!P217)</f>
        <v>0</v>
      </c>
      <c r="Q217" s="77">
        <f>SUM(PACIENTES!Q217+COMEDOR!Q217+JORNADA!Q217+'DIETOLOGÍA(S)'!Q217)</f>
        <v>1</v>
      </c>
      <c r="R217" s="77">
        <f>SUM(PACIENTES!R217+COMEDOR!R217+JORNADA!R217+'DIETOLOGÍA(S)'!R217)</f>
        <v>0</v>
      </c>
      <c r="S217" s="77">
        <f>SUM(PACIENTES!S217+COMEDOR!S217+JORNADA!S217+'DIETOLOGÍA(S)'!S217)</f>
        <v>0</v>
      </c>
      <c r="T217" s="77">
        <f>SUM(PACIENTES!T217+COMEDOR!T217+JORNADA!T217+'DIETOLOGÍA(S)'!T217)</f>
        <v>0</v>
      </c>
      <c r="U217" s="77">
        <f>SUM(PACIENTES!U217+COMEDOR!U217+JORNADA!U217+'DIETOLOGÍA(S)'!U217)</f>
        <v>0</v>
      </c>
      <c r="V217" s="77">
        <f>SUM(PACIENTES!V217+COMEDOR!V217+JORNADA!V217+'DIETOLOGÍA(S)'!V217)</f>
        <v>0</v>
      </c>
      <c r="W217" s="77">
        <f>SUM(PACIENTES!W217+COMEDOR!W217+JORNADA!W217+'DIETOLOGÍA(S)'!W217)</f>
        <v>0</v>
      </c>
      <c r="X217" s="77">
        <f>SUM(PACIENTES!X217+COMEDOR!X217+JORNADA!X217+'DIETOLOGÍA(S)'!X217)</f>
        <v>0</v>
      </c>
      <c r="Y217" s="77">
        <f>SUM(PACIENTES!Y217+COMEDOR!Y217+JORNADA!Y217+'DIETOLOGÍA(S)'!Y217)</f>
        <v>0</v>
      </c>
      <c r="Z217" s="77">
        <f>SUM(PACIENTES!Z217+COMEDOR!Z217+JORNADA!Z217+'DIETOLOGÍA(S)'!Z217)</f>
        <v>0</v>
      </c>
      <c r="AA217" s="77">
        <f>SUM(PACIENTES!AA217+COMEDOR!AA217+JORNADA!AA217+'DIETOLOGÍA(S)'!AA217)</f>
        <v>0</v>
      </c>
      <c r="AB217" s="77">
        <f>SUM(PACIENTES!AB217+COMEDOR!AB217+JORNADA!AB217+'DIETOLOGÍA(S)'!AB217)</f>
        <v>0</v>
      </c>
      <c r="AC217" s="77">
        <f>SUM(PACIENTES!AC217+COMEDOR!AC217+JORNADA!AC217+'DIETOLOGÍA(S)'!AC217)</f>
        <v>0</v>
      </c>
      <c r="AD217" s="77">
        <f>SUM(PACIENTES!AD217+COMEDOR!AD217+JORNADA!AD217+'DIETOLOGÍA(S)'!AD217)</f>
        <v>0</v>
      </c>
      <c r="AE217" s="77">
        <f>SUM(PACIENTES!AE217+COMEDOR!AE217+JORNADA!AE217+'DIETOLOGÍA(S)'!AE217)</f>
        <v>1</v>
      </c>
      <c r="AF217" s="77">
        <f>SUM(PACIENTES!AF217+COMEDOR!AF217+JORNADA!AF217+'DIETOLOGÍA(S)'!AF217)</f>
        <v>0</v>
      </c>
      <c r="AG217" s="77">
        <f>SUM(PACIENTES!AG217+COMEDOR!AG217+JORNADA!AG217+'DIETOLOGÍA(S)'!AG217)</f>
        <v>0</v>
      </c>
      <c r="AH217" s="77">
        <f>SUM(PACIENTES!AH217+COMEDOR!AH217+JORNADA!AH217+'DIETOLOGÍA(S)'!AH217)</f>
        <v>0</v>
      </c>
      <c r="AI217" s="9">
        <f t="shared" si="8"/>
        <v>2</v>
      </c>
    </row>
    <row r="218" spans="1:35" ht="15.75" customHeight="1">
      <c r="A218" s="165">
        <v>2212008035</v>
      </c>
      <c r="B218" s="166" t="s">
        <v>227</v>
      </c>
      <c r="C218" s="167" t="s">
        <v>6</v>
      </c>
      <c r="D218" s="77">
        <f>SUM(PACIENTES!D218+COMEDOR!D218+JORNADA!D218+'DIETOLOGÍA(S)'!D218)</f>
        <v>84</v>
      </c>
      <c r="E218" s="77">
        <f>SUM(PACIENTES!E218+COMEDOR!E218+JORNADA!E218+'DIETOLOGÍA(S)'!E218)</f>
        <v>99</v>
      </c>
      <c r="F218" s="77">
        <f>SUM(PACIENTES!F218+COMEDOR!F218+JORNADA!F218+'DIETOLOGÍA(S)'!F218)</f>
        <v>93</v>
      </c>
      <c r="G218" s="77">
        <f>SUM(PACIENTES!G218+COMEDOR!G218+JORNADA!G218+'DIETOLOGÍA(S)'!G218)</f>
        <v>75</v>
      </c>
      <c r="H218" s="77">
        <f>SUM(PACIENTES!H218+COMEDOR!H218+JORNADA!H218+'DIETOLOGÍA(S)'!H218)</f>
        <v>99</v>
      </c>
      <c r="I218" s="77">
        <f>SUM(PACIENTES!I218+COMEDOR!I218+JORNADA!I218+'DIETOLOGÍA(S)'!I218)</f>
        <v>78</v>
      </c>
      <c r="J218" s="77">
        <f>SUM(PACIENTES!J218+COMEDOR!J218+JORNADA!J218+'DIETOLOGÍA(S)'!J218)</f>
        <v>84</v>
      </c>
      <c r="K218" s="77">
        <f>SUM(PACIENTES!K218+COMEDOR!K218+JORNADA!K218+'DIETOLOGÍA(S)'!K218)</f>
        <v>99</v>
      </c>
      <c r="L218" s="77">
        <f>SUM(PACIENTES!L218+COMEDOR!L218+JORNADA!L218+'DIETOLOGÍA(S)'!L218)</f>
        <v>63</v>
      </c>
      <c r="M218" s="77">
        <f>SUM(PACIENTES!M218+COMEDOR!M218+JORNADA!M218+'DIETOLOGÍA(S)'!M218)</f>
        <v>75</v>
      </c>
      <c r="N218" s="77">
        <f>SUM(PACIENTES!N218+COMEDOR!N218+JORNADA!N218+'DIETOLOGÍA(S)'!N218)</f>
        <v>93</v>
      </c>
      <c r="O218" s="77">
        <f>SUM(PACIENTES!O218+COMEDOR!O218+JORNADA!O218+'DIETOLOGÍA(S)'!O218)</f>
        <v>93</v>
      </c>
      <c r="P218" s="77">
        <f>SUM(PACIENTES!P218+COMEDOR!P218+JORNADA!P218+'DIETOLOGÍA(S)'!P218)</f>
        <v>84</v>
      </c>
      <c r="Q218" s="77">
        <f>SUM(PACIENTES!Q218+COMEDOR!Q218+JORNADA!Q218+'DIETOLOGÍA(S)'!Q218)</f>
        <v>78</v>
      </c>
      <c r="R218" s="77">
        <f>SUM(PACIENTES!R218+COMEDOR!R218+JORNADA!R218+'DIETOLOGÍA(S)'!R218)</f>
        <v>99</v>
      </c>
      <c r="S218" s="77">
        <f>SUM(PACIENTES!S218+COMEDOR!S218+JORNADA!S218+'DIETOLOGÍA(S)'!S218)</f>
        <v>84</v>
      </c>
      <c r="T218" s="77">
        <f>SUM(PACIENTES!T218+COMEDOR!T218+JORNADA!T218+'DIETOLOGÍA(S)'!T218)</f>
        <v>93</v>
      </c>
      <c r="U218" s="77">
        <f>SUM(PACIENTES!U218+COMEDOR!U218+JORNADA!U218+'DIETOLOGÍA(S)'!U218)</f>
        <v>93</v>
      </c>
      <c r="V218" s="77">
        <f>SUM(PACIENTES!V218+COMEDOR!V218+JORNADA!V218+'DIETOLOGÍA(S)'!V218)</f>
        <v>99</v>
      </c>
      <c r="W218" s="77">
        <f>SUM(PACIENTES!W218+COMEDOR!W218+JORNADA!W218+'DIETOLOGÍA(S)'!W218)</f>
        <v>99</v>
      </c>
      <c r="X218" s="77">
        <f>SUM(PACIENTES!X218+COMEDOR!X218+JORNADA!X218+'DIETOLOGÍA(S)'!X218)</f>
        <v>78</v>
      </c>
      <c r="Y218" s="77">
        <f>SUM(PACIENTES!Y218+COMEDOR!Y218+JORNADA!Y218+'DIETOLOGÍA(S)'!Y218)</f>
        <v>84</v>
      </c>
      <c r="Z218" s="77">
        <f>SUM(PACIENTES!Z218+COMEDOR!Z218+JORNADA!Z218+'DIETOLOGÍA(S)'!Z218)</f>
        <v>99</v>
      </c>
      <c r="AA218" s="77">
        <f>SUM(PACIENTES!AA218+COMEDOR!AA218+JORNADA!AA218+'DIETOLOGÍA(S)'!AA218)</f>
        <v>48</v>
      </c>
      <c r="AB218" s="77">
        <f>SUM(PACIENTES!AB218+COMEDOR!AB218+JORNADA!AB218+'DIETOLOGÍA(S)'!AB218)</f>
        <v>64</v>
      </c>
      <c r="AC218" s="77">
        <f>SUM(PACIENTES!AC218+COMEDOR!AC218+JORNADA!AC218+'DIETOLOGÍA(S)'!AC218)</f>
        <v>78</v>
      </c>
      <c r="AD218" s="77">
        <f>SUM(PACIENTES!AD218+COMEDOR!AD218+JORNADA!AD218+'DIETOLOGÍA(S)'!AD218)</f>
        <v>84</v>
      </c>
      <c r="AE218" s="77">
        <f>SUM(PACIENTES!AE218+COMEDOR!AE218+JORNADA!AE218+'DIETOLOGÍA(S)'!AE218)</f>
        <v>84</v>
      </c>
      <c r="AF218" s="77">
        <f>SUM(PACIENTES!AF218+COMEDOR!AF218+JORNADA!AF218+'DIETOLOGÍA(S)'!AF218)</f>
        <v>78</v>
      </c>
      <c r="AG218" s="77">
        <f>SUM(PACIENTES!AG218+COMEDOR!AG218+JORNADA!AG218+'DIETOLOGÍA(S)'!AG218)</f>
        <v>99</v>
      </c>
      <c r="AH218" s="77">
        <f>SUM(PACIENTES!AH218+COMEDOR!AH218+JORNADA!AH218+'DIETOLOGÍA(S)'!AH218)</f>
        <v>93</v>
      </c>
      <c r="AI218" s="9">
        <f t="shared" si="8"/>
        <v>2653</v>
      </c>
    </row>
    <row r="219" spans="1:35" ht="15.75" customHeight="1">
      <c r="A219" s="165">
        <v>2212008037</v>
      </c>
      <c r="B219" s="166" t="s">
        <v>228</v>
      </c>
      <c r="C219" s="167" t="s">
        <v>8</v>
      </c>
      <c r="D219" s="77">
        <f>SUM(PACIENTES!D219+COMEDOR!D219+JORNADA!D219+'DIETOLOGÍA(S)'!D219)</f>
        <v>150</v>
      </c>
      <c r="E219" s="77">
        <f>SUM(PACIENTES!E219+COMEDOR!E219+JORNADA!E219+'DIETOLOGÍA(S)'!E219)</f>
        <v>0</v>
      </c>
      <c r="F219" s="77">
        <f>SUM(PACIENTES!F219+COMEDOR!F219+JORNADA!F219+'DIETOLOGÍA(S)'!F219)</f>
        <v>90</v>
      </c>
      <c r="G219" s="77">
        <f>SUM(PACIENTES!G219+COMEDOR!G219+JORNADA!G219+'DIETOLOGÍA(S)'!G219)</f>
        <v>90</v>
      </c>
      <c r="H219" s="77">
        <f>SUM(PACIENTES!H219+COMEDOR!H219+JORNADA!H219+'DIETOLOGÍA(S)'!H219)</f>
        <v>90</v>
      </c>
      <c r="I219" s="77">
        <f>SUM(PACIENTES!I219+COMEDOR!I219+JORNADA!I219+'DIETOLOGÍA(S)'!I219)</f>
        <v>90</v>
      </c>
      <c r="J219" s="77">
        <f>SUM(PACIENTES!J219+COMEDOR!J219+JORNADA!J219+'DIETOLOGÍA(S)'!J219)</f>
        <v>10</v>
      </c>
      <c r="K219" s="77">
        <f>SUM(PACIENTES!K219+COMEDOR!K219+JORNADA!K219+'DIETOLOGÍA(S)'!K219)</f>
        <v>0</v>
      </c>
      <c r="L219" s="77">
        <f>SUM(PACIENTES!L219+COMEDOR!L219+JORNADA!L219+'DIETOLOGÍA(S)'!L219)</f>
        <v>150</v>
      </c>
      <c r="M219" s="77">
        <f>SUM(PACIENTES!M219+COMEDOR!M219+JORNADA!M219+'DIETOLOGÍA(S)'!M219)</f>
        <v>240</v>
      </c>
      <c r="N219" s="77">
        <f>SUM(PACIENTES!N219+COMEDOR!N219+JORNADA!N219+'DIETOLOGÍA(S)'!N219)</f>
        <v>0</v>
      </c>
      <c r="O219" s="77">
        <f>SUM(PACIENTES!O219+COMEDOR!O219+JORNADA!O219+'DIETOLOGÍA(S)'!O219)</f>
        <v>0</v>
      </c>
      <c r="P219" s="77">
        <f>SUM(PACIENTES!P219+COMEDOR!P219+JORNADA!P219+'DIETOLOGÍA(S)'!P219)</f>
        <v>90</v>
      </c>
      <c r="Q219" s="77">
        <f>SUM(PACIENTES!Q219+COMEDOR!Q219+JORNADA!Q219+'DIETOLOGÍA(S)'!Q219)</f>
        <v>90</v>
      </c>
      <c r="R219" s="77">
        <f>SUM(PACIENTES!R219+COMEDOR!R219+JORNADA!R219+'DIETOLOGÍA(S)'!R219)</f>
        <v>90</v>
      </c>
      <c r="S219" s="77">
        <f>SUM(PACIENTES!S219+COMEDOR!S219+JORNADA!S219+'DIETOLOGÍA(S)'!S219)</f>
        <v>240</v>
      </c>
      <c r="T219" s="77">
        <f>SUM(PACIENTES!T219+COMEDOR!T219+JORNADA!T219+'DIETOLOGÍA(S)'!T219)</f>
        <v>150</v>
      </c>
      <c r="U219" s="77">
        <f>SUM(PACIENTES!U219+COMEDOR!U219+JORNADA!U219+'DIETOLOGÍA(S)'!U219)</f>
        <v>240</v>
      </c>
      <c r="V219" s="77">
        <f>SUM(PACIENTES!V219+COMEDOR!V219+JORNADA!V219+'DIETOLOGÍA(S)'!V219)</f>
        <v>90</v>
      </c>
      <c r="W219" s="77">
        <f>SUM(PACIENTES!W219+COMEDOR!W219+JORNADA!W219+'DIETOLOGÍA(S)'!W219)</f>
        <v>190</v>
      </c>
      <c r="X219" s="77">
        <f>SUM(PACIENTES!X219+COMEDOR!X219+JORNADA!X219+'DIETOLOGÍA(S)'!X219)</f>
        <v>0</v>
      </c>
      <c r="Y219" s="77">
        <f>SUM(PACIENTES!Y219+COMEDOR!Y219+JORNADA!Y219+'DIETOLOGÍA(S)'!Y219)</f>
        <v>280</v>
      </c>
      <c r="Z219" s="77">
        <f>SUM(PACIENTES!Z219+COMEDOR!Z219+JORNADA!Z219+'DIETOLOGÍA(S)'!Z219)</f>
        <v>0</v>
      </c>
      <c r="AA219" s="77">
        <f>SUM(PACIENTES!AA219+COMEDOR!AA219+JORNADA!AA219+'DIETOLOGÍA(S)'!AA219)</f>
        <v>0</v>
      </c>
      <c r="AB219" s="77">
        <f>SUM(PACIENTES!AB219+COMEDOR!AB219+JORNADA!AB219+'DIETOLOGÍA(S)'!AB219)</f>
        <v>230</v>
      </c>
      <c r="AC219" s="77">
        <f>SUM(PACIENTES!AC219+COMEDOR!AC219+JORNADA!AC219+'DIETOLOGÍA(S)'!AC219)</f>
        <v>0</v>
      </c>
      <c r="AD219" s="77">
        <f>SUM(PACIENTES!AD219+COMEDOR!AD219+JORNADA!AD219+'DIETOLOGÍA(S)'!AD219)</f>
        <v>240</v>
      </c>
      <c r="AE219" s="77">
        <f>SUM(PACIENTES!AE219+COMEDOR!AE219+JORNADA!AE219+'DIETOLOGÍA(S)'!AE219)</f>
        <v>0</v>
      </c>
      <c r="AF219" s="77">
        <f>SUM(PACIENTES!AF219+COMEDOR!AF219+JORNADA!AF219+'DIETOLOGÍA(S)'!AF219)</f>
        <v>80</v>
      </c>
      <c r="AG219" s="77">
        <f>SUM(PACIENTES!AG219+COMEDOR!AG219+JORNADA!AG219+'DIETOLOGÍA(S)'!AG219)</f>
        <v>90</v>
      </c>
      <c r="AH219" s="77">
        <f>SUM(PACIENTES!AH219+COMEDOR!AH219+JORNADA!AH219+'DIETOLOGÍA(S)'!AH219)</f>
        <v>0</v>
      </c>
      <c r="AI219" s="9">
        <f t="shared" si="8"/>
        <v>3010</v>
      </c>
    </row>
    <row r="220" spans="1:35" ht="15.75" customHeight="1">
      <c r="A220" s="165">
        <v>2212008039</v>
      </c>
      <c r="B220" s="166" t="s">
        <v>229</v>
      </c>
      <c r="C220" s="167" t="s">
        <v>8</v>
      </c>
      <c r="D220" s="77">
        <f>SUM(PACIENTES!D220+COMEDOR!D220+JORNADA!D220+'DIETOLOGÍA(S)'!D220)</f>
        <v>0</v>
      </c>
      <c r="E220" s="77">
        <f>SUM(PACIENTES!E220+COMEDOR!E220+JORNADA!E220+'DIETOLOGÍA(S)'!E220)</f>
        <v>0</v>
      </c>
      <c r="F220" s="77">
        <f>SUM(PACIENTES!F220+COMEDOR!F220+JORNADA!F220+'DIETOLOGÍA(S)'!F220)</f>
        <v>0</v>
      </c>
      <c r="G220" s="77">
        <f>SUM(PACIENTES!G220+COMEDOR!G220+JORNADA!G220+'DIETOLOGÍA(S)'!G220)</f>
        <v>0</v>
      </c>
      <c r="H220" s="77">
        <f>SUM(PACIENTES!H220+COMEDOR!H220+JORNADA!H220+'DIETOLOGÍA(S)'!H220)</f>
        <v>0</v>
      </c>
      <c r="I220" s="77">
        <f>SUM(PACIENTES!I220+COMEDOR!I220+JORNADA!I220+'DIETOLOGÍA(S)'!I220)</f>
        <v>0</v>
      </c>
      <c r="J220" s="77">
        <f>SUM(PACIENTES!J220+COMEDOR!J220+JORNADA!J220+'DIETOLOGÍA(S)'!J220)</f>
        <v>0</v>
      </c>
      <c r="K220" s="77">
        <f>SUM(PACIENTES!K220+COMEDOR!K220+JORNADA!K220+'DIETOLOGÍA(S)'!K220)</f>
        <v>0</v>
      </c>
      <c r="L220" s="77">
        <f>SUM(PACIENTES!L220+COMEDOR!L220+JORNADA!L220+'DIETOLOGÍA(S)'!L220)</f>
        <v>0</v>
      </c>
      <c r="M220" s="77">
        <f>SUM(PACIENTES!M220+COMEDOR!M220+JORNADA!M220+'DIETOLOGÍA(S)'!M220)</f>
        <v>0</v>
      </c>
      <c r="N220" s="77">
        <f>SUM(PACIENTES!N220+COMEDOR!N220+JORNADA!N220+'DIETOLOGÍA(S)'!N220)</f>
        <v>0</v>
      </c>
      <c r="O220" s="77">
        <f>SUM(PACIENTES!O220+COMEDOR!O220+JORNADA!O220+'DIETOLOGÍA(S)'!O220)</f>
        <v>0</v>
      </c>
      <c r="P220" s="77">
        <f>SUM(PACIENTES!P220+COMEDOR!P220+JORNADA!P220+'DIETOLOGÍA(S)'!P220)</f>
        <v>0</v>
      </c>
      <c r="Q220" s="77">
        <f>SUM(PACIENTES!Q220+COMEDOR!Q220+JORNADA!Q220+'DIETOLOGÍA(S)'!Q220)</f>
        <v>0</v>
      </c>
      <c r="R220" s="77">
        <f>SUM(PACIENTES!R220+COMEDOR!R220+JORNADA!R220+'DIETOLOGÍA(S)'!R220)</f>
        <v>0</v>
      </c>
      <c r="S220" s="77">
        <f>SUM(PACIENTES!S220+COMEDOR!S220+JORNADA!S220+'DIETOLOGÍA(S)'!S220)</f>
        <v>0</v>
      </c>
      <c r="T220" s="77">
        <f>SUM(PACIENTES!T220+COMEDOR!T220+JORNADA!T220+'DIETOLOGÍA(S)'!T220)</f>
        <v>0</v>
      </c>
      <c r="U220" s="77">
        <f>SUM(PACIENTES!U220+COMEDOR!U220+JORNADA!U220+'DIETOLOGÍA(S)'!U220)</f>
        <v>0</v>
      </c>
      <c r="V220" s="77">
        <f>SUM(PACIENTES!V220+COMEDOR!V220+JORNADA!V220+'DIETOLOGÍA(S)'!V220)</f>
        <v>0</v>
      </c>
      <c r="W220" s="77">
        <f>SUM(PACIENTES!W220+COMEDOR!W220+JORNADA!W220+'DIETOLOGÍA(S)'!W220)</f>
        <v>0</v>
      </c>
      <c r="X220" s="77">
        <f>SUM(PACIENTES!X220+COMEDOR!X220+JORNADA!X220+'DIETOLOGÍA(S)'!X220)</f>
        <v>5</v>
      </c>
      <c r="Y220" s="77">
        <f>SUM(PACIENTES!Y220+COMEDOR!Y220+JORNADA!Y220+'DIETOLOGÍA(S)'!Y220)</f>
        <v>0</v>
      </c>
      <c r="Z220" s="77">
        <f>SUM(PACIENTES!Z220+COMEDOR!Z220+JORNADA!Z220+'DIETOLOGÍA(S)'!Z220)</f>
        <v>0</v>
      </c>
      <c r="AA220" s="77">
        <f>SUM(PACIENTES!AA220+COMEDOR!AA220+JORNADA!AA220+'DIETOLOGÍA(S)'!AA220)</f>
        <v>0</v>
      </c>
      <c r="AB220" s="77">
        <f>SUM(PACIENTES!AB220+COMEDOR!AB220+JORNADA!AB220+'DIETOLOGÍA(S)'!AB220)</f>
        <v>0</v>
      </c>
      <c r="AC220" s="77">
        <f>SUM(PACIENTES!AC220+COMEDOR!AC220+JORNADA!AC220+'DIETOLOGÍA(S)'!AC220)</f>
        <v>0</v>
      </c>
      <c r="AD220" s="77">
        <f>SUM(PACIENTES!AD220+COMEDOR!AD220+JORNADA!AD220+'DIETOLOGÍA(S)'!AD220)</f>
        <v>0</v>
      </c>
      <c r="AE220" s="77">
        <f>SUM(PACIENTES!AE220+COMEDOR!AE220+JORNADA!AE220+'DIETOLOGÍA(S)'!AE220)</f>
        <v>0</v>
      </c>
      <c r="AF220" s="77">
        <f>SUM(PACIENTES!AF220+COMEDOR!AF220+JORNADA!AF220+'DIETOLOGÍA(S)'!AF220)</f>
        <v>0</v>
      </c>
      <c r="AG220" s="77">
        <f>SUM(PACIENTES!AG220+COMEDOR!AG220+JORNADA!AG220+'DIETOLOGÍA(S)'!AG220)</f>
        <v>0</v>
      </c>
      <c r="AH220" s="77">
        <f>SUM(PACIENTES!AH220+COMEDOR!AH220+JORNADA!AH220+'DIETOLOGÍA(S)'!AH220)</f>
        <v>0</v>
      </c>
      <c r="AI220" s="9">
        <f t="shared" si="8"/>
        <v>5</v>
      </c>
    </row>
    <row r="221" spans="1:35" ht="15.75" customHeight="1">
      <c r="A221" s="165">
        <v>2212008040</v>
      </c>
      <c r="B221" s="166" t="s">
        <v>230</v>
      </c>
      <c r="C221" s="167" t="s">
        <v>6</v>
      </c>
      <c r="D221" s="77">
        <f>SUM(PACIENTES!D221+COMEDOR!D221+JORNADA!D221+'DIETOLOGÍA(S)'!D221)</f>
        <v>0</v>
      </c>
      <c r="E221" s="77">
        <f>SUM(PACIENTES!E221+COMEDOR!E221+JORNADA!E221+'DIETOLOGÍA(S)'!E221)</f>
        <v>0</v>
      </c>
      <c r="F221" s="77">
        <f>SUM(PACIENTES!F221+COMEDOR!F221+JORNADA!F221+'DIETOLOGÍA(S)'!F221)</f>
        <v>0</v>
      </c>
      <c r="G221" s="77">
        <f>SUM(PACIENTES!G221+COMEDOR!G221+JORNADA!G221+'DIETOLOGÍA(S)'!G221)</f>
        <v>0</v>
      </c>
      <c r="H221" s="77">
        <f>SUM(PACIENTES!H221+COMEDOR!H221+JORNADA!H221+'DIETOLOGÍA(S)'!H221)</f>
        <v>0</v>
      </c>
      <c r="I221" s="77">
        <f>SUM(PACIENTES!I221+COMEDOR!I221+JORNADA!I221+'DIETOLOGÍA(S)'!I221)</f>
        <v>0</v>
      </c>
      <c r="J221" s="77">
        <f>SUM(PACIENTES!J221+COMEDOR!J221+JORNADA!J221+'DIETOLOGÍA(S)'!J221)</f>
        <v>0</v>
      </c>
      <c r="K221" s="77">
        <f>SUM(PACIENTES!K221+COMEDOR!K221+JORNADA!K221+'DIETOLOGÍA(S)'!K221)</f>
        <v>0</v>
      </c>
      <c r="L221" s="77">
        <f>SUM(PACIENTES!L221+COMEDOR!L221+JORNADA!L221+'DIETOLOGÍA(S)'!L221)</f>
        <v>0</v>
      </c>
      <c r="M221" s="77">
        <f>SUM(PACIENTES!M221+COMEDOR!M221+JORNADA!M221+'DIETOLOGÍA(S)'!M221)</f>
        <v>0</v>
      </c>
      <c r="N221" s="77">
        <f>SUM(PACIENTES!N221+COMEDOR!N221+JORNADA!N221+'DIETOLOGÍA(S)'!N221)</f>
        <v>0</v>
      </c>
      <c r="O221" s="77">
        <f>SUM(PACIENTES!O221+COMEDOR!O221+JORNADA!O221+'DIETOLOGÍA(S)'!O221)</f>
        <v>0</v>
      </c>
      <c r="P221" s="77">
        <f>SUM(PACIENTES!P221+COMEDOR!P221+JORNADA!P221+'DIETOLOGÍA(S)'!P221)</f>
        <v>0</v>
      </c>
      <c r="Q221" s="77">
        <f>SUM(PACIENTES!Q221+COMEDOR!Q221+JORNADA!Q221+'DIETOLOGÍA(S)'!Q221)</f>
        <v>0</v>
      </c>
      <c r="R221" s="77">
        <f>SUM(PACIENTES!R221+COMEDOR!R221+JORNADA!R221+'DIETOLOGÍA(S)'!R221)</f>
        <v>0</v>
      </c>
      <c r="S221" s="77">
        <f>SUM(PACIENTES!S221+COMEDOR!S221+JORNADA!S221+'DIETOLOGÍA(S)'!S221)</f>
        <v>0</v>
      </c>
      <c r="T221" s="77">
        <f>SUM(PACIENTES!T221+COMEDOR!T221+JORNADA!T221+'DIETOLOGÍA(S)'!T221)</f>
        <v>0</v>
      </c>
      <c r="U221" s="77">
        <f>SUM(PACIENTES!U221+COMEDOR!U221+JORNADA!U221+'DIETOLOGÍA(S)'!U221)</f>
        <v>0</v>
      </c>
      <c r="V221" s="77">
        <f>SUM(PACIENTES!V221+COMEDOR!V221+JORNADA!V221+'DIETOLOGÍA(S)'!V221)</f>
        <v>0</v>
      </c>
      <c r="W221" s="77">
        <f>SUM(PACIENTES!W221+COMEDOR!W221+JORNADA!W221+'DIETOLOGÍA(S)'!W221)</f>
        <v>0</v>
      </c>
      <c r="X221" s="77">
        <f>SUM(PACIENTES!X221+COMEDOR!X221+JORNADA!X221+'DIETOLOGÍA(S)'!X221)</f>
        <v>0</v>
      </c>
      <c r="Y221" s="77">
        <f>SUM(PACIENTES!Y221+COMEDOR!Y221+JORNADA!Y221+'DIETOLOGÍA(S)'!Y221)</f>
        <v>0</v>
      </c>
      <c r="Z221" s="77">
        <f>SUM(PACIENTES!Z221+COMEDOR!Z221+JORNADA!Z221+'DIETOLOGÍA(S)'!Z221)</f>
        <v>0</v>
      </c>
      <c r="AA221" s="77">
        <f>SUM(PACIENTES!AA221+COMEDOR!AA221+JORNADA!AA221+'DIETOLOGÍA(S)'!AA221)</f>
        <v>0</v>
      </c>
      <c r="AB221" s="77">
        <f>SUM(PACIENTES!AB221+COMEDOR!AB221+JORNADA!AB221+'DIETOLOGÍA(S)'!AB221)</f>
        <v>0</v>
      </c>
      <c r="AC221" s="77">
        <f>SUM(PACIENTES!AC221+COMEDOR!AC221+JORNADA!AC221+'DIETOLOGÍA(S)'!AC221)</f>
        <v>0</v>
      </c>
      <c r="AD221" s="77">
        <f>SUM(PACIENTES!AD221+COMEDOR!AD221+JORNADA!AD221+'DIETOLOGÍA(S)'!AD221)</f>
        <v>0</v>
      </c>
      <c r="AE221" s="77">
        <f>SUM(PACIENTES!AE221+COMEDOR!AE221+JORNADA!AE221+'DIETOLOGÍA(S)'!AE221)</f>
        <v>0</v>
      </c>
      <c r="AF221" s="77">
        <f>SUM(PACIENTES!AF221+COMEDOR!AF221+JORNADA!AF221+'DIETOLOGÍA(S)'!AF221)</f>
        <v>0</v>
      </c>
      <c r="AG221" s="77">
        <f>SUM(PACIENTES!AG221+COMEDOR!AG221+JORNADA!AG221+'DIETOLOGÍA(S)'!AG221)</f>
        <v>0</v>
      </c>
      <c r="AH221" s="77">
        <f>SUM(PACIENTES!AH221+COMEDOR!AH221+JORNADA!AH221+'DIETOLOGÍA(S)'!AH221)</f>
        <v>0</v>
      </c>
      <c r="AI221" s="9">
        <f t="shared" si="8"/>
        <v>0</v>
      </c>
    </row>
    <row r="222" spans="1:35" ht="15.75" customHeight="1">
      <c r="A222" s="165">
        <v>2212008042</v>
      </c>
      <c r="B222" s="166" t="s">
        <v>231</v>
      </c>
      <c r="C222" s="167" t="s">
        <v>8</v>
      </c>
      <c r="D222" s="77">
        <f>SUM(PACIENTES!D222+COMEDOR!D222+JORNADA!D222+'DIETOLOGÍA(S)'!D222)</f>
        <v>0</v>
      </c>
      <c r="E222" s="77">
        <f>SUM(PACIENTES!E222+COMEDOR!E222+JORNADA!E222+'DIETOLOGÍA(S)'!E222)</f>
        <v>0</v>
      </c>
      <c r="F222" s="77">
        <f>SUM(PACIENTES!F222+COMEDOR!F222+JORNADA!F222+'DIETOLOGÍA(S)'!F222)</f>
        <v>0</v>
      </c>
      <c r="G222" s="77">
        <f>SUM(PACIENTES!G222+COMEDOR!G222+JORNADA!G222+'DIETOLOGÍA(S)'!G222)</f>
        <v>0</v>
      </c>
      <c r="H222" s="77">
        <f>SUM(PACIENTES!H222+COMEDOR!H222+JORNADA!H222+'DIETOLOGÍA(S)'!H222)</f>
        <v>0</v>
      </c>
      <c r="I222" s="77">
        <f>SUM(PACIENTES!I222+COMEDOR!I222+JORNADA!I222+'DIETOLOGÍA(S)'!I222)</f>
        <v>0</v>
      </c>
      <c r="J222" s="77">
        <f>SUM(PACIENTES!J222+COMEDOR!J222+JORNADA!J222+'DIETOLOGÍA(S)'!J222)</f>
        <v>0</v>
      </c>
      <c r="K222" s="77">
        <f>SUM(PACIENTES!K222+COMEDOR!K222+JORNADA!K222+'DIETOLOGÍA(S)'!K222)</f>
        <v>0</v>
      </c>
      <c r="L222" s="77">
        <f>SUM(PACIENTES!L222+COMEDOR!L222+JORNADA!L222+'DIETOLOGÍA(S)'!L222)</f>
        <v>0</v>
      </c>
      <c r="M222" s="77">
        <f>SUM(PACIENTES!M222+COMEDOR!M222+JORNADA!M222+'DIETOLOGÍA(S)'!M222)</f>
        <v>0</v>
      </c>
      <c r="N222" s="77">
        <f>SUM(PACIENTES!N222+COMEDOR!N222+JORNADA!N222+'DIETOLOGÍA(S)'!N222)</f>
        <v>0</v>
      </c>
      <c r="O222" s="77">
        <f>SUM(PACIENTES!O222+COMEDOR!O222+JORNADA!O222+'DIETOLOGÍA(S)'!O222)</f>
        <v>0</v>
      </c>
      <c r="P222" s="77">
        <f>SUM(PACIENTES!P222+COMEDOR!P222+JORNADA!P222+'DIETOLOGÍA(S)'!P222)</f>
        <v>0</v>
      </c>
      <c r="Q222" s="77">
        <f>SUM(PACIENTES!Q222+COMEDOR!Q222+JORNADA!Q222+'DIETOLOGÍA(S)'!Q222)</f>
        <v>0</v>
      </c>
      <c r="R222" s="77">
        <f>SUM(PACIENTES!R222+COMEDOR!R222+JORNADA!R222+'DIETOLOGÍA(S)'!R222)</f>
        <v>0</v>
      </c>
      <c r="S222" s="77">
        <f>SUM(PACIENTES!S222+COMEDOR!S222+JORNADA!S222+'DIETOLOGÍA(S)'!S222)</f>
        <v>0</v>
      </c>
      <c r="T222" s="77">
        <f>SUM(PACIENTES!T222+COMEDOR!T222+JORNADA!T222+'DIETOLOGÍA(S)'!T222)</f>
        <v>0</v>
      </c>
      <c r="U222" s="77">
        <f>SUM(PACIENTES!U222+COMEDOR!U222+JORNADA!U222+'DIETOLOGÍA(S)'!U222)</f>
        <v>0</v>
      </c>
      <c r="V222" s="77">
        <f>SUM(PACIENTES!V222+COMEDOR!V222+JORNADA!V222+'DIETOLOGÍA(S)'!V222)</f>
        <v>0</v>
      </c>
      <c r="W222" s="77">
        <f>SUM(PACIENTES!W222+COMEDOR!W222+JORNADA!W222+'DIETOLOGÍA(S)'!W222)</f>
        <v>0</v>
      </c>
      <c r="X222" s="77">
        <f>SUM(PACIENTES!X222+COMEDOR!X222+JORNADA!X222+'DIETOLOGÍA(S)'!X222)</f>
        <v>0</v>
      </c>
      <c r="Y222" s="77">
        <f>SUM(PACIENTES!Y222+COMEDOR!Y222+JORNADA!Y222+'DIETOLOGÍA(S)'!Y222)</f>
        <v>0</v>
      </c>
      <c r="Z222" s="77">
        <f>SUM(PACIENTES!Z222+COMEDOR!Z222+JORNADA!Z222+'DIETOLOGÍA(S)'!Z222)</f>
        <v>0</v>
      </c>
      <c r="AA222" s="77">
        <f>SUM(PACIENTES!AA222+COMEDOR!AA222+JORNADA!AA222+'DIETOLOGÍA(S)'!AA222)</f>
        <v>0</v>
      </c>
      <c r="AB222" s="77">
        <f>SUM(PACIENTES!AB222+COMEDOR!AB222+JORNADA!AB222+'DIETOLOGÍA(S)'!AB222)</f>
        <v>0</v>
      </c>
      <c r="AC222" s="77">
        <f>SUM(PACIENTES!AC222+COMEDOR!AC222+JORNADA!AC222+'DIETOLOGÍA(S)'!AC222)</f>
        <v>0</v>
      </c>
      <c r="AD222" s="77">
        <f>SUM(PACIENTES!AD222+COMEDOR!AD222+JORNADA!AD222+'DIETOLOGÍA(S)'!AD222)</f>
        <v>0</v>
      </c>
      <c r="AE222" s="77">
        <f>SUM(PACIENTES!AE222+COMEDOR!AE222+JORNADA!AE222+'DIETOLOGÍA(S)'!AE222)</f>
        <v>0</v>
      </c>
      <c r="AF222" s="77">
        <f>SUM(PACIENTES!AF222+COMEDOR!AF222+JORNADA!AF222+'DIETOLOGÍA(S)'!AF222)</f>
        <v>0</v>
      </c>
      <c r="AG222" s="77">
        <f>SUM(PACIENTES!AG222+COMEDOR!AG222+JORNADA!AG222+'DIETOLOGÍA(S)'!AG222)</f>
        <v>0</v>
      </c>
      <c r="AH222" s="77">
        <f>SUM(PACIENTES!AH222+COMEDOR!AH222+JORNADA!AH222+'DIETOLOGÍA(S)'!AH222)</f>
        <v>0</v>
      </c>
      <c r="AI222" s="9">
        <f t="shared" si="8"/>
        <v>0</v>
      </c>
    </row>
    <row r="223" spans="1:35" ht="15.75" customHeight="1">
      <c r="A223" s="165">
        <v>2212008045</v>
      </c>
      <c r="B223" s="166" t="s">
        <v>232</v>
      </c>
      <c r="C223" s="167" t="s">
        <v>8</v>
      </c>
      <c r="D223" s="77">
        <f>SUM(PACIENTES!D223+COMEDOR!D223+JORNADA!D223+'DIETOLOGÍA(S)'!D223)</f>
        <v>0</v>
      </c>
      <c r="E223" s="77">
        <f>SUM(PACIENTES!E223+COMEDOR!E223+JORNADA!E223+'DIETOLOGÍA(S)'!E223)</f>
        <v>0</v>
      </c>
      <c r="F223" s="77">
        <f>SUM(PACIENTES!F223+COMEDOR!F223+JORNADA!F223+'DIETOLOGÍA(S)'!F223)</f>
        <v>0</v>
      </c>
      <c r="G223" s="77">
        <f>SUM(PACIENTES!G223+COMEDOR!G223+JORNADA!G223+'DIETOLOGÍA(S)'!G223)</f>
        <v>0</v>
      </c>
      <c r="H223" s="77">
        <f>SUM(PACIENTES!H223+COMEDOR!H223+JORNADA!H223+'DIETOLOGÍA(S)'!H223)</f>
        <v>0</v>
      </c>
      <c r="I223" s="77">
        <f>SUM(PACIENTES!I223+COMEDOR!I223+JORNADA!I223+'DIETOLOGÍA(S)'!I223)</f>
        <v>0</v>
      </c>
      <c r="J223" s="77">
        <f>SUM(PACIENTES!J223+COMEDOR!J223+JORNADA!J223+'DIETOLOGÍA(S)'!J223)</f>
        <v>0</v>
      </c>
      <c r="K223" s="77">
        <f>SUM(PACIENTES!K223+COMEDOR!K223+JORNADA!K223+'DIETOLOGÍA(S)'!K223)</f>
        <v>0</v>
      </c>
      <c r="L223" s="77">
        <f>SUM(PACIENTES!L223+COMEDOR!L223+JORNADA!L223+'DIETOLOGÍA(S)'!L223)</f>
        <v>0</v>
      </c>
      <c r="M223" s="77">
        <f>SUM(PACIENTES!M223+COMEDOR!M223+JORNADA!M223+'DIETOLOGÍA(S)'!M223)</f>
        <v>0</v>
      </c>
      <c r="N223" s="77">
        <f>SUM(PACIENTES!N223+COMEDOR!N223+JORNADA!N223+'DIETOLOGÍA(S)'!N223)</f>
        <v>0</v>
      </c>
      <c r="O223" s="77">
        <f>SUM(PACIENTES!O223+COMEDOR!O223+JORNADA!O223+'DIETOLOGÍA(S)'!O223)</f>
        <v>0</v>
      </c>
      <c r="P223" s="77">
        <f>SUM(PACIENTES!P223+COMEDOR!P223+JORNADA!P223+'DIETOLOGÍA(S)'!P223)</f>
        <v>0</v>
      </c>
      <c r="Q223" s="77">
        <f>SUM(PACIENTES!Q223+COMEDOR!Q223+JORNADA!Q223+'DIETOLOGÍA(S)'!Q223)</f>
        <v>0</v>
      </c>
      <c r="R223" s="77">
        <f>SUM(PACIENTES!R223+COMEDOR!R223+JORNADA!R223+'DIETOLOGÍA(S)'!R223)</f>
        <v>0</v>
      </c>
      <c r="S223" s="77">
        <f>SUM(PACIENTES!S223+COMEDOR!S223+JORNADA!S223+'DIETOLOGÍA(S)'!S223)</f>
        <v>0</v>
      </c>
      <c r="T223" s="77">
        <f>SUM(PACIENTES!T223+COMEDOR!T223+JORNADA!T223+'DIETOLOGÍA(S)'!T223)</f>
        <v>0</v>
      </c>
      <c r="U223" s="77">
        <f>SUM(PACIENTES!U223+COMEDOR!U223+JORNADA!U223+'DIETOLOGÍA(S)'!U223)</f>
        <v>0</v>
      </c>
      <c r="V223" s="77">
        <f>SUM(PACIENTES!V223+COMEDOR!V223+JORNADA!V223+'DIETOLOGÍA(S)'!V223)</f>
        <v>0</v>
      </c>
      <c r="W223" s="77">
        <f>SUM(PACIENTES!W223+COMEDOR!W223+JORNADA!W223+'DIETOLOGÍA(S)'!W223)</f>
        <v>0</v>
      </c>
      <c r="X223" s="77">
        <f>SUM(PACIENTES!X223+COMEDOR!X223+JORNADA!X223+'DIETOLOGÍA(S)'!X223)</f>
        <v>0</v>
      </c>
      <c r="Y223" s="77">
        <f>SUM(PACIENTES!Y223+COMEDOR!Y223+JORNADA!Y223+'DIETOLOGÍA(S)'!Y223)</f>
        <v>0</v>
      </c>
      <c r="Z223" s="77">
        <f>SUM(PACIENTES!Z223+COMEDOR!Z223+JORNADA!Z223+'DIETOLOGÍA(S)'!Z223)</f>
        <v>0</v>
      </c>
      <c r="AA223" s="77">
        <f>SUM(PACIENTES!AA223+COMEDOR!AA223+JORNADA!AA223+'DIETOLOGÍA(S)'!AA223)</f>
        <v>0</v>
      </c>
      <c r="AB223" s="77">
        <f>SUM(PACIENTES!AB223+COMEDOR!AB223+JORNADA!AB223+'DIETOLOGÍA(S)'!AB223)</f>
        <v>0</v>
      </c>
      <c r="AC223" s="77">
        <f>SUM(PACIENTES!AC223+COMEDOR!AC223+JORNADA!AC223+'DIETOLOGÍA(S)'!AC223)</f>
        <v>0</v>
      </c>
      <c r="AD223" s="77">
        <f>SUM(PACIENTES!AD223+COMEDOR!AD223+JORNADA!AD223+'DIETOLOGÍA(S)'!AD223)</f>
        <v>0</v>
      </c>
      <c r="AE223" s="77">
        <f>SUM(PACIENTES!AE223+COMEDOR!AE223+JORNADA!AE223+'DIETOLOGÍA(S)'!AE223)</f>
        <v>0</v>
      </c>
      <c r="AF223" s="77">
        <f>SUM(PACIENTES!AF223+COMEDOR!AF223+JORNADA!AF223+'DIETOLOGÍA(S)'!AF223)</f>
        <v>0</v>
      </c>
      <c r="AG223" s="77">
        <f>SUM(PACIENTES!AG223+COMEDOR!AG223+JORNADA!AG223+'DIETOLOGÍA(S)'!AG223)</f>
        <v>0</v>
      </c>
      <c r="AH223" s="77">
        <f>SUM(PACIENTES!AH223+COMEDOR!AH223+JORNADA!AH223+'DIETOLOGÍA(S)'!AH223)</f>
        <v>0</v>
      </c>
      <c r="AI223" s="9">
        <f t="shared" si="8"/>
        <v>0</v>
      </c>
    </row>
    <row r="224" spans="1:35" ht="15.75" customHeight="1">
      <c r="A224" s="183">
        <v>2212004045</v>
      </c>
      <c r="B224" s="185" t="s">
        <v>233</v>
      </c>
      <c r="C224" s="186" t="s">
        <v>6</v>
      </c>
      <c r="D224" s="77">
        <f>SUM(PACIENTES!D224+COMEDOR!D224+JORNADA!D224+'DIETOLOGÍA(S)'!D224)</f>
        <v>0</v>
      </c>
      <c r="E224" s="77">
        <f>SUM(PACIENTES!E224+COMEDOR!E224+JORNADA!E224+'DIETOLOGÍA(S)'!E224)</f>
        <v>0</v>
      </c>
      <c r="F224" s="77">
        <f>SUM(PACIENTES!F224+COMEDOR!F224+JORNADA!F224+'DIETOLOGÍA(S)'!F224)</f>
        <v>0</v>
      </c>
      <c r="G224" s="77">
        <f>SUM(PACIENTES!G224+COMEDOR!G224+JORNADA!G224+'DIETOLOGÍA(S)'!G224)</f>
        <v>0</v>
      </c>
      <c r="H224" s="77">
        <f>SUM(PACIENTES!H224+COMEDOR!H224+JORNADA!H224+'DIETOLOGÍA(S)'!H224)</f>
        <v>0</v>
      </c>
      <c r="I224" s="77">
        <f>SUM(PACIENTES!I224+COMEDOR!I224+JORNADA!I224+'DIETOLOGÍA(S)'!I224)</f>
        <v>0</v>
      </c>
      <c r="J224" s="77">
        <f>SUM(PACIENTES!J224+COMEDOR!J224+JORNADA!J224+'DIETOLOGÍA(S)'!J224)</f>
        <v>0</v>
      </c>
      <c r="K224" s="77">
        <f>SUM(PACIENTES!K224+COMEDOR!K224+JORNADA!K224+'DIETOLOGÍA(S)'!K224)</f>
        <v>0</v>
      </c>
      <c r="L224" s="77">
        <f>SUM(PACIENTES!L224+COMEDOR!L224+JORNADA!L224+'DIETOLOGÍA(S)'!L224)</f>
        <v>0</v>
      </c>
      <c r="M224" s="77">
        <f>SUM(PACIENTES!M224+COMEDOR!M224+JORNADA!M224+'DIETOLOGÍA(S)'!M224)</f>
        <v>0</v>
      </c>
      <c r="N224" s="77">
        <f>SUM(PACIENTES!N224+COMEDOR!N224+JORNADA!N224+'DIETOLOGÍA(S)'!N224)</f>
        <v>0</v>
      </c>
      <c r="O224" s="77">
        <f>SUM(PACIENTES!O224+COMEDOR!O224+JORNADA!O224+'DIETOLOGÍA(S)'!O224)</f>
        <v>0</v>
      </c>
      <c r="P224" s="77">
        <f>SUM(PACIENTES!P224+COMEDOR!P224+JORNADA!P224+'DIETOLOGÍA(S)'!P224)</f>
        <v>0</v>
      </c>
      <c r="Q224" s="77">
        <f>SUM(PACIENTES!Q224+COMEDOR!Q224+JORNADA!Q224+'DIETOLOGÍA(S)'!Q224)</f>
        <v>7</v>
      </c>
      <c r="R224" s="77">
        <f>SUM(PACIENTES!R224+COMEDOR!R224+JORNADA!R224+'DIETOLOGÍA(S)'!R224)</f>
        <v>0</v>
      </c>
      <c r="S224" s="77">
        <f>SUM(PACIENTES!S224+COMEDOR!S224+JORNADA!S224+'DIETOLOGÍA(S)'!S224)</f>
        <v>0</v>
      </c>
      <c r="T224" s="77">
        <f>SUM(PACIENTES!T224+COMEDOR!T224+JORNADA!T224+'DIETOLOGÍA(S)'!T224)</f>
        <v>0</v>
      </c>
      <c r="U224" s="77">
        <f>SUM(PACIENTES!U224+COMEDOR!U224+JORNADA!U224+'DIETOLOGÍA(S)'!U224)</f>
        <v>0</v>
      </c>
      <c r="V224" s="77">
        <f>SUM(PACIENTES!V224+COMEDOR!V224+JORNADA!V224+'DIETOLOGÍA(S)'!V224)</f>
        <v>0</v>
      </c>
      <c r="W224" s="77">
        <f>SUM(PACIENTES!W224+COMEDOR!W224+JORNADA!W224+'DIETOLOGÍA(S)'!W224)</f>
        <v>0</v>
      </c>
      <c r="X224" s="77">
        <f>SUM(PACIENTES!X224+COMEDOR!X224+JORNADA!X224+'DIETOLOGÍA(S)'!X224)</f>
        <v>0</v>
      </c>
      <c r="Y224" s="77">
        <f>SUM(PACIENTES!Y224+COMEDOR!Y224+JORNADA!Y224+'DIETOLOGÍA(S)'!Y224)</f>
        <v>0</v>
      </c>
      <c r="Z224" s="77">
        <f>SUM(PACIENTES!Z224+COMEDOR!Z224+JORNADA!Z224+'DIETOLOGÍA(S)'!Z224)</f>
        <v>0</v>
      </c>
      <c r="AA224" s="77">
        <f>SUM(PACIENTES!AA224+COMEDOR!AA224+JORNADA!AA224+'DIETOLOGÍA(S)'!AA224)</f>
        <v>0</v>
      </c>
      <c r="AB224" s="77">
        <f>SUM(PACIENTES!AB224+COMEDOR!AB224+JORNADA!AB224+'DIETOLOGÍA(S)'!AB224)</f>
        <v>0</v>
      </c>
      <c r="AC224" s="77">
        <f>SUM(PACIENTES!AC224+COMEDOR!AC224+JORNADA!AC224+'DIETOLOGÍA(S)'!AC224)</f>
        <v>0</v>
      </c>
      <c r="AD224" s="77">
        <f>SUM(PACIENTES!AD224+COMEDOR!AD224+JORNADA!AD224+'DIETOLOGÍA(S)'!AD224)</f>
        <v>2</v>
      </c>
      <c r="AE224" s="77">
        <f>SUM(PACIENTES!AE224+COMEDOR!AE224+JORNADA!AE224+'DIETOLOGÍA(S)'!AE224)</f>
        <v>0</v>
      </c>
      <c r="AF224" s="77">
        <f>SUM(PACIENTES!AF224+COMEDOR!AF224+JORNADA!AF224+'DIETOLOGÍA(S)'!AF224)</f>
        <v>0</v>
      </c>
      <c r="AG224" s="77">
        <f>SUM(PACIENTES!AG224+COMEDOR!AG224+JORNADA!AG224+'DIETOLOGÍA(S)'!AG224)</f>
        <v>0</v>
      </c>
      <c r="AH224" s="77">
        <f>SUM(PACIENTES!AH224+COMEDOR!AH224+JORNADA!AH224+'DIETOLOGÍA(S)'!AH224)</f>
        <v>0</v>
      </c>
      <c r="AI224" s="40">
        <f t="shared" si="8"/>
        <v>9</v>
      </c>
    </row>
    <row r="225" spans="1:35" ht="18.75" customHeight="1">
      <c r="A225" s="609" t="s">
        <v>234</v>
      </c>
      <c r="B225" s="606"/>
      <c r="C225" s="606"/>
      <c r="D225" s="606"/>
      <c r="E225" s="606"/>
      <c r="F225" s="606"/>
      <c r="G225" s="606"/>
      <c r="H225" s="606"/>
      <c r="I225" s="606"/>
      <c r="J225" s="606"/>
      <c r="K225" s="606"/>
      <c r="L225" s="606"/>
      <c r="M225" s="606"/>
      <c r="N225" s="606"/>
      <c r="O225" s="606"/>
      <c r="P225" s="606"/>
      <c r="Q225" s="606"/>
      <c r="R225" s="606"/>
      <c r="S225" s="606"/>
      <c r="T225" s="606"/>
      <c r="U225" s="606"/>
      <c r="V225" s="606"/>
      <c r="W225" s="606"/>
      <c r="X225" s="606"/>
      <c r="Y225" s="606"/>
      <c r="Z225" s="606"/>
      <c r="AA225" s="606"/>
      <c r="AB225" s="606"/>
      <c r="AC225" s="606"/>
      <c r="AD225" s="606"/>
      <c r="AE225" s="606"/>
      <c r="AF225" s="606"/>
      <c r="AG225" s="606"/>
      <c r="AH225" s="607"/>
      <c r="AI225" s="44"/>
    </row>
    <row r="226" spans="1:35" ht="15.75" customHeight="1">
      <c r="A226" s="189">
        <v>2212009002</v>
      </c>
      <c r="B226" s="191" t="s">
        <v>235</v>
      </c>
      <c r="C226" s="192" t="s">
        <v>6</v>
      </c>
      <c r="D226" s="6">
        <f>SUM(PACIENTES!D226+COMEDOR!D226+JORNADA!D226+'DIETOLOGÍA(S)'!D226)</f>
        <v>0</v>
      </c>
      <c r="E226" s="6">
        <f>SUM(PACIENTES!E226+COMEDOR!E226+JORNADA!E226+'DIETOLOGÍA(S)'!E226)</f>
        <v>0</v>
      </c>
      <c r="F226" s="6">
        <f>SUM(PACIENTES!F226+COMEDOR!F226+JORNADA!F226+'DIETOLOGÍA(S)'!F226)</f>
        <v>0</v>
      </c>
      <c r="G226" s="6">
        <f>SUM(PACIENTES!G226+COMEDOR!G226+JORNADA!G226+'DIETOLOGÍA(S)'!G226)</f>
        <v>0</v>
      </c>
      <c r="H226" s="6">
        <f>SUM(PACIENTES!H226+COMEDOR!H226+JORNADA!H226+'DIETOLOGÍA(S)'!H226)</f>
        <v>0</v>
      </c>
      <c r="I226" s="6">
        <f>SUM(PACIENTES!I226+COMEDOR!I226+JORNADA!I226+'DIETOLOGÍA(S)'!I226)</f>
        <v>0</v>
      </c>
      <c r="J226" s="6">
        <f>SUM(PACIENTES!J226+COMEDOR!J226+JORNADA!J226+'DIETOLOGÍA(S)'!J226)</f>
        <v>0</v>
      </c>
      <c r="K226" s="6">
        <f>SUM(PACIENTES!K226+COMEDOR!K226+JORNADA!K226+'DIETOLOGÍA(S)'!K226)</f>
        <v>0</v>
      </c>
      <c r="L226" s="6">
        <f>SUM(PACIENTES!L226+COMEDOR!L226+JORNADA!L226+'DIETOLOGÍA(S)'!L226)</f>
        <v>0</v>
      </c>
      <c r="M226" s="6">
        <f>SUM(PACIENTES!M226+COMEDOR!M226+JORNADA!M226+'DIETOLOGÍA(S)'!M226)</f>
        <v>0</v>
      </c>
      <c r="N226" s="6">
        <f>SUM(PACIENTES!N226+COMEDOR!N226+JORNADA!N226+'DIETOLOGÍA(S)'!N226)</f>
        <v>0</v>
      </c>
      <c r="O226" s="6">
        <f>SUM(PACIENTES!O226+COMEDOR!O226+JORNADA!O226+'DIETOLOGÍA(S)'!O226)</f>
        <v>0</v>
      </c>
      <c r="P226" s="6">
        <f>SUM(PACIENTES!P226+COMEDOR!P226+JORNADA!P226+'DIETOLOGÍA(S)'!P226)</f>
        <v>0</v>
      </c>
      <c r="Q226" s="6">
        <f>SUM(PACIENTES!Q226+COMEDOR!Q226+JORNADA!Q226+'DIETOLOGÍA(S)'!Q226)</f>
        <v>0</v>
      </c>
      <c r="R226" s="6">
        <f>SUM(PACIENTES!R226+COMEDOR!R226+JORNADA!R226+'DIETOLOGÍA(S)'!R226)</f>
        <v>0</v>
      </c>
      <c r="S226" s="6">
        <f>SUM(PACIENTES!S226+COMEDOR!S226+JORNADA!S226+'DIETOLOGÍA(S)'!S226)</f>
        <v>0</v>
      </c>
      <c r="T226" s="6">
        <f>SUM(PACIENTES!T226+COMEDOR!T226+JORNADA!T226+'DIETOLOGÍA(S)'!T226)</f>
        <v>0</v>
      </c>
      <c r="U226" s="6">
        <f>SUM(PACIENTES!U226+COMEDOR!U226+JORNADA!U226+'DIETOLOGÍA(S)'!U226)</f>
        <v>0</v>
      </c>
      <c r="V226" s="6">
        <f>SUM(PACIENTES!V226+COMEDOR!V226+JORNADA!V226+'DIETOLOGÍA(S)'!V226)</f>
        <v>0</v>
      </c>
      <c r="W226" s="6">
        <f>SUM(PACIENTES!W226+COMEDOR!W226+JORNADA!W226+'DIETOLOGÍA(S)'!W226)</f>
        <v>0</v>
      </c>
      <c r="X226" s="6">
        <f>SUM(PACIENTES!X226+COMEDOR!X226+JORNADA!X226+'DIETOLOGÍA(S)'!X226)</f>
        <v>0</v>
      </c>
      <c r="Y226" s="6">
        <f>SUM(PACIENTES!Y226+COMEDOR!Y226+JORNADA!Y226+'DIETOLOGÍA(S)'!Y226)</f>
        <v>0</v>
      </c>
      <c r="Z226" s="6">
        <f>SUM(PACIENTES!Z226+COMEDOR!Z226+JORNADA!Z226+'DIETOLOGÍA(S)'!Z226)</f>
        <v>0</v>
      </c>
      <c r="AA226" s="6">
        <f>SUM(PACIENTES!AA226+COMEDOR!AA226+JORNADA!AA226+'DIETOLOGÍA(S)'!AA226)</f>
        <v>0</v>
      </c>
      <c r="AB226" s="6">
        <f>SUM(PACIENTES!AB226+COMEDOR!AB226+JORNADA!AB226+'DIETOLOGÍA(S)'!AB226)</f>
        <v>0</v>
      </c>
      <c r="AC226" s="6">
        <f>SUM(PACIENTES!AC226+COMEDOR!AC226+JORNADA!AC226+'DIETOLOGÍA(S)'!AC226)</f>
        <v>0</v>
      </c>
      <c r="AD226" s="6">
        <f>SUM(PACIENTES!AD226+COMEDOR!AD226+JORNADA!AD226+'DIETOLOGÍA(S)'!AD226)</f>
        <v>0</v>
      </c>
      <c r="AE226" s="6">
        <f>SUM(PACIENTES!AE226+COMEDOR!AE226+JORNADA!AE226+'DIETOLOGÍA(S)'!AE226)</f>
        <v>0</v>
      </c>
      <c r="AF226" s="6">
        <f>SUM(PACIENTES!AF226+COMEDOR!AF226+JORNADA!AF226+'DIETOLOGÍA(S)'!AF226)</f>
        <v>0</v>
      </c>
      <c r="AG226" s="6">
        <f>SUM(PACIENTES!AG226+COMEDOR!AG226+JORNADA!AG226+'DIETOLOGÍA(S)'!AG226)</f>
        <v>0</v>
      </c>
      <c r="AH226" s="6">
        <f>SUM(PACIENTES!AH226+COMEDOR!AH226+JORNADA!AH226+'DIETOLOGÍA(S)'!AH226)</f>
        <v>0</v>
      </c>
      <c r="AI226" s="48">
        <f t="shared" ref="AI226:AI261" si="9">SUM(D226:AH226)</f>
        <v>0</v>
      </c>
    </row>
    <row r="227" spans="1:35" ht="15.75" customHeight="1">
      <c r="A227" s="193">
        <v>2212009004</v>
      </c>
      <c r="B227" s="195" t="s">
        <v>236</v>
      </c>
      <c r="C227" s="196" t="s">
        <v>6</v>
      </c>
      <c r="D227" s="77">
        <f>SUM(PACIENTES!D227+COMEDOR!D227+JORNADA!D227+'DIETOLOGÍA(S)'!D227)</f>
        <v>0</v>
      </c>
      <c r="E227" s="77">
        <f>SUM(PACIENTES!E227+COMEDOR!E227+JORNADA!E227+'DIETOLOGÍA(S)'!E227)</f>
        <v>0</v>
      </c>
      <c r="F227" s="77">
        <f>SUM(PACIENTES!F227+COMEDOR!F227+JORNADA!F227+'DIETOLOGÍA(S)'!F227)</f>
        <v>0</v>
      </c>
      <c r="G227" s="77">
        <f>SUM(PACIENTES!G227+COMEDOR!G227+JORNADA!G227+'DIETOLOGÍA(S)'!G227)</f>
        <v>0</v>
      </c>
      <c r="H227" s="77">
        <f>SUM(PACIENTES!H227+COMEDOR!H227+JORNADA!H227+'DIETOLOGÍA(S)'!H227)</f>
        <v>0</v>
      </c>
      <c r="I227" s="77">
        <f>SUM(PACIENTES!I227+COMEDOR!I227+JORNADA!I227+'DIETOLOGÍA(S)'!I227)</f>
        <v>0</v>
      </c>
      <c r="J227" s="77">
        <f>SUM(PACIENTES!J227+COMEDOR!J227+JORNADA!J227+'DIETOLOGÍA(S)'!J227)</f>
        <v>0</v>
      </c>
      <c r="K227" s="77">
        <f>SUM(PACIENTES!K227+COMEDOR!K227+JORNADA!K227+'DIETOLOGÍA(S)'!K227)</f>
        <v>0</v>
      </c>
      <c r="L227" s="77">
        <f>SUM(PACIENTES!L227+COMEDOR!L227+JORNADA!L227+'DIETOLOGÍA(S)'!L227)</f>
        <v>0</v>
      </c>
      <c r="M227" s="77">
        <f>SUM(PACIENTES!M227+COMEDOR!M227+JORNADA!M227+'DIETOLOGÍA(S)'!M227)</f>
        <v>0</v>
      </c>
      <c r="N227" s="77">
        <f>SUM(PACIENTES!N227+COMEDOR!N227+JORNADA!N227+'DIETOLOGÍA(S)'!N227)</f>
        <v>0</v>
      </c>
      <c r="O227" s="77">
        <f>SUM(PACIENTES!O227+COMEDOR!O227+JORNADA!O227+'DIETOLOGÍA(S)'!O227)</f>
        <v>0</v>
      </c>
      <c r="P227" s="77">
        <f>SUM(PACIENTES!P227+COMEDOR!P227+JORNADA!P227+'DIETOLOGÍA(S)'!P227)</f>
        <v>0</v>
      </c>
      <c r="Q227" s="77">
        <f>SUM(PACIENTES!Q227+COMEDOR!Q227+JORNADA!Q227+'DIETOLOGÍA(S)'!Q227)</f>
        <v>0</v>
      </c>
      <c r="R227" s="77">
        <f>SUM(PACIENTES!R227+COMEDOR!R227+JORNADA!R227+'DIETOLOGÍA(S)'!R227)</f>
        <v>0</v>
      </c>
      <c r="S227" s="77">
        <f>SUM(PACIENTES!S227+COMEDOR!S227+JORNADA!S227+'DIETOLOGÍA(S)'!S227)</f>
        <v>0</v>
      </c>
      <c r="T227" s="77">
        <f>SUM(PACIENTES!T227+COMEDOR!T227+JORNADA!T227+'DIETOLOGÍA(S)'!T227)</f>
        <v>0</v>
      </c>
      <c r="U227" s="77">
        <f>SUM(PACIENTES!U227+COMEDOR!U227+JORNADA!U227+'DIETOLOGÍA(S)'!U227)</f>
        <v>0</v>
      </c>
      <c r="V227" s="77">
        <f>SUM(PACIENTES!V227+COMEDOR!V227+JORNADA!V227+'DIETOLOGÍA(S)'!V227)</f>
        <v>0</v>
      </c>
      <c r="W227" s="77">
        <f>SUM(PACIENTES!W227+COMEDOR!W227+JORNADA!W227+'DIETOLOGÍA(S)'!W227)</f>
        <v>0</v>
      </c>
      <c r="X227" s="77">
        <f>SUM(PACIENTES!X227+COMEDOR!X227+JORNADA!X227+'DIETOLOGÍA(S)'!X227)</f>
        <v>0</v>
      </c>
      <c r="Y227" s="77">
        <f>SUM(PACIENTES!Y227+COMEDOR!Y227+JORNADA!Y227+'DIETOLOGÍA(S)'!Y227)</f>
        <v>0</v>
      </c>
      <c r="Z227" s="77">
        <f>SUM(PACIENTES!Z227+COMEDOR!Z227+JORNADA!Z227+'DIETOLOGÍA(S)'!Z227)</f>
        <v>0</v>
      </c>
      <c r="AA227" s="77">
        <f>SUM(PACIENTES!AA227+COMEDOR!AA227+JORNADA!AA227+'DIETOLOGÍA(S)'!AA227)</f>
        <v>0</v>
      </c>
      <c r="AB227" s="77">
        <f>SUM(PACIENTES!AB227+COMEDOR!AB227+JORNADA!AB227+'DIETOLOGÍA(S)'!AB227)</f>
        <v>0</v>
      </c>
      <c r="AC227" s="77">
        <f>SUM(PACIENTES!AC227+COMEDOR!AC227+JORNADA!AC227+'DIETOLOGÍA(S)'!AC227)</f>
        <v>0</v>
      </c>
      <c r="AD227" s="77">
        <f>SUM(PACIENTES!AD227+COMEDOR!AD227+JORNADA!AD227+'DIETOLOGÍA(S)'!AD227)</f>
        <v>0</v>
      </c>
      <c r="AE227" s="77">
        <f>SUM(PACIENTES!AE227+COMEDOR!AE227+JORNADA!AE227+'DIETOLOGÍA(S)'!AE227)</f>
        <v>0</v>
      </c>
      <c r="AF227" s="77">
        <f>SUM(PACIENTES!AF227+COMEDOR!AF227+JORNADA!AF227+'DIETOLOGÍA(S)'!AF227)</f>
        <v>0</v>
      </c>
      <c r="AG227" s="77">
        <f>SUM(PACIENTES!AG227+COMEDOR!AG227+JORNADA!AG227+'DIETOLOGÍA(S)'!AG227)</f>
        <v>0</v>
      </c>
      <c r="AH227" s="77">
        <f>SUM(PACIENTES!AH227+COMEDOR!AH227+JORNADA!AH227+'DIETOLOGÍA(S)'!AH227)</f>
        <v>0</v>
      </c>
      <c r="AI227" s="9">
        <f t="shared" si="9"/>
        <v>0</v>
      </c>
    </row>
    <row r="228" spans="1:35" ht="15.75" customHeight="1">
      <c r="A228" s="193">
        <v>2212009005</v>
      </c>
      <c r="B228" s="195" t="s">
        <v>237</v>
      </c>
      <c r="C228" s="196" t="s">
        <v>6</v>
      </c>
      <c r="D228" s="6">
        <f>SUM(PACIENTES!D228+COMEDOR!D228+JORNADA!D228+'DIETOLOGÍA(S)'!D228)</f>
        <v>0</v>
      </c>
      <c r="E228" s="6">
        <f>SUM(PACIENTES!E228+COMEDOR!E228+JORNADA!E228+'DIETOLOGÍA(S)'!E228)</f>
        <v>1</v>
      </c>
      <c r="F228" s="6">
        <f>SUM(PACIENTES!F228+COMEDOR!F228+JORNADA!F228+'DIETOLOGÍA(S)'!F228)</f>
        <v>1</v>
      </c>
      <c r="G228" s="6">
        <f>SUM(PACIENTES!G228+COMEDOR!G228+JORNADA!G228+'DIETOLOGÍA(S)'!G228)</f>
        <v>1</v>
      </c>
      <c r="H228" s="6">
        <f>SUM(PACIENTES!H228+COMEDOR!H228+JORNADA!H228+'DIETOLOGÍA(S)'!H228)</f>
        <v>1</v>
      </c>
      <c r="I228" s="6">
        <f>SUM(PACIENTES!I228+COMEDOR!I228+JORNADA!I228+'DIETOLOGÍA(S)'!I228)</f>
        <v>1</v>
      </c>
      <c r="J228" s="6">
        <f>SUM(PACIENTES!J228+COMEDOR!J228+JORNADA!J228+'DIETOLOGÍA(S)'!J228)</f>
        <v>2</v>
      </c>
      <c r="K228" s="6">
        <f>SUM(PACIENTES!K228+COMEDOR!K228+JORNADA!K228+'DIETOLOGÍA(S)'!K228)</f>
        <v>0</v>
      </c>
      <c r="L228" s="6">
        <f>SUM(PACIENTES!L228+COMEDOR!L228+JORNADA!L228+'DIETOLOGÍA(S)'!L228)</f>
        <v>1</v>
      </c>
      <c r="M228" s="6">
        <f>SUM(PACIENTES!M228+COMEDOR!M228+JORNADA!M228+'DIETOLOGÍA(S)'!M228)</f>
        <v>1</v>
      </c>
      <c r="N228" s="6">
        <f>SUM(PACIENTES!N228+COMEDOR!N228+JORNADA!N228+'DIETOLOGÍA(S)'!N228)</f>
        <v>1</v>
      </c>
      <c r="O228" s="6">
        <f>SUM(PACIENTES!O228+COMEDOR!O228+JORNADA!O228+'DIETOLOGÍA(S)'!O228)</f>
        <v>1</v>
      </c>
      <c r="P228" s="6">
        <f>SUM(PACIENTES!P228+COMEDOR!P228+JORNADA!P228+'DIETOLOGÍA(S)'!P228)</f>
        <v>0</v>
      </c>
      <c r="Q228" s="6">
        <f>SUM(PACIENTES!Q228+COMEDOR!Q228+JORNADA!Q228+'DIETOLOGÍA(S)'!Q228)</f>
        <v>1</v>
      </c>
      <c r="R228" s="6">
        <f>SUM(PACIENTES!R228+COMEDOR!R228+JORNADA!R228+'DIETOLOGÍA(S)'!R228)</f>
        <v>0</v>
      </c>
      <c r="S228" s="6">
        <f>SUM(PACIENTES!S228+COMEDOR!S228+JORNADA!S228+'DIETOLOGÍA(S)'!S228)</f>
        <v>1</v>
      </c>
      <c r="T228" s="6">
        <f>SUM(PACIENTES!T228+COMEDOR!T228+JORNADA!T228+'DIETOLOGÍA(S)'!T228)</f>
        <v>1</v>
      </c>
      <c r="U228" s="6">
        <f>SUM(PACIENTES!U228+COMEDOR!U228+JORNADA!U228+'DIETOLOGÍA(S)'!U228)</f>
        <v>1</v>
      </c>
      <c r="V228" s="6">
        <f>SUM(PACIENTES!V228+COMEDOR!V228+JORNADA!V228+'DIETOLOGÍA(S)'!V228)</f>
        <v>1</v>
      </c>
      <c r="W228" s="6">
        <f>SUM(PACIENTES!W228+COMEDOR!W228+JORNADA!W228+'DIETOLOGÍA(S)'!W228)</f>
        <v>0</v>
      </c>
      <c r="X228" s="6">
        <f>SUM(PACIENTES!X228+COMEDOR!X228+JORNADA!X228+'DIETOLOGÍA(S)'!X228)</f>
        <v>2</v>
      </c>
      <c r="Y228" s="6">
        <f>SUM(PACIENTES!Y228+COMEDOR!Y228+JORNADA!Y228+'DIETOLOGÍA(S)'!Y228)</f>
        <v>0</v>
      </c>
      <c r="Z228" s="6">
        <f>SUM(PACIENTES!Z228+COMEDOR!Z228+JORNADA!Z228+'DIETOLOGÍA(S)'!Z228)</f>
        <v>1</v>
      </c>
      <c r="AA228" s="6">
        <f>SUM(PACIENTES!AA228+COMEDOR!AA228+JORNADA!AA228+'DIETOLOGÍA(S)'!AA228)</f>
        <v>1</v>
      </c>
      <c r="AB228" s="6">
        <f>SUM(PACIENTES!AB228+COMEDOR!AB228+JORNADA!AB228+'DIETOLOGÍA(S)'!AB228)</f>
        <v>1</v>
      </c>
      <c r="AC228" s="6">
        <f>SUM(PACIENTES!AC228+COMEDOR!AC228+JORNADA!AC228+'DIETOLOGÍA(S)'!AC228)</f>
        <v>2</v>
      </c>
      <c r="AD228" s="6">
        <f>SUM(PACIENTES!AD228+COMEDOR!AD228+JORNADA!AD228+'DIETOLOGÍA(S)'!AD228)</f>
        <v>0</v>
      </c>
      <c r="AE228" s="6">
        <f>SUM(PACIENTES!AE228+COMEDOR!AE228+JORNADA!AE228+'DIETOLOGÍA(S)'!AE228)</f>
        <v>1</v>
      </c>
      <c r="AF228" s="6">
        <f>SUM(PACIENTES!AF228+COMEDOR!AF228+JORNADA!AF228+'DIETOLOGÍA(S)'!AF228)</f>
        <v>0</v>
      </c>
      <c r="AG228" s="6">
        <f>SUM(PACIENTES!AG228+COMEDOR!AG228+JORNADA!AG228+'DIETOLOGÍA(S)'!AG228)</f>
        <v>1</v>
      </c>
      <c r="AH228" s="6">
        <f>SUM(PACIENTES!AH228+COMEDOR!AH228+JORNADA!AH228+'DIETOLOGÍA(S)'!AH228)</f>
        <v>1</v>
      </c>
      <c r="AI228" s="9">
        <f t="shared" si="9"/>
        <v>26</v>
      </c>
    </row>
    <row r="229" spans="1:35" ht="15.75" customHeight="1">
      <c r="A229" s="193">
        <v>2212009006</v>
      </c>
      <c r="B229" s="195" t="s">
        <v>238</v>
      </c>
      <c r="C229" s="196" t="s">
        <v>6</v>
      </c>
      <c r="D229" s="77">
        <f>SUM(PACIENTES!D229+COMEDOR!D229+JORNADA!D229+'DIETOLOGÍA(S)'!D229)</f>
        <v>0</v>
      </c>
      <c r="E229" s="77">
        <f>SUM(PACIENTES!E229+COMEDOR!E229+JORNADA!E229+'DIETOLOGÍA(S)'!E229)</f>
        <v>0</v>
      </c>
      <c r="F229" s="77">
        <f>SUM(PACIENTES!F229+COMEDOR!F229+JORNADA!F229+'DIETOLOGÍA(S)'!F229)</f>
        <v>0</v>
      </c>
      <c r="G229" s="77">
        <f>SUM(PACIENTES!G229+COMEDOR!G229+JORNADA!G229+'DIETOLOGÍA(S)'!G229)</f>
        <v>0</v>
      </c>
      <c r="H229" s="77">
        <f>SUM(PACIENTES!H229+COMEDOR!H229+JORNADA!H229+'DIETOLOGÍA(S)'!H229)</f>
        <v>0</v>
      </c>
      <c r="I229" s="77">
        <f>SUM(PACIENTES!I229+COMEDOR!I229+JORNADA!I229+'DIETOLOGÍA(S)'!I229)</f>
        <v>0</v>
      </c>
      <c r="J229" s="77">
        <f>SUM(PACIENTES!J229+COMEDOR!J229+JORNADA!J229+'DIETOLOGÍA(S)'!J229)</f>
        <v>0</v>
      </c>
      <c r="K229" s="77">
        <f>SUM(PACIENTES!K229+COMEDOR!K229+JORNADA!K229+'DIETOLOGÍA(S)'!K229)</f>
        <v>0</v>
      </c>
      <c r="L229" s="77">
        <f>SUM(PACIENTES!L229+COMEDOR!L229+JORNADA!L229+'DIETOLOGÍA(S)'!L229)</f>
        <v>0</v>
      </c>
      <c r="M229" s="77">
        <f>SUM(PACIENTES!M229+COMEDOR!M229+JORNADA!M229+'DIETOLOGÍA(S)'!M229)</f>
        <v>0</v>
      </c>
      <c r="N229" s="77">
        <f>SUM(PACIENTES!N229+COMEDOR!N229+JORNADA!N229+'DIETOLOGÍA(S)'!N229)</f>
        <v>0</v>
      </c>
      <c r="O229" s="77">
        <f>SUM(PACIENTES!O229+COMEDOR!O229+JORNADA!O229+'DIETOLOGÍA(S)'!O229)</f>
        <v>0</v>
      </c>
      <c r="P229" s="77">
        <f>SUM(PACIENTES!P229+COMEDOR!P229+JORNADA!P229+'DIETOLOGÍA(S)'!P229)</f>
        <v>0</v>
      </c>
      <c r="Q229" s="77">
        <f>SUM(PACIENTES!Q229+COMEDOR!Q229+JORNADA!Q229+'DIETOLOGÍA(S)'!Q229)</f>
        <v>0</v>
      </c>
      <c r="R229" s="77">
        <f>SUM(PACIENTES!R229+COMEDOR!R229+JORNADA!R229+'DIETOLOGÍA(S)'!R229)</f>
        <v>0</v>
      </c>
      <c r="S229" s="77">
        <f>SUM(PACIENTES!S229+COMEDOR!S229+JORNADA!S229+'DIETOLOGÍA(S)'!S229)</f>
        <v>0</v>
      </c>
      <c r="T229" s="77">
        <f>SUM(PACIENTES!T229+COMEDOR!T229+JORNADA!T229+'DIETOLOGÍA(S)'!T229)</f>
        <v>0</v>
      </c>
      <c r="U229" s="77">
        <f>SUM(PACIENTES!U229+COMEDOR!U229+JORNADA!U229+'DIETOLOGÍA(S)'!U229)</f>
        <v>0</v>
      </c>
      <c r="V229" s="77">
        <f>SUM(PACIENTES!V229+COMEDOR!V229+JORNADA!V229+'DIETOLOGÍA(S)'!V229)</f>
        <v>0</v>
      </c>
      <c r="W229" s="77">
        <f>SUM(PACIENTES!W229+COMEDOR!W229+JORNADA!W229+'DIETOLOGÍA(S)'!W229)</f>
        <v>0</v>
      </c>
      <c r="X229" s="77">
        <f>SUM(PACIENTES!X229+COMEDOR!X229+JORNADA!X229+'DIETOLOGÍA(S)'!X229)</f>
        <v>0</v>
      </c>
      <c r="Y229" s="77">
        <f>SUM(PACIENTES!Y229+COMEDOR!Y229+JORNADA!Y229+'DIETOLOGÍA(S)'!Y229)</f>
        <v>0</v>
      </c>
      <c r="Z229" s="77">
        <f>SUM(PACIENTES!Z229+COMEDOR!Z229+JORNADA!Z229+'DIETOLOGÍA(S)'!Z229)</f>
        <v>0</v>
      </c>
      <c r="AA229" s="77">
        <f>SUM(PACIENTES!AA229+COMEDOR!AA229+JORNADA!AA229+'DIETOLOGÍA(S)'!AA229)</f>
        <v>0</v>
      </c>
      <c r="AB229" s="77">
        <f>SUM(PACIENTES!AB229+COMEDOR!AB229+JORNADA!AB229+'DIETOLOGÍA(S)'!AB229)</f>
        <v>0</v>
      </c>
      <c r="AC229" s="77">
        <f>SUM(PACIENTES!AC229+COMEDOR!AC229+JORNADA!AC229+'DIETOLOGÍA(S)'!AC229)</f>
        <v>0</v>
      </c>
      <c r="AD229" s="77">
        <f>SUM(PACIENTES!AD229+COMEDOR!AD229+JORNADA!AD229+'DIETOLOGÍA(S)'!AD229)</f>
        <v>0</v>
      </c>
      <c r="AE229" s="77">
        <f>SUM(PACIENTES!AE229+COMEDOR!AE229+JORNADA!AE229+'DIETOLOGÍA(S)'!AE229)</f>
        <v>0</v>
      </c>
      <c r="AF229" s="77">
        <f>SUM(PACIENTES!AF229+COMEDOR!AF229+JORNADA!AF229+'DIETOLOGÍA(S)'!AF229)</f>
        <v>0</v>
      </c>
      <c r="AG229" s="77">
        <f>SUM(PACIENTES!AG229+COMEDOR!AG229+JORNADA!AG229+'DIETOLOGÍA(S)'!AG229)</f>
        <v>0</v>
      </c>
      <c r="AH229" s="77">
        <f>SUM(PACIENTES!AH229+COMEDOR!AH229+JORNADA!AH229+'DIETOLOGÍA(S)'!AH229)</f>
        <v>0</v>
      </c>
      <c r="AI229" s="9">
        <f t="shared" si="9"/>
        <v>0</v>
      </c>
    </row>
    <row r="230" spans="1:35" ht="15.75" customHeight="1">
      <c r="A230" s="193">
        <v>2212009007</v>
      </c>
      <c r="B230" s="195" t="s">
        <v>239</v>
      </c>
      <c r="C230" s="196" t="s">
        <v>6</v>
      </c>
      <c r="D230" s="6">
        <f>SUM(PACIENTES!D230+COMEDOR!D230+JORNADA!D230+'DIETOLOGÍA(S)'!D230)</f>
        <v>0</v>
      </c>
      <c r="E230" s="6">
        <f>SUM(PACIENTES!E230+COMEDOR!E230+JORNADA!E230+'DIETOLOGÍA(S)'!E230)</f>
        <v>0</v>
      </c>
      <c r="F230" s="6">
        <f>SUM(PACIENTES!F230+COMEDOR!F230+JORNADA!F230+'DIETOLOGÍA(S)'!F230)</f>
        <v>0</v>
      </c>
      <c r="G230" s="6">
        <f>SUM(PACIENTES!G230+COMEDOR!G230+JORNADA!G230+'DIETOLOGÍA(S)'!G230)</f>
        <v>0</v>
      </c>
      <c r="H230" s="6">
        <f>SUM(PACIENTES!H230+COMEDOR!H230+JORNADA!H230+'DIETOLOGÍA(S)'!H230)</f>
        <v>0</v>
      </c>
      <c r="I230" s="6">
        <f>SUM(PACIENTES!I230+COMEDOR!I230+JORNADA!I230+'DIETOLOGÍA(S)'!I230)</f>
        <v>0</v>
      </c>
      <c r="J230" s="6">
        <f>SUM(PACIENTES!J230+COMEDOR!J230+JORNADA!J230+'DIETOLOGÍA(S)'!J230)</f>
        <v>0</v>
      </c>
      <c r="K230" s="6">
        <f>SUM(PACIENTES!K230+COMEDOR!K230+JORNADA!K230+'DIETOLOGÍA(S)'!K230)</f>
        <v>0</v>
      </c>
      <c r="L230" s="6">
        <f>SUM(PACIENTES!L230+COMEDOR!L230+JORNADA!L230+'DIETOLOGÍA(S)'!L230)</f>
        <v>0</v>
      </c>
      <c r="M230" s="6">
        <f>SUM(PACIENTES!M230+COMEDOR!M230+JORNADA!M230+'DIETOLOGÍA(S)'!M230)</f>
        <v>0</v>
      </c>
      <c r="N230" s="6">
        <f>SUM(PACIENTES!N230+COMEDOR!N230+JORNADA!N230+'DIETOLOGÍA(S)'!N230)</f>
        <v>0</v>
      </c>
      <c r="O230" s="6">
        <f>SUM(PACIENTES!O230+COMEDOR!O230+JORNADA!O230+'DIETOLOGÍA(S)'!O230)</f>
        <v>0</v>
      </c>
      <c r="P230" s="6">
        <f>SUM(PACIENTES!P230+COMEDOR!P230+JORNADA!P230+'DIETOLOGÍA(S)'!P230)</f>
        <v>0</v>
      </c>
      <c r="Q230" s="6">
        <f>SUM(PACIENTES!Q230+COMEDOR!Q230+JORNADA!Q230+'DIETOLOGÍA(S)'!Q230)</f>
        <v>0</v>
      </c>
      <c r="R230" s="6">
        <f>SUM(PACIENTES!R230+COMEDOR!R230+JORNADA!R230+'DIETOLOGÍA(S)'!R230)</f>
        <v>0</v>
      </c>
      <c r="S230" s="6">
        <f>SUM(PACIENTES!S230+COMEDOR!S230+JORNADA!S230+'DIETOLOGÍA(S)'!S230)</f>
        <v>0</v>
      </c>
      <c r="T230" s="6">
        <f>SUM(PACIENTES!T230+COMEDOR!T230+JORNADA!T230+'DIETOLOGÍA(S)'!T230)</f>
        <v>0</v>
      </c>
      <c r="U230" s="6">
        <f>SUM(PACIENTES!U230+COMEDOR!U230+JORNADA!U230+'DIETOLOGÍA(S)'!U230)</f>
        <v>0</v>
      </c>
      <c r="V230" s="6">
        <f>SUM(PACIENTES!V230+COMEDOR!V230+JORNADA!V230+'DIETOLOGÍA(S)'!V230)</f>
        <v>0</v>
      </c>
      <c r="W230" s="6">
        <f>SUM(PACIENTES!W230+COMEDOR!W230+JORNADA!W230+'DIETOLOGÍA(S)'!W230)</f>
        <v>0</v>
      </c>
      <c r="X230" s="6">
        <f>SUM(PACIENTES!X230+COMEDOR!X230+JORNADA!X230+'DIETOLOGÍA(S)'!X230)</f>
        <v>0</v>
      </c>
      <c r="Y230" s="6">
        <f>SUM(PACIENTES!Y230+COMEDOR!Y230+JORNADA!Y230+'DIETOLOGÍA(S)'!Y230)</f>
        <v>0</v>
      </c>
      <c r="Z230" s="6">
        <f>SUM(PACIENTES!Z230+COMEDOR!Z230+JORNADA!Z230+'DIETOLOGÍA(S)'!Z230)</f>
        <v>0</v>
      </c>
      <c r="AA230" s="6">
        <f>SUM(PACIENTES!AA230+COMEDOR!AA230+JORNADA!AA230+'DIETOLOGÍA(S)'!AA230)</f>
        <v>0</v>
      </c>
      <c r="AB230" s="6">
        <f>SUM(PACIENTES!AB230+COMEDOR!AB230+JORNADA!AB230+'DIETOLOGÍA(S)'!AB230)</f>
        <v>0</v>
      </c>
      <c r="AC230" s="6">
        <f>SUM(PACIENTES!AC230+COMEDOR!AC230+JORNADA!AC230+'DIETOLOGÍA(S)'!AC230)</f>
        <v>0</v>
      </c>
      <c r="AD230" s="6">
        <f>SUM(PACIENTES!AD230+COMEDOR!AD230+JORNADA!AD230+'DIETOLOGÍA(S)'!AD230)</f>
        <v>0</v>
      </c>
      <c r="AE230" s="6">
        <f>SUM(PACIENTES!AE230+COMEDOR!AE230+JORNADA!AE230+'DIETOLOGÍA(S)'!AE230)</f>
        <v>0</v>
      </c>
      <c r="AF230" s="6">
        <f>SUM(PACIENTES!AF230+COMEDOR!AF230+JORNADA!AF230+'DIETOLOGÍA(S)'!AF230)</f>
        <v>0</v>
      </c>
      <c r="AG230" s="6">
        <f>SUM(PACIENTES!AG230+COMEDOR!AG230+JORNADA!AG230+'DIETOLOGÍA(S)'!AG230)</f>
        <v>0</v>
      </c>
      <c r="AH230" s="6">
        <f>SUM(PACIENTES!AH230+COMEDOR!AH230+JORNADA!AH230+'DIETOLOGÍA(S)'!AH230)</f>
        <v>0</v>
      </c>
      <c r="AI230" s="9">
        <f t="shared" si="9"/>
        <v>0</v>
      </c>
    </row>
    <row r="231" spans="1:35" ht="15.75" customHeight="1">
      <c r="A231" s="193">
        <v>2212009008</v>
      </c>
      <c r="B231" s="195" t="s">
        <v>240</v>
      </c>
      <c r="C231" s="196" t="s">
        <v>6</v>
      </c>
      <c r="D231" s="77">
        <f>SUM(PACIENTES!D231+COMEDOR!D231+JORNADA!D231+'DIETOLOGÍA(S)'!D231+'NUTRICIÓN CLÍNICA'!D7)</f>
        <v>36</v>
      </c>
      <c r="E231" s="77">
        <f>SUM(PACIENTES!E231+COMEDOR!E231+JORNADA!E231+'DIETOLOGÍA(S)'!E231+'NUTRICIÓN CLÍNICA'!E7)</f>
        <v>36</v>
      </c>
      <c r="F231" s="77">
        <f>SUM(PACIENTES!F231+COMEDOR!F231+JORNADA!F231+'DIETOLOGÍA(S)'!F231+'NUTRICIÓN CLÍNICA'!F7)</f>
        <v>27</v>
      </c>
      <c r="G231" s="77">
        <f>SUM(PACIENTES!G231+COMEDOR!G231+JORNADA!G231+'DIETOLOGÍA(S)'!G231+'NUTRICIÓN CLÍNICA'!G7)</f>
        <v>27</v>
      </c>
      <c r="H231" s="77">
        <f>SUM(PACIENTES!H231+COMEDOR!H231+JORNADA!H231+'DIETOLOGÍA(S)'!H231+'NUTRICIÓN CLÍNICA'!H7)</f>
        <v>29</v>
      </c>
      <c r="I231" s="77">
        <f>SUM(PACIENTES!I231+COMEDOR!I231+JORNADA!I231+'DIETOLOGÍA(S)'!I231+'NUTRICIÓN CLÍNICA'!I7)</f>
        <v>48</v>
      </c>
      <c r="J231" s="77">
        <f>SUM(PACIENTES!J231+COMEDOR!J231+JORNADA!J231+'DIETOLOGÍA(S)'!J231+'NUTRICIÓN CLÍNICA'!J7)</f>
        <v>22</v>
      </c>
      <c r="K231" s="77">
        <f>SUM(PACIENTES!K231+COMEDOR!K231+JORNADA!K231+'DIETOLOGÍA(S)'!K231+'NUTRICIÓN CLÍNICA'!K7)</f>
        <v>2</v>
      </c>
      <c r="L231" s="77">
        <f>SUM(PACIENTES!L231+COMEDOR!L231+JORNADA!L231+'DIETOLOGÍA(S)'!L231+'NUTRICIÓN CLÍNICA'!L7)</f>
        <v>33</v>
      </c>
      <c r="M231" s="77">
        <f>SUM(PACIENTES!M231+COMEDOR!M231+JORNADA!M231+'DIETOLOGÍA(S)'!M231+'NUTRICIÓN CLÍNICA'!M7)</f>
        <v>29</v>
      </c>
      <c r="N231" s="77">
        <f>SUM(PACIENTES!N231+COMEDOR!N231+JORNADA!N231+'DIETOLOGÍA(S)'!N231+'NUTRICIÓN CLÍNICA'!N7)</f>
        <v>29</v>
      </c>
      <c r="O231" s="77">
        <f>SUM(PACIENTES!O231+COMEDOR!O231+JORNADA!O231+'DIETOLOGÍA(S)'!O231+'NUTRICIÓN CLÍNICA'!O7)</f>
        <v>20</v>
      </c>
      <c r="P231" s="77">
        <f>SUM(PACIENTES!P231+COMEDOR!P231+JORNADA!P231+'DIETOLOGÍA(S)'!P231+'NUTRICIÓN CLÍNICA'!P7)</f>
        <v>28</v>
      </c>
      <c r="Q231" s="77">
        <f>SUM(PACIENTES!Q231+COMEDOR!Q231+JORNADA!Q231+'DIETOLOGÍA(S)'!Q231+'NUTRICIÓN CLÍNICA'!Q7)</f>
        <v>28</v>
      </c>
      <c r="R231" s="77">
        <f>SUM(PACIENTES!R231+COMEDOR!R231+JORNADA!R231+'DIETOLOGÍA(S)'!R231+'NUTRICIÓN CLÍNICA'!R7)</f>
        <v>2</v>
      </c>
      <c r="S231" s="77">
        <f>SUM(PACIENTES!S231+COMEDOR!S231+JORNADA!S231+'DIETOLOGÍA(S)'!S231+'NUTRICIÓN CLÍNICA'!S7)</f>
        <v>30</v>
      </c>
      <c r="T231" s="77">
        <f>SUM(PACIENTES!T231+COMEDOR!T231+JORNADA!T231+'DIETOLOGÍA(S)'!T231+'NUTRICIÓN CLÍNICA'!T7)</f>
        <v>19</v>
      </c>
      <c r="U231" s="77">
        <f>SUM(PACIENTES!U231+COMEDOR!U231+JORNADA!U231+'DIETOLOGÍA(S)'!U231+'NUTRICIÓN CLÍNICA'!U7)</f>
        <v>9</v>
      </c>
      <c r="V231" s="77">
        <f>SUM(PACIENTES!V231+COMEDOR!V231+JORNADA!V231+'DIETOLOGÍA(S)'!V231+'NUTRICIÓN CLÍNICA'!V7)</f>
        <v>12</v>
      </c>
      <c r="W231" s="77">
        <f>SUM(PACIENTES!W231+COMEDOR!W231+JORNADA!W231+'DIETOLOGÍA(S)'!W231+'NUTRICIÓN CLÍNICA'!W7)</f>
        <v>36</v>
      </c>
      <c r="X231" s="77">
        <f>SUM(PACIENTES!X231+COMEDOR!X231+JORNADA!X231+'DIETOLOGÍA(S)'!X231+'NUTRICIÓN CLÍNICA'!X7)</f>
        <v>35</v>
      </c>
      <c r="Y231" s="77">
        <f>SUM(PACIENTES!Y231+COMEDOR!Y231+JORNADA!Y231+'DIETOLOGÍA(S)'!Y231+'NUTRICIÓN CLÍNICA'!Y7)</f>
        <v>20</v>
      </c>
      <c r="Z231" s="77">
        <f>SUM(PACIENTES!Z231+COMEDOR!Z231+JORNADA!Z231+'DIETOLOGÍA(S)'!Z231+'NUTRICIÓN CLÍNICA'!Z7)</f>
        <v>2</v>
      </c>
      <c r="AA231" s="77">
        <f>SUM(PACIENTES!AA231+COMEDOR!AA231+JORNADA!AA231+'DIETOLOGÍA(S)'!AA231+'NUTRICIÓN CLÍNICA'!AA7)</f>
        <v>29</v>
      </c>
      <c r="AB231" s="77">
        <f>SUM(PACIENTES!AB231+COMEDOR!AB231+JORNADA!AB231+'DIETOLOGÍA(S)'!AB231+'NUTRICIÓN CLÍNICA'!AB7)</f>
        <v>19</v>
      </c>
      <c r="AC231" s="77">
        <f>SUM(PACIENTES!AC231+COMEDOR!AC231+JORNADA!AC231+'DIETOLOGÍA(S)'!AC231+'NUTRICIÓN CLÍNICA'!AC7)</f>
        <v>47</v>
      </c>
      <c r="AD231" s="77">
        <f>SUM(PACIENTES!AD231+COMEDOR!AD231+JORNADA!AD231+'DIETOLOGÍA(S)'!AD231+'NUTRICIÓN CLÍNICA'!AD7)</f>
        <v>7</v>
      </c>
      <c r="AE231" s="77">
        <f>SUM(PACIENTES!AE231+COMEDOR!AE231+JORNADA!AE231+'DIETOLOGÍA(S)'!AE231+'NUTRICIÓN CLÍNICA'!AE7)</f>
        <v>22</v>
      </c>
      <c r="AF231" s="77">
        <f>SUM(PACIENTES!AF231+COMEDOR!AF231+JORNADA!AF231+'DIETOLOGÍA(S)'!AF231+'NUTRICIÓN CLÍNICA'!AF7)</f>
        <v>29</v>
      </c>
      <c r="AG231" s="77">
        <f>SUM(PACIENTES!AG231+COMEDOR!AG231+JORNADA!AG231+'DIETOLOGÍA(S)'!AG231+'NUTRICIÓN CLÍNICA'!AG7)</f>
        <v>10</v>
      </c>
      <c r="AH231" s="77">
        <f>SUM(PACIENTES!AH231+COMEDOR!AH231+JORNADA!AH231+'DIETOLOGÍA(S)'!AH231+'NUTRICIÓN CLÍNICA'!AH7)</f>
        <v>10</v>
      </c>
      <c r="AI231" s="9">
        <f t="shared" si="9"/>
        <v>732</v>
      </c>
    </row>
    <row r="232" spans="1:35" ht="15.75" customHeight="1">
      <c r="A232" s="193">
        <v>2212009009</v>
      </c>
      <c r="B232" s="195" t="s">
        <v>241</v>
      </c>
      <c r="C232" s="196" t="s">
        <v>6</v>
      </c>
      <c r="D232" s="6">
        <f>SUM(PACIENTES!D232+COMEDOR!D232+JORNADA!D232+'DIETOLOGÍA(S)'!D232)</f>
        <v>0</v>
      </c>
      <c r="E232" s="6">
        <f>SUM(PACIENTES!E232+COMEDOR!E232+JORNADA!E232+'DIETOLOGÍA(S)'!E232)</f>
        <v>0</v>
      </c>
      <c r="F232" s="6">
        <f>SUM(PACIENTES!F232+COMEDOR!F232+JORNADA!F232+'DIETOLOGÍA(S)'!F232)</f>
        <v>0</v>
      </c>
      <c r="G232" s="6">
        <f>SUM(PACIENTES!G232+COMEDOR!G232+JORNADA!G232+'DIETOLOGÍA(S)'!G232)</f>
        <v>0</v>
      </c>
      <c r="H232" s="6">
        <f>SUM(PACIENTES!H232+COMEDOR!H232+JORNADA!H232+'DIETOLOGÍA(S)'!H232)</f>
        <v>0</v>
      </c>
      <c r="I232" s="6">
        <f>SUM(PACIENTES!I232+COMEDOR!I232+JORNADA!I232+'DIETOLOGÍA(S)'!I232)</f>
        <v>0</v>
      </c>
      <c r="J232" s="6">
        <f>SUM(PACIENTES!J232+COMEDOR!J232+JORNADA!J232+'DIETOLOGÍA(S)'!J232)</f>
        <v>1</v>
      </c>
      <c r="K232" s="6">
        <f>SUM(PACIENTES!K232+COMEDOR!K232+JORNADA!K232+'DIETOLOGÍA(S)'!K232)</f>
        <v>0</v>
      </c>
      <c r="L232" s="6">
        <f>SUM(PACIENTES!L232+COMEDOR!L232+JORNADA!L232+'DIETOLOGÍA(S)'!L232)</f>
        <v>0</v>
      </c>
      <c r="M232" s="6">
        <f>SUM(PACIENTES!M232+COMEDOR!M232+JORNADA!M232+'DIETOLOGÍA(S)'!M232)</f>
        <v>0</v>
      </c>
      <c r="N232" s="6">
        <f>SUM(PACIENTES!N232+COMEDOR!N232+JORNADA!N232+'DIETOLOGÍA(S)'!N232)</f>
        <v>0</v>
      </c>
      <c r="O232" s="6">
        <f>SUM(PACIENTES!O232+COMEDOR!O232+JORNADA!O232+'DIETOLOGÍA(S)'!O232)</f>
        <v>0</v>
      </c>
      <c r="P232" s="6">
        <f>SUM(PACIENTES!P232+COMEDOR!P232+JORNADA!P232+'DIETOLOGÍA(S)'!P232)</f>
        <v>0</v>
      </c>
      <c r="Q232" s="6">
        <f>SUM(PACIENTES!Q232+COMEDOR!Q232+JORNADA!Q232+'DIETOLOGÍA(S)'!Q232)</f>
        <v>0</v>
      </c>
      <c r="R232" s="6">
        <f>SUM(PACIENTES!R232+COMEDOR!R232+JORNADA!R232+'DIETOLOGÍA(S)'!R232)</f>
        <v>0</v>
      </c>
      <c r="S232" s="6">
        <f>SUM(PACIENTES!S232+COMEDOR!S232+JORNADA!S232+'DIETOLOGÍA(S)'!S232)</f>
        <v>0</v>
      </c>
      <c r="T232" s="6">
        <f>SUM(PACIENTES!T232+COMEDOR!T232+JORNADA!T232+'DIETOLOGÍA(S)'!T232)</f>
        <v>0</v>
      </c>
      <c r="U232" s="6">
        <f>SUM(PACIENTES!U232+COMEDOR!U232+JORNADA!U232+'DIETOLOGÍA(S)'!U232)</f>
        <v>0</v>
      </c>
      <c r="V232" s="6">
        <f>SUM(PACIENTES!V232+COMEDOR!V232+JORNADA!V232+'DIETOLOGÍA(S)'!V232)</f>
        <v>0</v>
      </c>
      <c r="W232" s="6">
        <f>SUM(PACIENTES!W232+COMEDOR!W232+JORNADA!W232+'DIETOLOGÍA(S)'!W232)</f>
        <v>0</v>
      </c>
      <c r="X232" s="6">
        <f>SUM(PACIENTES!X232+COMEDOR!X232+JORNADA!X232+'DIETOLOGÍA(S)'!X232)</f>
        <v>1</v>
      </c>
      <c r="Y232" s="6">
        <f>SUM(PACIENTES!Y232+COMEDOR!Y232+JORNADA!Y232+'DIETOLOGÍA(S)'!Y232)</f>
        <v>0</v>
      </c>
      <c r="Z232" s="6">
        <f>SUM(PACIENTES!Z232+COMEDOR!Z232+JORNADA!Z232+'DIETOLOGÍA(S)'!Z232)</f>
        <v>0</v>
      </c>
      <c r="AA232" s="6">
        <f>SUM(PACIENTES!AA232+COMEDOR!AA232+JORNADA!AA232+'DIETOLOGÍA(S)'!AA232)</f>
        <v>0</v>
      </c>
      <c r="AB232" s="6">
        <f>SUM(PACIENTES!AB232+COMEDOR!AB232+JORNADA!AB232+'DIETOLOGÍA(S)'!AB232)</f>
        <v>0</v>
      </c>
      <c r="AC232" s="6">
        <f>SUM(PACIENTES!AC232+COMEDOR!AC232+JORNADA!AC232+'DIETOLOGÍA(S)'!AC232)</f>
        <v>0</v>
      </c>
      <c r="AD232" s="6">
        <f>SUM(PACIENTES!AD232+COMEDOR!AD232+JORNADA!AD232+'DIETOLOGÍA(S)'!AD232)</f>
        <v>0</v>
      </c>
      <c r="AE232" s="6">
        <f>SUM(PACIENTES!AE232+COMEDOR!AE232+JORNADA!AE232+'DIETOLOGÍA(S)'!AE232)</f>
        <v>0</v>
      </c>
      <c r="AF232" s="6">
        <f>SUM(PACIENTES!AF232+COMEDOR!AF232+JORNADA!AF232+'DIETOLOGÍA(S)'!AF232)</f>
        <v>0</v>
      </c>
      <c r="AG232" s="6">
        <f>SUM(PACIENTES!AG232+COMEDOR!AG232+JORNADA!AG232+'DIETOLOGÍA(S)'!AG232)</f>
        <v>0</v>
      </c>
      <c r="AH232" s="6">
        <f>SUM(PACIENTES!AH232+COMEDOR!AH232+JORNADA!AH232+'DIETOLOGÍA(S)'!AH232)</f>
        <v>0</v>
      </c>
      <c r="AI232" s="9">
        <f t="shared" si="9"/>
        <v>2</v>
      </c>
    </row>
    <row r="233" spans="1:35" ht="15.75" customHeight="1">
      <c r="A233" s="193">
        <v>2212009010</v>
      </c>
      <c r="B233" s="195" t="s">
        <v>242</v>
      </c>
      <c r="C233" s="196" t="s">
        <v>6</v>
      </c>
      <c r="D233" s="77">
        <f>SUM(PACIENTES!D233+COMEDOR!D233+JORNADA!D233+'DIETOLOGÍA(S)'!D233)</f>
        <v>2</v>
      </c>
      <c r="E233" s="77">
        <f>SUM(PACIENTES!E233+COMEDOR!E233+JORNADA!E233+'DIETOLOGÍA(S)'!E233)</f>
        <v>1</v>
      </c>
      <c r="F233" s="77">
        <f>SUM(PACIENTES!F233+COMEDOR!F233+JORNADA!F233+'DIETOLOGÍA(S)'!F233)</f>
        <v>2</v>
      </c>
      <c r="G233" s="77">
        <f>SUM(PACIENTES!G233+COMEDOR!G233+JORNADA!G233+'DIETOLOGÍA(S)'!G233)</f>
        <v>1</v>
      </c>
      <c r="H233" s="77">
        <f>SUM(PACIENTES!H233+COMEDOR!H233+JORNADA!H233+'DIETOLOGÍA(S)'!H233)</f>
        <v>3</v>
      </c>
      <c r="I233" s="77">
        <f>SUM(PACIENTES!I233+COMEDOR!I233+JORNADA!I233+'DIETOLOGÍA(S)'!I233)</f>
        <v>1</v>
      </c>
      <c r="J233" s="77">
        <f>SUM(PACIENTES!J233+COMEDOR!J233+JORNADA!J233+'DIETOLOGÍA(S)'!J233)</f>
        <v>2</v>
      </c>
      <c r="K233" s="77">
        <f>SUM(PACIENTES!K233+COMEDOR!K233+JORNADA!K233+'DIETOLOGÍA(S)'!K233)</f>
        <v>1</v>
      </c>
      <c r="L233" s="77">
        <f>SUM(PACIENTES!L233+COMEDOR!L233+JORNADA!L233+'DIETOLOGÍA(S)'!L233)</f>
        <v>2</v>
      </c>
      <c r="M233" s="77">
        <f>SUM(PACIENTES!M233+COMEDOR!M233+JORNADA!M233+'DIETOLOGÍA(S)'!M233)</f>
        <v>2</v>
      </c>
      <c r="N233" s="77">
        <f>SUM(PACIENTES!N233+COMEDOR!N233+JORNADA!N233+'DIETOLOGÍA(S)'!N233)</f>
        <v>1</v>
      </c>
      <c r="O233" s="77">
        <f>SUM(PACIENTES!O233+COMEDOR!O233+JORNADA!O233+'DIETOLOGÍA(S)'!O233)</f>
        <v>3</v>
      </c>
      <c r="P233" s="77">
        <f>SUM(PACIENTES!P233+COMEDOR!P233+JORNADA!P233+'DIETOLOGÍA(S)'!P233)</f>
        <v>2</v>
      </c>
      <c r="Q233" s="77">
        <f>SUM(PACIENTES!Q233+COMEDOR!Q233+JORNADA!Q233+'DIETOLOGÍA(S)'!Q233)</f>
        <v>1</v>
      </c>
      <c r="R233" s="77">
        <f>SUM(PACIENTES!R233+COMEDOR!R233+JORNADA!R233+'DIETOLOGÍA(S)'!R233)</f>
        <v>2</v>
      </c>
      <c r="S233" s="77">
        <f>SUM(PACIENTES!S233+COMEDOR!S233+JORNADA!S233+'DIETOLOGÍA(S)'!S233)</f>
        <v>2</v>
      </c>
      <c r="T233" s="77">
        <f>SUM(PACIENTES!T233+COMEDOR!T233+JORNADA!T233+'DIETOLOGÍA(S)'!T233)</f>
        <v>2</v>
      </c>
      <c r="U233" s="77">
        <f>SUM(PACIENTES!U233+COMEDOR!U233+JORNADA!U233+'DIETOLOGÍA(S)'!U233)</f>
        <v>2</v>
      </c>
      <c r="V233" s="77">
        <f>SUM(PACIENTES!V233+COMEDOR!V233+JORNADA!V233+'DIETOLOGÍA(S)'!V233)</f>
        <v>1</v>
      </c>
      <c r="W233" s="77">
        <f>SUM(PACIENTES!W233+COMEDOR!W233+JORNADA!W233+'DIETOLOGÍA(S)'!W233)</f>
        <v>2</v>
      </c>
      <c r="X233" s="77">
        <f>SUM(PACIENTES!X233+COMEDOR!X233+JORNADA!X233+'DIETOLOGÍA(S)'!X233)</f>
        <v>1</v>
      </c>
      <c r="Y233" s="77">
        <f>SUM(PACIENTES!Y233+COMEDOR!Y233+JORNADA!Y233+'DIETOLOGÍA(S)'!Y233)</f>
        <v>2</v>
      </c>
      <c r="Z233" s="77">
        <f>SUM(PACIENTES!Z233+COMEDOR!Z233+JORNADA!Z233+'DIETOLOGÍA(S)'!Z233)</f>
        <v>1</v>
      </c>
      <c r="AA233" s="77">
        <f>SUM(PACIENTES!AA233+COMEDOR!AA233+JORNADA!AA233+'DIETOLOGÍA(S)'!AA233)</f>
        <v>1</v>
      </c>
      <c r="AB233" s="77">
        <f>SUM(PACIENTES!AB233+COMEDOR!AB233+JORNADA!AB233+'DIETOLOGÍA(S)'!AB233)</f>
        <v>1</v>
      </c>
      <c r="AC233" s="77">
        <f>SUM(PACIENTES!AC233+COMEDOR!AC233+JORNADA!AC233+'DIETOLOGÍA(S)'!AC233)</f>
        <v>2</v>
      </c>
      <c r="AD233" s="77">
        <f>SUM(PACIENTES!AD233+COMEDOR!AD233+JORNADA!AD233+'DIETOLOGÍA(S)'!AD233)</f>
        <v>1</v>
      </c>
      <c r="AE233" s="77">
        <f>SUM(PACIENTES!AE233+COMEDOR!AE233+JORNADA!AE233+'DIETOLOGÍA(S)'!AE233)</f>
        <v>2</v>
      </c>
      <c r="AF233" s="77">
        <f>SUM(PACIENTES!AF233+COMEDOR!AF233+JORNADA!AF233+'DIETOLOGÍA(S)'!AF233)</f>
        <v>1</v>
      </c>
      <c r="AG233" s="77">
        <f>SUM(PACIENTES!AG233+COMEDOR!AG233+JORNADA!AG233+'DIETOLOGÍA(S)'!AG233)</f>
        <v>2</v>
      </c>
      <c r="AH233" s="77">
        <f>SUM(PACIENTES!AH233+COMEDOR!AH233+JORNADA!AH233+'DIETOLOGÍA(S)'!AH233)</f>
        <v>1</v>
      </c>
      <c r="AI233" s="9">
        <f t="shared" si="9"/>
        <v>50</v>
      </c>
    </row>
    <row r="234" spans="1:35" ht="15.75" customHeight="1">
      <c r="A234" s="193">
        <v>2212009011</v>
      </c>
      <c r="B234" s="195" t="s">
        <v>243</v>
      </c>
      <c r="C234" s="196" t="s">
        <v>6</v>
      </c>
      <c r="D234" s="6">
        <f>SUM(PACIENTES!D234+COMEDOR!D234+JORNADA!D234+'DIETOLOGÍA(S)'!D234)</f>
        <v>0</v>
      </c>
      <c r="E234" s="6">
        <f>SUM(PACIENTES!E234+COMEDOR!E234+JORNADA!E234+'DIETOLOGÍA(S)'!E234)</f>
        <v>0</v>
      </c>
      <c r="F234" s="6">
        <f>SUM(PACIENTES!F234+COMEDOR!F234+JORNADA!F234+'DIETOLOGÍA(S)'!F234)</f>
        <v>0</v>
      </c>
      <c r="G234" s="6">
        <f>SUM(PACIENTES!G234+COMEDOR!G234+JORNADA!G234+'DIETOLOGÍA(S)'!G234)</f>
        <v>0</v>
      </c>
      <c r="H234" s="6">
        <f>SUM(PACIENTES!H234+COMEDOR!H234+JORNADA!H234+'DIETOLOGÍA(S)'!H234)</f>
        <v>0</v>
      </c>
      <c r="I234" s="6">
        <f>SUM(PACIENTES!I234+COMEDOR!I234+JORNADA!I234+'DIETOLOGÍA(S)'!I234)</f>
        <v>0</v>
      </c>
      <c r="J234" s="6">
        <f>SUM(PACIENTES!J234+COMEDOR!J234+JORNADA!J234+'DIETOLOGÍA(S)'!J234)</f>
        <v>1</v>
      </c>
      <c r="K234" s="6">
        <f>SUM(PACIENTES!K234+COMEDOR!K234+JORNADA!K234+'DIETOLOGÍA(S)'!K234)</f>
        <v>0</v>
      </c>
      <c r="L234" s="6">
        <f>SUM(PACIENTES!L234+COMEDOR!L234+JORNADA!L234+'DIETOLOGÍA(S)'!L234)</f>
        <v>0</v>
      </c>
      <c r="M234" s="6">
        <f>SUM(PACIENTES!M234+COMEDOR!M234+JORNADA!M234+'DIETOLOGÍA(S)'!M234)</f>
        <v>0</v>
      </c>
      <c r="N234" s="6">
        <f>SUM(PACIENTES!N234+COMEDOR!N234+JORNADA!N234+'DIETOLOGÍA(S)'!N234)</f>
        <v>0</v>
      </c>
      <c r="O234" s="6">
        <f>SUM(PACIENTES!O234+COMEDOR!O234+JORNADA!O234+'DIETOLOGÍA(S)'!O234)</f>
        <v>0</v>
      </c>
      <c r="P234" s="6">
        <f>SUM(PACIENTES!P234+COMEDOR!P234+JORNADA!P234+'DIETOLOGÍA(S)'!P234)</f>
        <v>0</v>
      </c>
      <c r="Q234" s="6">
        <f>SUM(PACIENTES!Q234+COMEDOR!Q234+JORNADA!Q234+'DIETOLOGÍA(S)'!Q234)</f>
        <v>0</v>
      </c>
      <c r="R234" s="6">
        <f>SUM(PACIENTES!R234+COMEDOR!R234+JORNADA!R234+'DIETOLOGÍA(S)'!R234)</f>
        <v>0</v>
      </c>
      <c r="S234" s="6">
        <f>SUM(PACIENTES!S234+COMEDOR!S234+JORNADA!S234+'DIETOLOGÍA(S)'!S234)</f>
        <v>0</v>
      </c>
      <c r="T234" s="6">
        <f>SUM(PACIENTES!T234+COMEDOR!T234+JORNADA!T234+'DIETOLOGÍA(S)'!T234)</f>
        <v>0</v>
      </c>
      <c r="U234" s="6">
        <f>SUM(PACIENTES!U234+COMEDOR!U234+JORNADA!U234+'DIETOLOGÍA(S)'!U234)</f>
        <v>0</v>
      </c>
      <c r="V234" s="6">
        <f>SUM(PACIENTES!V234+COMEDOR!V234+JORNADA!V234+'DIETOLOGÍA(S)'!V234)</f>
        <v>0</v>
      </c>
      <c r="W234" s="6">
        <f>SUM(PACIENTES!W234+COMEDOR!W234+JORNADA!W234+'DIETOLOGÍA(S)'!W234)</f>
        <v>0</v>
      </c>
      <c r="X234" s="6">
        <f>SUM(PACIENTES!X234+COMEDOR!X234+JORNADA!X234+'DIETOLOGÍA(S)'!X234)</f>
        <v>0</v>
      </c>
      <c r="Y234" s="6">
        <f>SUM(PACIENTES!Y234+COMEDOR!Y234+JORNADA!Y234+'DIETOLOGÍA(S)'!Y234)</f>
        <v>0</v>
      </c>
      <c r="Z234" s="6">
        <f>SUM(PACIENTES!Z234+COMEDOR!Z234+JORNADA!Z234+'DIETOLOGÍA(S)'!Z234)</f>
        <v>0</v>
      </c>
      <c r="AA234" s="6">
        <f>SUM(PACIENTES!AA234+COMEDOR!AA234+JORNADA!AA234+'DIETOLOGÍA(S)'!AA234)</f>
        <v>0</v>
      </c>
      <c r="AB234" s="6">
        <f>SUM(PACIENTES!AB234+COMEDOR!AB234+JORNADA!AB234+'DIETOLOGÍA(S)'!AB234)</f>
        <v>0</v>
      </c>
      <c r="AC234" s="6">
        <f>SUM(PACIENTES!AC234+COMEDOR!AC234+JORNADA!AC234+'DIETOLOGÍA(S)'!AC234)</f>
        <v>0</v>
      </c>
      <c r="AD234" s="6">
        <f>SUM(PACIENTES!AD234+COMEDOR!AD234+JORNADA!AD234+'DIETOLOGÍA(S)'!AD234)</f>
        <v>0</v>
      </c>
      <c r="AE234" s="6">
        <f>SUM(PACIENTES!AE234+COMEDOR!AE234+JORNADA!AE234+'DIETOLOGÍA(S)'!AE234)</f>
        <v>0</v>
      </c>
      <c r="AF234" s="6">
        <f>SUM(PACIENTES!AF234+COMEDOR!AF234+JORNADA!AF234+'DIETOLOGÍA(S)'!AF234)</f>
        <v>0</v>
      </c>
      <c r="AG234" s="6">
        <f>SUM(PACIENTES!AG234+COMEDOR!AG234+JORNADA!AG234+'DIETOLOGÍA(S)'!AG234)</f>
        <v>0</v>
      </c>
      <c r="AH234" s="6">
        <f>SUM(PACIENTES!AH234+COMEDOR!AH234+JORNADA!AH234+'DIETOLOGÍA(S)'!AH234)</f>
        <v>0</v>
      </c>
      <c r="AI234" s="9">
        <f t="shared" si="9"/>
        <v>1</v>
      </c>
    </row>
    <row r="235" spans="1:35" ht="15.75" customHeight="1">
      <c r="A235" s="193">
        <v>2212009012</v>
      </c>
      <c r="B235" s="195" t="s">
        <v>244</v>
      </c>
      <c r="C235" s="196" t="s">
        <v>6</v>
      </c>
      <c r="D235" s="77">
        <f>SUM(PACIENTES!D235+COMEDOR!D235+JORNADA!D235+'DIETOLOGÍA(S)'!D235)</f>
        <v>1</v>
      </c>
      <c r="E235" s="77">
        <f>SUM(PACIENTES!E235+COMEDOR!E235+JORNADA!E235+'DIETOLOGÍA(S)'!E235)</f>
        <v>1</v>
      </c>
      <c r="F235" s="77">
        <f>SUM(PACIENTES!F235+COMEDOR!F235+JORNADA!F235+'DIETOLOGÍA(S)'!F235)</f>
        <v>1</v>
      </c>
      <c r="G235" s="77">
        <f>SUM(PACIENTES!G235+COMEDOR!G235+JORNADA!G235+'DIETOLOGÍA(S)'!G235)</f>
        <v>2</v>
      </c>
      <c r="H235" s="77">
        <f>SUM(PACIENTES!H235+COMEDOR!H235+JORNADA!H235+'DIETOLOGÍA(S)'!H235)</f>
        <v>1</v>
      </c>
      <c r="I235" s="77">
        <f>SUM(PACIENTES!I235+COMEDOR!I235+JORNADA!I235+'DIETOLOGÍA(S)'!I235)</f>
        <v>1</v>
      </c>
      <c r="J235" s="77">
        <f>SUM(PACIENTES!J235+COMEDOR!J235+JORNADA!J235+'DIETOLOGÍA(S)'!J235)</f>
        <v>1</v>
      </c>
      <c r="K235" s="77">
        <f>SUM(PACIENTES!K235+COMEDOR!K235+JORNADA!K235+'DIETOLOGÍA(S)'!K235)</f>
        <v>1</v>
      </c>
      <c r="L235" s="77">
        <f>SUM(PACIENTES!L235+COMEDOR!L235+JORNADA!L235+'DIETOLOGÍA(S)'!L235)</f>
        <v>1</v>
      </c>
      <c r="M235" s="77">
        <f>SUM(PACIENTES!M235+COMEDOR!M235+JORNADA!M235+'DIETOLOGÍA(S)'!M235)</f>
        <v>1</v>
      </c>
      <c r="N235" s="77">
        <f>SUM(PACIENTES!N235+COMEDOR!N235+JORNADA!N235+'DIETOLOGÍA(S)'!N235)</f>
        <v>1</v>
      </c>
      <c r="O235" s="77">
        <f>SUM(PACIENTES!O235+COMEDOR!O235+JORNADA!O235+'DIETOLOGÍA(S)'!O235)</f>
        <v>1</v>
      </c>
      <c r="P235" s="77">
        <f>SUM(PACIENTES!P235+COMEDOR!P235+JORNADA!P235+'DIETOLOGÍA(S)'!P235)</f>
        <v>1</v>
      </c>
      <c r="Q235" s="77">
        <f>SUM(PACIENTES!Q235+COMEDOR!Q235+JORNADA!Q235+'DIETOLOGÍA(S)'!Q235)</f>
        <v>2</v>
      </c>
      <c r="R235" s="77">
        <f>SUM(PACIENTES!R235+COMEDOR!R235+JORNADA!R235+'DIETOLOGÍA(S)'!R235)</f>
        <v>1</v>
      </c>
      <c r="S235" s="77">
        <f>SUM(PACIENTES!S235+COMEDOR!S235+JORNADA!S235+'DIETOLOGÍA(S)'!S235)</f>
        <v>0</v>
      </c>
      <c r="T235" s="77">
        <f>SUM(PACIENTES!T235+COMEDOR!T235+JORNADA!T235+'DIETOLOGÍA(S)'!T235)</f>
        <v>0</v>
      </c>
      <c r="U235" s="77">
        <f>SUM(PACIENTES!U235+COMEDOR!U235+JORNADA!U235+'DIETOLOGÍA(S)'!U235)</f>
        <v>1</v>
      </c>
      <c r="V235" s="77">
        <f>SUM(PACIENTES!V235+COMEDOR!V235+JORNADA!V235+'DIETOLOGÍA(S)'!V235)</f>
        <v>1</v>
      </c>
      <c r="W235" s="77">
        <f>SUM(PACIENTES!W235+COMEDOR!W235+JORNADA!W235+'DIETOLOGÍA(S)'!W235)</f>
        <v>0</v>
      </c>
      <c r="X235" s="77">
        <f>SUM(PACIENTES!X235+COMEDOR!X235+JORNADA!X235+'DIETOLOGÍA(S)'!X235)</f>
        <v>1</v>
      </c>
      <c r="Y235" s="77">
        <f>SUM(PACIENTES!Y235+COMEDOR!Y235+JORNADA!Y235+'DIETOLOGÍA(S)'!Y235)</f>
        <v>0</v>
      </c>
      <c r="Z235" s="77">
        <f>SUM(PACIENTES!Z235+COMEDOR!Z235+JORNADA!Z235+'DIETOLOGÍA(S)'!Z235)</f>
        <v>0</v>
      </c>
      <c r="AA235" s="77">
        <f>SUM(PACIENTES!AA235+COMEDOR!AA235+JORNADA!AA235+'DIETOLOGÍA(S)'!AA235)</f>
        <v>0</v>
      </c>
      <c r="AB235" s="77">
        <f>SUM(PACIENTES!AB235+COMEDOR!AB235+JORNADA!AB235+'DIETOLOGÍA(S)'!AB235)</f>
        <v>0</v>
      </c>
      <c r="AC235" s="77">
        <f>SUM(PACIENTES!AC235+COMEDOR!AC235+JORNADA!AC235+'DIETOLOGÍA(S)'!AC235)</f>
        <v>0</v>
      </c>
      <c r="AD235" s="77">
        <f>SUM(PACIENTES!AD235+COMEDOR!AD235+JORNADA!AD235+'DIETOLOGÍA(S)'!AD235)</f>
        <v>0</v>
      </c>
      <c r="AE235" s="77">
        <f>SUM(PACIENTES!AE235+COMEDOR!AE235+JORNADA!AE235+'DIETOLOGÍA(S)'!AE235)</f>
        <v>0</v>
      </c>
      <c r="AF235" s="77">
        <f>SUM(PACIENTES!AF235+COMEDOR!AF235+JORNADA!AF235+'DIETOLOGÍA(S)'!AF235)</f>
        <v>0</v>
      </c>
      <c r="AG235" s="77">
        <f>SUM(PACIENTES!AG235+COMEDOR!AG235+JORNADA!AG235+'DIETOLOGÍA(S)'!AG235)</f>
        <v>0</v>
      </c>
      <c r="AH235" s="77">
        <f>SUM(PACIENTES!AH235+COMEDOR!AH235+JORNADA!AH235+'DIETOLOGÍA(S)'!AH235)</f>
        <v>0</v>
      </c>
      <c r="AI235" s="9">
        <f t="shared" si="9"/>
        <v>20</v>
      </c>
    </row>
    <row r="236" spans="1:35" ht="15.75" customHeight="1">
      <c r="A236" s="193">
        <v>2212009013</v>
      </c>
      <c r="B236" s="195" t="s">
        <v>245</v>
      </c>
      <c r="C236" s="196" t="s">
        <v>6</v>
      </c>
      <c r="D236" s="6">
        <f>SUM(PACIENTES!D236+COMEDOR!D236+JORNADA!D236+'DIETOLOGÍA(S)'!D236)</f>
        <v>0</v>
      </c>
      <c r="E236" s="6">
        <f>SUM(PACIENTES!E236+COMEDOR!E236+JORNADA!E236+'DIETOLOGÍA(S)'!E236)</f>
        <v>0</v>
      </c>
      <c r="F236" s="6">
        <f>SUM(PACIENTES!F236+COMEDOR!F236+JORNADA!F236+'DIETOLOGÍA(S)'!F236)</f>
        <v>0</v>
      </c>
      <c r="G236" s="6">
        <f>SUM(PACIENTES!G236+COMEDOR!G236+JORNADA!G236+'DIETOLOGÍA(S)'!G236)</f>
        <v>0</v>
      </c>
      <c r="H236" s="6">
        <f>SUM(PACIENTES!H236+COMEDOR!H236+JORNADA!H236+'DIETOLOGÍA(S)'!H236)</f>
        <v>0</v>
      </c>
      <c r="I236" s="6">
        <f>SUM(PACIENTES!I236+COMEDOR!I236+JORNADA!I236+'DIETOLOGÍA(S)'!I236)</f>
        <v>0</v>
      </c>
      <c r="J236" s="6">
        <f>SUM(PACIENTES!J236+COMEDOR!J236+JORNADA!J236+'DIETOLOGÍA(S)'!J236)</f>
        <v>0</v>
      </c>
      <c r="K236" s="6">
        <f>SUM(PACIENTES!K236+COMEDOR!K236+JORNADA!K236+'DIETOLOGÍA(S)'!K236)</f>
        <v>0</v>
      </c>
      <c r="L236" s="6">
        <f>SUM(PACIENTES!L236+COMEDOR!L236+JORNADA!L236+'DIETOLOGÍA(S)'!L236)</f>
        <v>0</v>
      </c>
      <c r="M236" s="6">
        <f>SUM(PACIENTES!M236+COMEDOR!M236+JORNADA!M236+'DIETOLOGÍA(S)'!M236)</f>
        <v>0</v>
      </c>
      <c r="N236" s="6">
        <f>SUM(PACIENTES!N236+COMEDOR!N236+JORNADA!N236+'DIETOLOGÍA(S)'!N236)</f>
        <v>0</v>
      </c>
      <c r="O236" s="6">
        <f>SUM(PACIENTES!O236+COMEDOR!O236+JORNADA!O236+'DIETOLOGÍA(S)'!O236)</f>
        <v>0</v>
      </c>
      <c r="P236" s="6">
        <f>SUM(PACIENTES!P236+COMEDOR!P236+JORNADA!P236+'DIETOLOGÍA(S)'!P236)</f>
        <v>0</v>
      </c>
      <c r="Q236" s="6">
        <f>SUM(PACIENTES!Q236+COMEDOR!Q236+JORNADA!Q236+'DIETOLOGÍA(S)'!Q236)</f>
        <v>0</v>
      </c>
      <c r="R236" s="6">
        <f>SUM(PACIENTES!R236+COMEDOR!R236+JORNADA!R236+'DIETOLOGÍA(S)'!R236)</f>
        <v>0</v>
      </c>
      <c r="S236" s="6">
        <f>SUM(PACIENTES!S236+COMEDOR!S236+JORNADA!S236+'DIETOLOGÍA(S)'!S236)</f>
        <v>0</v>
      </c>
      <c r="T236" s="6">
        <f>SUM(PACIENTES!T236+COMEDOR!T236+JORNADA!T236+'DIETOLOGÍA(S)'!T236)</f>
        <v>0</v>
      </c>
      <c r="U236" s="6">
        <f>SUM(PACIENTES!U236+COMEDOR!U236+JORNADA!U236+'DIETOLOGÍA(S)'!U236)</f>
        <v>0</v>
      </c>
      <c r="V236" s="6">
        <f>SUM(PACIENTES!V236+COMEDOR!V236+JORNADA!V236+'DIETOLOGÍA(S)'!V236)</f>
        <v>0</v>
      </c>
      <c r="W236" s="6">
        <f>SUM(PACIENTES!W236+COMEDOR!W236+JORNADA!W236+'DIETOLOGÍA(S)'!W236)</f>
        <v>0</v>
      </c>
      <c r="X236" s="6">
        <f>SUM(PACIENTES!X236+COMEDOR!X236+JORNADA!X236+'DIETOLOGÍA(S)'!X236)</f>
        <v>0</v>
      </c>
      <c r="Y236" s="6">
        <f>SUM(PACIENTES!Y236+COMEDOR!Y236+JORNADA!Y236+'DIETOLOGÍA(S)'!Y236)</f>
        <v>0</v>
      </c>
      <c r="Z236" s="6">
        <f>SUM(PACIENTES!Z236+COMEDOR!Z236+JORNADA!Z236+'DIETOLOGÍA(S)'!Z236)</f>
        <v>0</v>
      </c>
      <c r="AA236" s="6">
        <f>SUM(PACIENTES!AA236+COMEDOR!AA236+JORNADA!AA236+'DIETOLOGÍA(S)'!AA236)</f>
        <v>0</v>
      </c>
      <c r="AB236" s="6">
        <f>SUM(PACIENTES!AB236+COMEDOR!AB236+JORNADA!AB236+'DIETOLOGÍA(S)'!AB236)</f>
        <v>0</v>
      </c>
      <c r="AC236" s="6">
        <f>SUM(PACIENTES!AC236+COMEDOR!AC236+JORNADA!AC236+'DIETOLOGÍA(S)'!AC236)</f>
        <v>0</v>
      </c>
      <c r="AD236" s="6">
        <f>SUM(PACIENTES!AD236+COMEDOR!AD236+JORNADA!AD236+'DIETOLOGÍA(S)'!AD236)</f>
        <v>0</v>
      </c>
      <c r="AE236" s="6">
        <f>SUM(PACIENTES!AE236+COMEDOR!AE236+JORNADA!AE236+'DIETOLOGÍA(S)'!AE236)</f>
        <v>0</v>
      </c>
      <c r="AF236" s="6">
        <f>SUM(PACIENTES!AF236+COMEDOR!AF236+JORNADA!AF236+'DIETOLOGÍA(S)'!AF236)</f>
        <v>0</v>
      </c>
      <c r="AG236" s="6">
        <f>SUM(PACIENTES!AG236+COMEDOR!AG236+JORNADA!AG236+'DIETOLOGÍA(S)'!AG236)</f>
        <v>0</v>
      </c>
      <c r="AH236" s="6">
        <f>SUM(PACIENTES!AH236+COMEDOR!AH236+JORNADA!AH236+'DIETOLOGÍA(S)'!AH236)</f>
        <v>0</v>
      </c>
      <c r="AI236" s="9">
        <f t="shared" si="9"/>
        <v>0</v>
      </c>
    </row>
    <row r="237" spans="1:35" ht="15.75" customHeight="1">
      <c r="A237" s="193">
        <v>2212009014</v>
      </c>
      <c r="B237" s="195" t="s">
        <v>246</v>
      </c>
      <c r="C237" s="196" t="s">
        <v>6</v>
      </c>
      <c r="D237" s="77">
        <f>SUM(PACIENTES!D237+COMEDOR!D237+JORNADA!D237+'DIETOLOGÍA(S)'!D237)</f>
        <v>1</v>
      </c>
      <c r="E237" s="77">
        <f>SUM(PACIENTES!E237+COMEDOR!E237+JORNADA!E237+'DIETOLOGÍA(S)'!E237)</f>
        <v>0</v>
      </c>
      <c r="F237" s="77">
        <f>SUM(PACIENTES!F237+COMEDOR!F237+JORNADA!F237+'DIETOLOGÍA(S)'!F237)</f>
        <v>1</v>
      </c>
      <c r="G237" s="77">
        <f>SUM(PACIENTES!G237+COMEDOR!G237+JORNADA!G237+'DIETOLOGÍA(S)'!G237)</f>
        <v>1</v>
      </c>
      <c r="H237" s="77">
        <f>SUM(PACIENTES!H237+COMEDOR!H237+JORNADA!H237+'DIETOLOGÍA(S)'!H237)</f>
        <v>1</v>
      </c>
      <c r="I237" s="77">
        <f>SUM(PACIENTES!I237+COMEDOR!I237+JORNADA!I237+'DIETOLOGÍA(S)'!I237)</f>
        <v>0</v>
      </c>
      <c r="J237" s="77">
        <f>SUM(PACIENTES!J237+COMEDOR!J237+JORNADA!J237+'DIETOLOGÍA(S)'!J237)</f>
        <v>0</v>
      </c>
      <c r="K237" s="77">
        <f>SUM(PACIENTES!K237+COMEDOR!K237+JORNADA!K237+'DIETOLOGÍA(S)'!K237)</f>
        <v>0</v>
      </c>
      <c r="L237" s="77">
        <f>SUM(PACIENTES!L237+COMEDOR!L237+JORNADA!L237+'DIETOLOGÍA(S)'!L237)</f>
        <v>0</v>
      </c>
      <c r="M237" s="77">
        <f>SUM(PACIENTES!M237+COMEDOR!M237+JORNADA!M237+'DIETOLOGÍA(S)'!M237)</f>
        <v>0</v>
      </c>
      <c r="N237" s="77">
        <f>SUM(PACIENTES!N237+COMEDOR!N237+JORNADA!N237+'DIETOLOGÍA(S)'!N237)</f>
        <v>0</v>
      </c>
      <c r="O237" s="77">
        <f>SUM(PACIENTES!O237+COMEDOR!O237+JORNADA!O237+'DIETOLOGÍA(S)'!O237)</f>
        <v>0</v>
      </c>
      <c r="P237" s="77">
        <f>SUM(PACIENTES!P237+COMEDOR!P237+JORNADA!P237+'DIETOLOGÍA(S)'!P237)</f>
        <v>0</v>
      </c>
      <c r="Q237" s="77">
        <f>SUM(PACIENTES!Q237+COMEDOR!Q237+JORNADA!Q237+'DIETOLOGÍA(S)'!Q237)</f>
        <v>1</v>
      </c>
      <c r="R237" s="77">
        <f>SUM(PACIENTES!R237+COMEDOR!R237+JORNADA!R237+'DIETOLOGÍA(S)'!R237)</f>
        <v>0</v>
      </c>
      <c r="S237" s="77">
        <f>SUM(PACIENTES!S237+COMEDOR!S237+JORNADA!S237+'DIETOLOGÍA(S)'!S237)</f>
        <v>0</v>
      </c>
      <c r="T237" s="77">
        <f>SUM(PACIENTES!T237+COMEDOR!T237+JORNADA!T237+'DIETOLOGÍA(S)'!T237)</f>
        <v>0</v>
      </c>
      <c r="U237" s="77">
        <f>SUM(PACIENTES!U237+COMEDOR!U237+JORNADA!U237+'DIETOLOGÍA(S)'!U237)</f>
        <v>0</v>
      </c>
      <c r="V237" s="77">
        <f>SUM(PACIENTES!V237+COMEDOR!V237+JORNADA!V237+'DIETOLOGÍA(S)'!V237)</f>
        <v>1</v>
      </c>
      <c r="W237" s="77">
        <f>SUM(PACIENTES!W237+COMEDOR!W237+JORNADA!W237+'DIETOLOGÍA(S)'!W237)</f>
        <v>0</v>
      </c>
      <c r="X237" s="77">
        <f>SUM(PACIENTES!X237+COMEDOR!X237+JORNADA!X237+'DIETOLOGÍA(S)'!X237)</f>
        <v>0</v>
      </c>
      <c r="Y237" s="77">
        <f>SUM(PACIENTES!Y237+COMEDOR!Y237+JORNADA!Y237+'DIETOLOGÍA(S)'!Y237)</f>
        <v>0</v>
      </c>
      <c r="Z237" s="77">
        <f>SUM(PACIENTES!Z237+COMEDOR!Z237+JORNADA!Z237+'DIETOLOGÍA(S)'!Z237)</f>
        <v>0</v>
      </c>
      <c r="AA237" s="77">
        <f>SUM(PACIENTES!AA237+COMEDOR!AA237+JORNADA!AA237+'DIETOLOGÍA(S)'!AA237)</f>
        <v>0</v>
      </c>
      <c r="AB237" s="77">
        <f>SUM(PACIENTES!AB237+COMEDOR!AB237+JORNADA!AB237+'DIETOLOGÍA(S)'!AB237)</f>
        <v>0</v>
      </c>
      <c r="AC237" s="77">
        <f>SUM(PACIENTES!AC237+COMEDOR!AC237+JORNADA!AC237+'DIETOLOGÍA(S)'!AC237)</f>
        <v>1</v>
      </c>
      <c r="AD237" s="77">
        <f>SUM(PACIENTES!AD237+COMEDOR!AD237+JORNADA!AD237+'DIETOLOGÍA(S)'!AD237)</f>
        <v>1</v>
      </c>
      <c r="AE237" s="77">
        <f>SUM(PACIENTES!AE237+COMEDOR!AE237+JORNADA!AE237+'DIETOLOGÍA(S)'!AE237)</f>
        <v>1</v>
      </c>
      <c r="AF237" s="77">
        <f>SUM(PACIENTES!AF237+COMEDOR!AF237+JORNADA!AF237+'DIETOLOGÍA(S)'!AF237)</f>
        <v>1</v>
      </c>
      <c r="AG237" s="77">
        <f>SUM(PACIENTES!AG237+COMEDOR!AG237+JORNADA!AG237+'DIETOLOGÍA(S)'!AG237)</f>
        <v>1</v>
      </c>
      <c r="AH237" s="77">
        <f>SUM(PACIENTES!AH237+COMEDOR!AH237+JORNADA!AH237+'DIETOLOGÍA(S)'!AH237)</f>
        <v>0</v>
      </c>
      <c r="AI237" s="9">
        <f t="shared" si="9"/>
        <v>11</v>
      </c>
    </row>
    <row r="238" spans="1:35" ht="15.75" customHeight="1">
      <c r="A238" s="193">
        <v>2212009015</v>
      </c>
      <c r="B238" s="195" t="s">
        <v>247</v>
      </c>
      <c r="C238" s="196" t="s">
        <v>6</v>
      </c>
      <c r="D238" s="6">
        <f>SUM(PACIENTES!D238+COMEDOR!D238+JORNADA!D238+'DIETOLOGÍA(S)'!D238)</f>
        <v>0</v>
      </c>
      <c r="E238" s="6">
        <f>SUM(PACIENTES!E238+COMEDOR!E238+JORNADA!E238+'DIETOLOGÍA(S)'!E238)</f>
        <v>0</v>
      </c>
      <c r="F238" s="6">
        <f>SUM(PACIENTES!F238+COMEDOR!F238+JORNADA!F238+'DIETOLOGÍA(S)'!F238)</f>
        <v>0</v>
      </c>
      <c r="G238" s="6">
        <f>SUM(PACIENTES!G238+COMEDOR!G238+JORNADA!G238+'DIETOLOGÍA(S)'!G238)</f>
        <v>0</v>
      </c>
      <c r="H238" s="6">
        <f>SUM(PACIENTES!H238+COMEDOR!H238+JORNADA!H238+'DIETOLOGÍA(S)'!H238)</f>
        <v>0</v>
      </c>
      <c r="I238" s="6">
        <f>SUM(PACIENTES!I238+COMEDOR!I238+JORNADA!I238+'DIETOLOGÍA(S)'!I238)</f>
        <v>0</v>
      </c>
      <c r="J238" s="6">
        <f>SUM(PACIENTES!J238+COMEDOR!J238+JORNADA!J238+'DIETOLOGÍA(S)'!J238)</f>
        <v>0</v>
      </c>
      <c r="K238" s="6">
        <f>SUM(PACIENTES!K238+COMEDOR!K238+JORNADA!K238+'DIETOLOGÍA(S)'!K238)</f>
        <v>0</v>
      </c>
      <c r="L238" s="6">
        <f>SUM(PACIENTES!L238+COMEDOR!L238+JORNADA!L238+'DIETOLOGÍA(S)'!L238)</f>
        <v>0</v>
      </c>
      <c r="M238" s="6">
        <f>SUM(PACIENTES!M238+COMEDOR!M238+JORNADA!M238+'DIETOLOGÍA(S)'!M238)</f>
        <v>0</v>
      </c>
      <c r="N238" s="6">
        <f>SUM(PACIENTES!N238+COMEDOR!N238+JORNADA!N238+'DIETOLOGÍA(S)'!N238)</f>
        <v>0</v>
      </c>
      <c r="O238" s="6">
        <f>SUM(PACIENTES!O238+COMEDOR!O238+JORNADA!O238+'DIETOLOGÍA(S)'!O238)</f>
        <v>0</v>
      </c>
      <c r="P238" s="6">
        <f>SUM(PACIENTES!P238+COMEDOR!P238+JORNADA!P238+'DIETOLOGÍA(S)'!P238)</f>
        <v>0</v>
      </c>
      <c r="Q238" s="6">
        <f>SUM(PACIENTES!Q238+COMEDOR!Q238+JORNADA!Q238+'DIETOLOGÍA(S)'!Q238)</f>
        <v>0</v>
      </c>
      <c r="R238" s="6">
        <f>SUM(PACIENTES!R238+COMEDOR!R238+JORNADA!R238+'DIETOLOGÍA(S)'!R238)</f>
        <v>0</v>
      </c>
      <c r="S238" s="6">
        <f>SUM(PACIENTES!S238+COMEDOR!S238+JORNADA!S238+'DIETOLOGÍA(S)'!S238)</f>
        <v>0</v>
      </c>
      <c r="T238" s="6">
        <f>SUM(PACIENTES!T238+COMEDOR!T238+JORNADA!T238+'DIETOLOGÍA(S)'!T238)</f>
        <v>0</v>
      </c>
      <c r="U238" s="6">
        <f>SUM(PACIENTES!U238+COMEDOR!U238+JORNADA!U238+'DIETOLOGÍA(S)'!U238)</f>
        <v>0</v>
      </c>
      <c r="V238" s="6">
        <f>SUM(PACIENTES!V238+COMEDOR!V238+JORNADA!V238+'DIETOLOGÍA(S)'!V238)</f>
        <v>0</v>
      </c>
      <c r="W238" s="6">
        <f>SUM(PACIENTES!W238+COMEDOR!W238+JORNADA!W238+'DIETOLOGÍA(S)'!W238)</f>
        <v>0</v>
      </c>
      <c r="X238" s="6">
        <f>SUM(PACIENTES!X238+COMEDOR!X238+JORNADA!X238+'DIETOLOGÍA(S)'!X238)</f>
        <v>0</v>
      </c>
      <c r="Y238" s="6">
        <f>SUM(PACIENTES!Y238+COMEDOR!Y238+JORNADA!Y238+'DIETOLOGÍA(S)'!Y238)</f>
        <v>0</v>
      </c>
      <c r="Z238" s="6">
        <f>SUM(PACIENTES!Z238+COMEDOR!Z238+JORNADA!Z238+'DIETOLOGÍA(S)'!Z238)</f>
        <v>0</v>
      </c>
      <c r="AA238" s="6">
        <f>SUM(PACIENTES!AA238+COMEDOR!AA238+JORNADA!AA238+'DIETOLOGÍA(S)'!AA238)</f>
        <v>0</v>
      </c>
      <c r="AB238" s="6">
        <f>SUM(PACIENTES!AB238+COMEDOR!AB238+JORNADA!AB238+'DIETOLOGÍA(S)'!AB238)</f>
        <v>2</v>
      </c>
      <c r="AC238" s="6">
        <f>SUM(PACIENTES!AC238+COMEDOR!AC238+JORNADA!AC238+'DIETOLOGÍA(S)'!AC238)</f>
        <v>0</v>
      </c>
      <c r="AD238" s="6">
        <f>SUM(PACIENTES!AD238+COMEDOR!AD238+JORNADA!AD238+'DIETOLOGÍA(S)'!AD238)</f>
        <v>0</v>
      </c>
      <c r="AE238" s="6">
        <f>SUM(PACIENTES!AE238+COMEDOR!AE238+JORNADA!AE238+'DIETOLOGÍA(S)'!AE238)</f>
        <v>0</v>
      </c>
      <c r="AF238" s="6">
        <f>SUM(PACIENTES!AF238+COMEDOR!AF238+JORNADA!AF238+'DIETOLOGÍA(S)'!AF238)</f>
        <v>0</v>
      </c>
      <c r="AG238" s="6">
        <f>SUM(PACIENTES!AG238+COMEDOR!AG238+JORNADA!AG238+'DIETOLOGÍA(S)'!AG238)</f>
        <v>0</v>
      </c>
      <c r="AH238" s="6">
        <f>SUM(PACIENTES!AH238+COMEDOR!AH238+JORNADA!AH238+'DIETOLOGÍA(S)'!AH238)</f>
        <v>0</v>
      </c>
      <c r="AI238" s="9">
        <f t="shared" si="9"/>
        <v>2</v>
      </c>
    </row>
    <row r="239" spans="1:35" ht="15.75" customHeight="1">
      <c r="A239" s="193">
        <v>2212009016</v>
      </c>
      <c r="B239" s="195" t="s">
        <v>248</v>
      </c>
      <c r="C239" s="196" t="s">
        <v>6</v>
      </c>
      <c r="D239" s="77">
        <f>SUM(PACIENTES!D239+COMEDOR!D239+JORNADA!D239+'DIETOLOGÍA(S)'!D239)</f>
        <v>0</v>
      </c>
      <c r="E239" s="77">
        <f>SUM(PACIENTES!E239+COMEDOR!E239+JORNADA!E239+'DIETOLOGÍA(S)'!E239)</f>
        <v>0</v>
      </c>
      <c r="F239" s="77">
        <f>SUM(PACIENTES!F239+COMEDOR!F239+JORNADA!F239+'DIETOLOGÍA(S)'!F239)</f>
        <v>0</v>
      </c>
      <c r="G239" s="77">
        <f>SUM(PACIENTES!G239+COMEDOR!G239+JORNADA!G239+'DIETOLOGÍA(S)'!G239)</f>
        <v>0</v>
      </c>
      <c r="H239" s="77">
        <f>SUM(PACIENTES!H239+COMEDOR!H239+JORNADA!H239+'DIETOLOGÍA(S)'!H239)</f>
        <v>0</v>
      </c>
      <c r="I239" s="77">
        <f>SUM(PACIENTES!I239+COMEDOR!I239+JORNADA!I239+'DIETOLOGÍA(S)'!I239)</f>
        <v>0</v>
      </c>
      <c r="J239" s="77">
        <f>SUM(PACIENTES!J239+COMEDOR!J239+JORNADA!J239+'DIETOLOGÍA(S)'!J239)</f>
        <v>0</v>
      </c>
      <c r="K239" s="77">
        <f>SUM(PACIENTES!K239+COMEDOR!K239+JORNADA!K239+'DIETOLOGÍA(S)'!K239)</f>
        <v>0</v>
      </c>
      <c r="L239" s="77">
        <f>SUM(PACIENTES!L239+COMEDOR!L239+JORNADA!L239+'DIETOLOGÍA(S)'!L239)</f>
        <v>0</v>
      </c>
      <c r="M239" s="77">
        <f>SUM(PACIENTES!M239+COMEDOR!M239+JORNADA!M239+'DIETOLOGÍA(S)'!M239)</f>
        <v>0</v>
      </c>
      <c r="N239" s="77">
        <f>SUM(PACIENTES!N239+COMEDOR!N239+JORNADA!N239+'DIETOLOGÍA(S)'!N239)</f>
        <v>0</v>
      </c>
      <c r="O239" s="77">
        <f>SUM(PACIENTES!O239+COMEDOR!O239+JORNADA!O239+'DIETOLOGÍA(S)'!O239)</f>
        <v>0</v>
      </c>
      <c r="P239" s="77">
        <f>SUM(PACIENTES!P239+COMEDOR!P239+JORNADA!P239+'DIETOLOGÍA(S)'!P239)</f>
        <v>0</v>
      </c>
      <c r="Q239" s="77">
        <f>SUM(PACIENTES!Q239+COMEDOR!Q239+JORNADA!Q239+'DIETOLOGÍA(S)'!Q239)</f>
        <v>0</v>
      </c>
      <c r="R239" s="77">
        <f>SUM(PACIENTES!R239+COMEDOR!R239+JORNADA!R239+'DIETOLOGÍA(S)'!R239)</f>
        <v>0</v>
      </c>
      <c r="S239" s="77">
        <f>SUM(PACIENTES!S239+COMEDOR!S239+JORNADA!S239+'DIETOLOGÍA(S)'!S239)</f>
        <v>0</v>
      </c>
      <c r="T239" s="77">
        <f>SUM(PACIENTES!T239+COMEDOR!T239+JORNADA!T239+'DIETOLOGÍA(S)'!T239)</f>
        <v>0</v>
      </c>
      <c r="U239" s="77">
        <f>SUM(PACIENTES!U239+COMEDOR!U239+JORNADA!U239+'DIETOLOGÍA(S)'!U239)</f>
        <v>0</v>
      </c>
      <c r="V239" s="77">
        <f>SUM(PACIENTES!V239+COMEDOR!V239+JORNADA!V239+'DIETOLOGÍA(S)'!V239)</f>
        <v>0</v>
      </c>
      <c r="W239" s="77">
        <f>SUM(PACIENTES!W239+COMEDOR!W239+JORNADA!W239+'DIETOLOGÍA(S)'!W239)</f>
        <v>0</v>
      </c>
      <c r="X239" s="77">
        <f>SUM(PACIENTES!X239+COMEDOR!X239+JORNADA!X239+'DIETOLOGÍA(S)'!X239)</f>
        <v>0</v>
      </c>
      <c r="Y239" s="77">
        <f>SUM(PACIENTES!Y239+COMEDOR!Y239+JORNADA!Y239+'DIETOLOGÍA(S)'!Y239)</f>
        <v>0</v>
      </c>
      <c r="Z239" s="77">
        <f>SUM(PACIENTES!Z239+COMEDOR!Z239+JORNADA!Z239+'DIETOLOGÍA(S)'!Z239)</f>
        <v>0</v>
      </c>
      <c r="AA239" s="77">
        <f>SUM(PACIENTES!AA239+COMEDOR!AA239+JORNADA!AA239+'DIETOLOGÍA(S)'!AA239)</f>
        <v>0</v>
      </c>
      <c r="AB239" s="77">
        <f>SUM(PACIENTES!AB239+COMEDOR!AB239+JORNADA!AB239+'DIETOLOGÍA(S)'!AB239)</f>
        <v>0</v>
      </c>
      <c r="AC239" s="77">
        <f>SUM(PACIENTES!AC239+COMEDOR!AC239+JORNADA!AC239+'DIETOLOGÍA(S)'!AC239)</f>
        <v>0</v>
      </c>
      <c r="AD239" s="77">
        <f>SUM(PACIENTES!AD239+COMEDOR!AD239+JORNADA!AD239+'DIETOLOGÍA(S)'!AD239)</f>
        <v>0</v>
      </c>
      <c r="AE239" s="77">
        <f>SUM(PACIENTES!AE239+COMEDOR!AE239+JORNADA!AE239+'DIETOLOGÍA(S)'!AE239)</f>
        <v>0</v>
      </c>
      <c r="AF239" s="77">
        <f>SUM(PACIENTES!AF239+COMEDOR!AF239+JORNADA!AF239+'DIETOLOGÍA(S)'!AF239)</f>
        <v>0</v>
      </c>
      <c r="AG239" s="77">
        <f>SUM(PACIENTES!AG239+COMEDOR!AG239+JORNADA!AG239+'DIETOLOGÍA(S)'!AG239)</f>
        <v>0</v>
      </c>
      <c r="AH239" s="77">
        <f>SUM(PACIENTES!AH239+COMEDOR!AH239+JORNADA!AH239+'DIETOLOGÍA(S)'!AH239)</f>
        <v>0</v>
      </c>
      <c r="AI239" s="9">
        <f t="shared" si="9"/>
        <v>0</v>
      </c>
    </row>
    <row r="240" spans="1:35" ht="15.75" customHeight="1">
      <c r="A240" s="193">
        <v>2212009017</v>
      </c>
      <c r="B240" s="195" t="s">
        <v>249</v>
      </c>
      <c r="C240" s="196" t="s">
        <v>6</v>
      </c>
      <c r="D240" s="6">
        <f>SUM(PACIENTES!D240+COMEDOR!D240+JORNADA!D240+'DIETOLOGÍA(S)'!D240)</f>
        <v>0</v>
      </c>
      <c r="E240" s="6">
        <f>SUM(PACIENTES!E240+COMEDOR!E240+JORNADA!E240+'DIETOLOGÍA(S)'!E240)</f>
        <v>0</v>
      </c>
      <c r="F240" s="6">
        <f>SUM(PACIENTES!F240+COMEDOR!F240+JORNADA!F240+'DIETOLOGÍA(S)'!F240)</f>
        <v>0</v>
      </c>
      <c r="G240" s="6">
        <f>SUM(PACIENTES!G240+COMEDOR!G240+JORNADA!G240+'DIETOLOGÍA(S)'!G240)</f>
        <v>0</v>
      </c>
      <c r="H240" s="6">
        <f>SUM(PACIENTES!H240+COMEDOR!H240+JORNADA!H240+'DIETOLOGÍA(S)'!H240)</f>
        <v>0</v>
      </c>
      <c r="I240" s="6">
        <f>SUM(PACIENTES!I240+COMEDOR!I240+JORNADA!I240+'DIETOLOGÍA(S)'!I240)</f>
        <v>0</v>
      </c>
      <c r="J240" s="6">
        <f>SUM(PACIENTES!J240+COMEDOR!J240+JORNADA!J240+'DIETOLOGÍA(S)'!J240)</f>
        <v>0</v>
      </c>
      <c r="K240" s="6">
        <f>SUM(PACIENTES!K240+COMEDOR!K240+JORNADA!K240+'DIETOLOGÍA(S)'!K240)</f>
        <v>0</v>
      </c>
      <c r="L240" s="6">
        <f>SUM(PACIENTES!L240+COMEDOR!L240+JORNADA!L240+'DIETOLOGÍA(S)'!L240)</f>
        <v>0</v>
      </c>
      <c r="M240" s="6">
        <f>SUM(PACIENTES!M240+COMEDOR!M240+JORNADA!M240+'DIETOLOGÍA(S)'!M240)</f>
        <v>0</v>
      </c>
      <c r="N240" s="6">
        <f>SUM(PACIENTES!N240+COMEDOR!N240+JORNADA!N240+'DIETOLOGÍA(S)'!N240)</f>
        <v>0</v>
      </c>
      <c r="O240" s="6">
        <f>SUM(PACIENTES!O240+COMEDOR!O240+JORNADA!O240+'DIETOLOGÍA(S)'!O240)</f>
        <v>0</v>
      </c>
      <c r="P240" s="6">
        <f>SUM(PACIENTES!P240+COMEDOR!P240+JORNADA!P240+'DIETOLOGÍA(S)'!P240)</f>
        <v>0</v>
      </c>
      <c r="Q240" s="6">
        <f>SUM(PACIENTES!Q240+COMEDOR!Q240+JORNADA!Q240+'DIETOLOGÍA(S)'!Q240)</f>
        <v>0</v>
      </c>
      <c r="R240" s="6">
        <f>SUM(PACIENTES!R240+COMEDOR!R240+JORNADA!R240+'DIETOLOGÍA(S)'!R240)</f>
        <v>0</v>
      </c>
      <c r="S240" s="6">
        <f>SUM(PACIENTES!S240+COMEDOR!S240+JORNADA!S240+'DIETOLOGÍA(S)'!S240)</f>
        <v>0</v>
      </c>
      <c r="T240" s="6">
        <f>SUM(PACIENTES!T240+COMEDOR!T240+JORNADA!T240+'DIETOLOGÍA(S)'!T240)</f>
        <v>0</v>
      </c>
      <c r="U240" s="6">
        <f>SUM(PACIENTES!U240+COMEDOR!U240+JORNADA!U240+'DIETOLOGÍA(S)'!U240)</f>
        <v>0</v>
      </c>
      <c r="V240" s="6">
        <f>SUM(PACIENTES!V240+COMEDOR!V240+JORNADA!V240+'DIETOLOGÍA(S)'!V240)</f>
        <v>0</v>
      </c>
      <c r="W240" s="6">
        <f>SUM(PACIENTES!W240+COMEDOR!W240+JORNADA!W240+'DIETOLOGÍA(S)'!W240)</f>
        <v>0</v>
      </c>
      <c r="X240" s="6">
        <f>SUM(PACIENTES!X240+COMEDOR!X240+JORNADA!X240+'DIETOLOGÍA(S)'!X240)</f>
        <v>0</v>
      </c>
      <c r="Y240" s="6">
        <f>SUM(PACIENTES!Y240+COMEDOR!Y240+JORNADA!Y240+'DIETOLOGÍA(S)'!Y240)</f>
        <v>0</v>
      </c>
      <c r="Z240" s="6">
        <f>SUM(PACIENTES!Z240+COMEDOR!Z240+JORNADA!Z240+'DIETOLOGÍA(S)'!Z240)</f>
        <v>0</v>
      </c>
      <c r="AA240" s="6">
        <f>SUM(PACIENTES!AA240+COMEDOR!AA240+JORNADA!AA240+'DIETOLOGÍA(S)'!AA240)</f>
        <v>0</v>
      </c>
      <c r="AB240" s="6">
        <f>SUM(PACIENTES!AB240+COMEDOR!AB240+JORNADA!AB240+'DIETOLOGÍA(S)'!AB240)</f>
        <v>0</v>
      </c>
      <c r="AC240" s="6">
        <f>SUM(PACIENTES!AC240+COMEDOR!AC240+JORNADA!AC240+'DIETOLOGÍA(S)'!AC240)</f>
        <v>0</v>
      </c>
      <c r="AD240" s="6">
        <f>SUM(PACIENTES!AD240+COMEDOR!AD240+JORNADA!AD240+'DIETOLOGÍA(S)'!AD240)</f>
        <v>0</v>
      </c>
      <c r="AE240" s="6">
        <f>SUM(PACIENTES!AE240+COMEDOR!AE240+JORNADA!AE240+'DIETOLOGÍA(S)'!AE240)</f>
        <v>0</v>
      </c>
      <c r="AF240" s="6">
        <f>SUM(PACIENTES!AF240+COMEDOR!AF240+JORNADA!AF240+'DIETOLOGÍA(S)'!AF240)</f>
        <v>0</v>
      </c>
      <c r="AG240" s="6">
        <f>SUM(PACIENTES!AG240+COMEDOR!AG240+JORNADA!AG240+'DIETOLOGÍA(S)'!AG240)</f>
        <v>0</v>
      </c>
      <c r="AH240" s="6">
        <f>SUM(PACIENTES!AH240+COMEDOR!AH240+JORNADA!AH240+'DIETOLOGÍA(S)'!AH240)</f>
        <v>0</v>
      </c>
      <c r="AI240" s="9">
        <f t="shared" si="9"/>
        <v>0</v>
      </c>
    </row>
    <row r="241" spans="1:35" ht="15.75" customHeight="1">
      <c r="A241" s="193">
        <v>2212009018</v>
      </c>
      <c r="B241" s="195" t="s">
        <v>250</v>
      </c>
      <c r="C241" s="196" t="s">
        <v>6</v>
      </c>
      <c r="D241" s="7">
        <f>SUM(PACIENTES!D241+COMEDOR!D241+JORNADA!D241+'DIETOLOGÍA(S)'!D241)</f>
        <v>0</v>
      </c>
      <c r="E241" s="7">
        <f>SUM(PACIENTES!E241+COMEDOR!E241+JORNADA!E241+'DIETOLOGÍA(S)'!E241)</f>
        <v>0</v>
      </c>
      <c r="F241" s="7">
        <f>SUM(PACIENTES!F241+COMEDOR!F241+JORNADA!F241+'DIETOLOGÍA(S)'!F241)</f>
        <v>0</v>
      </c>
      <c r="G241" s="7">
        <f>SUM(PACIENTES!G241+COMEDOR!G241+JORNADA!G241+'DIETOLOGÍA(S)'!G241)</f>
        <v>0</v>
      </c>
      <c r="H241" s="7">
        <f>SUM(PACIENTES!H241+COMEDOR!H241+JORNADA!H241+'DIETOLOGÍA(S)'!H241)</f>
        <v>0</v>
      </c>
      <c r="I241" s="7">
        <f>SUM(PACIENTES!I241+COMEDOR!I241+JORNADA!I241+'DIETOLOGÍA(S)'!I241)</f>
        <v>0</v>
      </c>
      <c r="J241" s="7">
        <f>SUM(PACIENTES!J241+COMEDOR!J241+JORNADA!J241+'DIETOLOGÍA(S)'!J241)</f>
        <v>0</v>
      </c>
      <c r="K241" s="7">
        <f>SUM(PACIENTES!K241+COMEDOR!K241+JORNADA!K241+'DIETOLOGÍA(S)'!K241)</f>
        <v>0</v>
      </c>
      <c r="L241" s="7">
        <f>SUM(PACIENTES!L241+COMEDOR!L241+JORNADA!L241+'DIETOLOGÍA(S)'!L241)</f>
        <v>0</v>
      </c>
      <c r="M241" s="7">
        <f>SUM(PACIENTES!M241+COMEDOR!M241+JORNADA!M241+'DIETOLOGÍA(S)'!M241)</f>
        <v>0</v>
      </c>
      <c r="N241" s="7">
        <f>SUM(PACIENTES!N241+COMEDOR!N241+JORNADA!N241+'DIETOLOGÍA(S)'!N241)</f>
        <v>0</v>
      </c>
      <c r="O241" s="7">
        <f>SUM(PACIENTES!O241+COMEDOR!O241+JORNADA!O241+'DIETOLOGÍA(S)'!O241)</f>
        <v>0</v>
      </c>
      <c r="P241" s="7">
        <f>SUM(PACIENTES!P241+COMEDOR!P241+JORNADA!P241+'DIETOLOGÍA(S)'!P241)</f>
        <v>0</v>
      </c>
      <c r="Q241" s="7">
        <f>SUM(PACIENTES!Q241+COMEDOR!Q241+JORNADA!Q241+'DIETOLOGÍA(S)'!Q241)</f>
        <v>0</v>
      </c>
      <c r="R241" s="7">
        <f>SUM(PACIENTES!R241+COMEDOR!R241+JORNADA!R241+'DIETOLOGÍA(S)'!R241)</f>
        <v>0</v>
      </c>
      <c r="S241" s="7">
        <f>SUM(PACIENTES!S241+COMEDOR!S241+JORNADA!S241+'DIETOLOGÍA(S)'!S241)</f>
        <v>0</v>
      </c>
      <c r="T241" s="7">
        <f>SUM(PACIENTES!T241+COMEDOR!T241+JORNADA!T241+'DIETOLOGÍA(S)'!T241)</f>
        <v>0</v>
      </c>
      <c r="U241" s="7">
        <f>SUM(PACIENTES!U241+COMEDOR!U241+JORNADA!U241+'DIETOLOGÍA(S)'!U241)</f>
        <v>0</v>
      </c>
      <c r="V241" s="7">
        <f>SUM(PACIENTES!V241+COMEDOR!V241+JORNADA!V241+'DIETOLOGÍA(S)'!V241)</f>
        <v>0</v>
      </c>
      <c r="W241" s="7">
        <f>SUM(PACIENTES!W241+COMEDOR!W241+JORNADA!W241+'DIETOLOGÍA(S)'!W241)</f>
        <v>0</v>
      </c>
      <c r="X241" s="7">
        <f>SUM(PACIENTES!X241+COMEDOR!X241+JORNADA!X241+'DIETOLOGÍA(S)'!X241)</f>
        <v>0</v>
      </c>
      <c r="Y241" s="7">
        <f>SUM(PACIENTES!Y241+COMEDOR!Y241+JORNADA!Y241+'DIETOLOGÍA(S)'!Y241)</f>
        <v>0</v>
      </c>
      <c r="Z241" s="7">
        <f>SUM(PACIENTES!Z241+COMEDOR!Z241+JORNADA!Z241+'DIETOLOGÍA(S)'!Z241)</f>
        <v>0</v>
      </c>
      <c r="AA241" s="7">
        <f>SUM(PACIENTES!AA241+COMEDOR!AA241+JORNADA!AA241+'DIETOLOGÍA(S)'!AA241)</f>
        <v>0</v>
      </c>
      <c r="AB241" s="7">
        <f>SUM(PACIENTES!AB241+COMEDOR!AB241+JORNADA!AB241+'DIETOLOGÍA(S)'!AB241)</f>
        <v>0</v>
      </c>
      <c r="AC241" s="7">
        <f>SUM(PACIENTES!AC241+COMEDOR!AC241+JORNADA!AC241+'DIETOLOGÍA(S)'!AC241)</f>
        <v>0</v>
      </c>
      <c r="AD241" s="7">
        <f>SUM(PACIENTES!AD241+COMEDOR!AD241+JORNADA!AD241+'DIETOLOGÍA(S)'!AD241)</f>
        <v>0</v>
      </c>
      <c r="AE241" s="7">
        <f>SUM(PACIENTES!AE241+COMEDOR!AE241+JORNADA!AE241+'DIETOLOGÍA(S)'!AE241)</f>
        <v>0</v>
      </c>
      <c r="AF241" s="7">
        <f>SUM(PACIENTES!AF241+COMEDOR!AF241+JORNADA!AF241+'DIETOLOGÍA(S)'!AF241)</f>
        <v>0</v>
      </c>
      <c r="AG241" s="7">
        <f>SUM(PACIENTES!AG241+COMEDOR!AG241+JORNADA!AG241+'DIETOLOGÍA(S)'!AG241)</f>
        <v>0</v>
      </c>
      <c r="AH241" s="7">
        <f>SUM(PACIENTES!AH241+COMEDOR!AH241+JORNADA!AH241+'DIETOLOGÍA(S)'!AH241)</f>
        <v>0</v>
      </c>
      <c r="AI241" s="9">
        <f t="shared" si="9"/>
        <v>0</v>
      </c>
    </row>
    <row r="242" spans="1:35" ht="15.75" customHeight="1">
      <c r="A242" s="193">
        <v>2212009019</v>
      </c>
      <c r="B242" s="195" t="s">
        <v>251</v>
      </c>
      <c r="C242" s="196" t="s">
        <v>6</v>
      </c>
      <c r="D242" s="7">
        <f>SUM(PACIENTES!D242+COMEDOR!D242+JORNADA!D242+'DIETOLOGÍA(S)'!D242)</f>
        <v>0</v>
      </c>
      <c r="E242" s="7">
        <f>SUM(PACIENTES!E242+COMEDOR!E242+JORNADA!E242+'DIETOLOGÍA(S)'!E242)</f>
        <v>0</v>
      </c>
      <c r="F242" s="7">
        <f>SUM(PACIENTES!F242+COMEDOR!F242+JORNADA!F242+'DIETOLOGÍA(S)'!F242)</f>
        <v>0</v>
      </c>
      <c r="G242" s="7">
        <f>SUM(PACIENTES!G242+COMEDOR!G242+JORNADA!G242+'DIETOLOGÍA(S)'!G242)</f>
        <v>0</v>
      </c>
      <c r="H242" s="7">
        <f>SUM(PACIENTES!H242+COMEDOR!H242+JORNADA!H242+'DIETOLOGÍA(S)'!H242)</f>
        <v>0</v>
      </c>
      <c r="I242" s="7">
        <f>SUM(PACIENTES!I242+COMEDOR!I242+JORNADA!I242+'DIETOLOGÍA(S)'!I242)</f>
        <v>0</v>
      </c>
      <c r="J242" s="7">
        <f>SUM(PACIENTES!J242+COMEDOR!J242+JORNADA!J242+'DIETOLOGÍA(S)'!J242)</f>
        <v>0</v>
      </c>
      <c r="K242" s="7">
        <f>SUM(PACIENTES!K242+COMEDOR!K242+JORNADA!K242+'DIETOLOGÍA(S)'!K242)</f>
        <v>0</v>
      </c>
      <c r="L242" s="7">
        <f>SUM(PACIENTES!L242+COMEDOR!L242+JORNADA!L242+'DIETOLOGÍA(S)'!L242)</f>
        <v>0</v>
      </c>
      <c r="M242" s="7">
        <f>SUM(PACIENTES!M242+COMEDOR!M242+JORNADA!M242+'DIETOLOGÍA(S)'!M242)</f>
        <v>0</v>
      </c>
      <c r="N242" s="7">
        <f>SUM(PACIENTES!N242+COMEDOR!N242+JORNADA!N242+'DIETOLOGÍA(S)'!N242)</f>
        <v>0</v>
      </c>
      <c r="O242" s="7">
        <f>SUM(PACIENTES!O242+COMEDOR!O242+JORNADA!O242+'DIETOLOGÍA(S)'!O242)</f>
        <v>0</v>
      </c>
      <c r="P242" s="7">
        <f>SUM(PACIENTES!P242+COMEDOR!P242+JORNADA!P242+'DIETOLOGÍA(S)'!P242)</f>
        <v>0</v>
      </c>
      <c r="Q242" s="7">
        <f>SUM(PACIENTES!Q242+COMEDOR!Q242+JORNADA!Q242+'DIETOLOGÍA(S)'!Q242)</f>
        <v>0</v>
      </c>
      <c r="R242" s="7">
        <f>SUM(PACIENTES!R242+COMEDOR!R242+JORNADA!R242+'DIETOLOGÍA(S)'!R242)</f>
        <v>0</v>
      </c>
      <c r="S242" s="7">
        <f>SUM(PACIENTES!S242+COMEDOR!S242+JORNADA!S242+'DIETOLOGÍA(S)'!S242)</f>
        <v>0</v>
      </c>
      <c r="T242" s="7">
        <f>SUM(PACIENTES!T242+COMEDOR!T242+JORNADA!T242+'DIETOLOGÍA(S)'!T242)</f>
        <v>0</v>
      </c>
      <c r="U242" s="7">
        <f>SUM(PACIENTES!U242+COMEDOR!U242+JORNADA!U242+'DIETOLOGÍA(S)'!U242)</f>
        <v>0</v>
      </c>
      <c r="V242" s="7">
        <f>SUM(PACIENTES!V242+COMEDOR!V242+JORNADA!V242+'DIETOLOGÍA(S)'!V242)</f>
        <v>0</v>
      </c>
      <c r="W242" s="7">
        <f>SUM(PACIENTES!W242+COMEDOR!W242+JORNADA!W242+'DIETOLOGÍA(S)'!W242)</f>
        <v>0</v>
      </c>
      <c r="X242" s="7">
        <f>SUM(PACIENTES!X242+COMEDOR!X242+JORNADA!X242+'DIETOLOGÍA(S)'!X242)</f>
        <v>0</v>
      </c>
      <c r="Y242" s="7">
        <f>SUM(PACIENTES!Y242+COMEDOR!Y242+JORNADA!Y242+'DIETOLOGÍA(S)'!Y242)</f>
        <v>0</v>
      </c>
      <c r="Z242" s="7">
        <f>SUM(PACIENTES!Z242+COMEDOR!Z242+JORNADA!Z242+'DIETOLOGÍA(S)'!Z242)</f>
        <v>0</v>
      </c>
      <c r="AA242" s="7">
        <f>SUM(PACIENTES!AA242+COMEDOR!AA242+JORNADA!AA242+'DIETOLOGÍA(S)'!AA242)</f>
        <v>0</v>
      </c>
      <c r="AB242" s="7">
        <f>SUM(PACIENTES!AB242+COMEDOR!AB242+JORNADA!AB242+'DIETOLOGÍA(S)'!AB242)</f>
        <v>0</v>
      </c>
      <c r="AC242" s="7">
        <f>SUM(PACIENTES!AC242+COMEDOR!AC242+JORNADA!AC242+'DIETOLOGÍA(S)'!AC242)</f>
        <v>0</v>
      </c>
      <c r="AD242" s="7">
        <f>SUM(PACIENTES!AD242+COMEDOR!AD242+JORNADA!AD242+'DIETOLOGÍA(S)'!AD242)</f>
        <v>0</v>
      </c>
      <c r="AE242" s="7">
        <f>SUM(PACIENTES!AE242+COMEDOR!AE242+JORNADA!AE242+'DIETOLOGÍA(S)'!AE242)</f>
        <v>0</v>
      </c>
      <c r="AF242" s="7">
        <f>SUM(PACIENTES!AF242+COMEDOR!AF242+JORNADA!AF242+'DIETOLOGÍA(S)'!AF242)</f>
        <v>0</v>
      </c>
      <c r="AG242" s="7">
        <f>SUM(PACIENTES!AG242+COMEDOR!AG242+JORNADA!AG242+'DIETOLOGÍA(S)'!AG242)</f>
        <v>0</v>
      </c>
      <c r="AH242" s="7">
        <f>SUM(PACIENTES!AH242+COMEDOR!AH242+JORNADA!AH242+'DIETOLOGÍA(S)'!AH242)</f>
        <v>0</v>
      </c>
      <c r="AI242" s="9">
        <f t="shared" si="9"/>
        <v>0</v>
      </c>
    </row>
    <row r="243" spans="1:35" ht="15.75" customHeight="1">
      <c r="A243" s="193">
        <v>2212009020</v>
      </c>
      <c r="B243" s="195" t="s">
        <v>252</v>
      </c>
      <c r="C243" s="196" t="s">
        <v>6</v>
      </c>
      <c r="D243" s="7">
        <f>SUM(PACIENTES!D243+COMEDOR!D243+JORNADA!D243+'DIETOLOGÍA(S)'!D243)</f>
        <v>0</v>
      </c>
      <c r="E243" s="7">
        <f>SUM(PACIENTES!E243+COMEDOR!E243+JORNADA!E243+'DIETOLOGÍA(S)'!E243)</f>
        <v>0</v>
      </c>
      <c r="F243" s="7">
        <f>SUM(PACIENTES!F243+COMEDOR!F243+JORNADA!F243+'DIETOLOGÍA(S)'!F243)</f>
        <v>0</v>
      </c>
      <c r="G243" s="7">
        <f>SUM(PACIENTES!G243+COMEDOR!G243+JORNADA!G243+'DIETOLOGÍA(S)'!G243)</f>
        <v>0</v>
      </c>
      <c r="H243" s="7">
        <f>SUM(PACIENTES!H243+COMEDOR!H243+JORNADA!H243+'DIETOLOGÍA(S)'!H243)</f>
        <v>0</v>
      </c>
      <c r="I243" s="7">
        <f>SUM(PACIENTES!I243+COMEDOR!I243+JORNADA!I243+'DIETOLOGÍA(S)'!I243)</f>
        <v>0</v>
      </c>
      <c r="J243" s="7">
        <f>SUM(PACIENTES!J243+COMEDOR!J243+JORNADA!J243+'DIETOLOGÍA(S)'!J243)</f>
        <v>0</v>
      </c>
      <c r="K243" s="7">
        <f>SUM(PACIENTES!K243+COMEDOR!K243+JORNADA!K243+'DIETOLOGÍA(S)'!K243)</f>
        <v>0</v>
      </c>
      <c r="L243" s="7">
        <f>SUM(PACIENTES!L243+COMEDOR!L243+JORNADA!L243+'DIETOLOGÍA(S)'!L243)</f>
        <v>0</v>
      </c>
      <c r="M243" s="7">
        <f>SUM(PACIENTES!M243+COMEDOR!M243+JORNADA!M243+'DIETOLOGÍA(S)'!M243)</f>
        <v>0</v>
      </c>
      <c r="N243" s="7">
        <f>SUM(PACIENTES!N243+COMEDOR!N243+JORNADA!N243+'DIETOLOGÍA(S)'!N243)</f>
        <v>0</v>
      </c>
      <c r="O243" s="7">
        <f>SUM(PACIENTES!O243+COMEDOR!O243+JORNADA!O243+'DIETOLOGÍA(S)'!O243)</f>
        <v>0</v>
      </c>
      <c r="P243" s="7">
        <f>SUM(PACIENTES!P243+COMEDOR!P243+JORNADA!P243+'DIETOLOGÍA(S)'!P243)</f>
        <v>0</v>
      </c>
      <c r="Q243" s="7">
        <f>SUM(PACIENTES!Q243+COMEDOR!Q243+JORNADA!Q243+'DIETOLOGÍA(S)'!Q243)</f>
        <v>0</v>
      </c>
      <c r="R243" s="7">
        <f>SUM(PACIENTES!R243+COMEDOR!R243+JORNADA!R243+'DIETOLOGÍA(S)'!R243)</f>
        <v>0</v>
      </c>
      <c r="S243" s="7">
        <f>SUM(PACIENTES!S243+COMEDOR!S243+JORNADA!S243+'DIETOLOGÍA(S)'!S243)</f>
        <v>0</v>
      </c>
      <c r="T243" s="7">
        <f>SUM(PACIENTES!T243+COMEDOR!T243+JORNADA!T243+'DIETOLOGÍA(S)'!T243)</f>
        <v>0</v>
      </c>
      <c r="U243" s="7">
        <f>SUM(PACIENTES!U243+COMEDOR!U243+JORNADA!U243+'DIETOLOGÍA(S)'!U243)</f>
        <v>0</v>
      </c>
      <c r="V243" s="7">
        <f>SUM(PACIENTES!V243+COMEDOR!V243+JORNADA!V243+'DIETOLOGÍA(S)'!V243)</f>
        <v>0</v>
      </c>
      <c r="W243" s="7">
        <f>SUM(PACIENTES!W243+COMEDOR!W243+JORNADA!W243+'DIETOLOGÍA(S)'!W243)</f>
        <v>0</v>
      </c>
      <c r="X243" s="7">
        <f>SUM(PACIENTES!X243+COMEDOR!X243+JORNADA!X243+'DIETOLOGÍA(S)'!X243)</f>
        <v>0</v>
      </c>
      <c r="Y243" s="7">
        <f>SUM(PACIENTES!Y243+COMEDOR!Y243+JORNADA!Y243+'DIETOLOGÍA(S)'!Y243)</f>
        <v>0</v>
      </c>
      <c r="Z243" s="7">
        <f>SUM(PACIENTES!Z243+COMEDOR!Z243+JORNADA!Z243+'DIETOLOGÍA(S)'!Z243)</f>
        <v>0</v>
      </c>
      <c r="AA243" s="7">
        <f>SUM(PACIENTES!AA243+COMEDOR!AA243+JORNADA!AA243+'DIETOLOGÍA(S)'!AA243)</f>
        <v>0</v>
      </c>
      <c r="AB243" s="7">
        <f>SUM(PACIENTES!AB243+COMEDOR!AB243+JORNADA!AB243+'DIETOLOGÍA(S)'!AB243)</f>
        <v>0</v>
      </c>
      <c r="AC243" s="7">
        <f>SUM(PACIENTES!AC243+COMEDOR!AC243+JORNADA!AC243+'DIETOLOGÍA(S)'!AC243)</f>
        <v>0</v>
      </c>
      <c r="AD243" s="7">
        <f>SUM(PACIENTES!AD243+COMEDOR!AD243+JORNADA!AD243+'DIETOLOGÍA(S)'!AD243)</f>
        <v>0</v>
      </c>
      <c r="AE243" s="7">
        <f>SUM(PACIENTES!AE243+COMEDOR!AE243+JORNADA!AE243+'DIETOLOGÍA(S)'!AE243)</f>
        <v>0</v>
      </c>
      <c r="AF243" s="7">
        <f>SUM(PACIENTES!AF243+COMEDOR!AF243+JORNADA!AF243+'DIETOLOGÍA(S)'!AF243)</f>
        <v>0</v>
      </c>
      <c r="AG243" s="7">
        <f>SUM(PACIENTES!AG243+COMEDOR!AG243+JORNADA!AG243+'DIETOLOGÍA(S)'!AG243)</f>
        <v>0</v>
      </c>
      <c r="AH243" s="7">
        <f>SUM(PACIENTES!AH243+COMEDOR!AH243+JORNADA!AH243+'DIETOLOGÍA(S)'!AH243)</f>
        <v>0</v>
      </c>
      <c r="AI243" s="9">
        <f t="shared" si="9"/>
        <v>0</v>
      </c>
    </row>
    <row r="244" spans="1:35" ht="15.75" customHeight="1">
      <c r="A244" s="193">
        <v>2212009021</v>
      </c>
      <c r="B244" s="195" t="s">
        <v>253</v>
      </c>
      <c r="C244" s="196" t="s">
        <v>6</v>
      </c>
      <c r="D244" s="7">
        <f>SUM(PACIENTES!D244+COMEDOR!D244+JORNADA!D244+'DIETOLOGÍA(S)'!D244)</f>
        <v>32</v>
      </c>
      <c r="E244" s="7">
        <f>SUM(PACIENTES!E244+COMEDOR!E244+JORNADA!E244+'DIETOLOGÍA(S)'!E244)</f>
        <v>32</v>
      </c>
      <c r="F244" s="7">
        <f>SUM(PACIENTES!F244+COMEDOR!F244+JORNADA!F244+'DIETOLOGÍA(S)'!F244)</f>
        <v>55</v>
      </c>
      <c r="G244" s="7">
        <f>SUM(PACIENTES!G244+COMEDOR!G244+JORNADA!G244+'DIETOLOGÍA(S)'!G244)</f>
        <v>37</v>
      </c>
      <c r="H244" s="7">
        <f>SUM(PACIENTES!H244+COMEDOR!H244+JORNADA!H244+'DIETOLOGÍA(S)'!H244)</f>
        <v>19</v>
      </c>
      <c r="I244" s="7">
        <f>SUM(PACIENTES!I244+COMEDOR!I244+JORNADA!I244+'DIETOLOGÍA(S)'!I244)</f>
        <v>39</v>
      </c>
      <c r="J244" s="7">
        <f>SUM(PACIENTES!J244+COMEDOR!J244+JORNADA!J244+'DIETOLOGÍA(S)'!J244)</f>
        <v>47</v>
      </c>
      <c r="K244" s="7">
        <f>SUM(PACIENTES!K244+COMEDOR!K244+JORNADA!K244+'DIETOLOGÍA(S)'!K244)</f>
        <v>49</v>
      </c>
      <c r="L244" s="7">
        <f>SUM(PACIENTES!L244+COMEDOR!L244+JORNADA!L244+'DIETOLOGÍA(S)'!L244)</f>
        <v>39</v>
      </c>
      <c r="M244" s="7">
        <f>SUM(PACIENTES!M244+COMEDOR!M244+JORNADA!M244+'DIETOLOGÍA(S)'!M244)</f>
        <v>47</v>
      </c>
      <c r="N244" s="7">
        <f>SUM(PACIENTES!N244+COMEDOR!N244+JORNADA!N244+'DIETOLOGÍA(S)'!N244)</f>
        <v>37</v>
      </c>
      <c r="O244" s="7">
        <f>SUM(PACIENTES!O244+COMEDOR!O244+JORNADA!O244+'DIETOLOGÍA(S)'!O244)</f>
        <v>47</v>
      </c>
      <c r="P244" s="7">
        <f>SUM(PACIENTES!P244+COMEDOR!P244+JORNADA!P244+'DIETOLOGÍA(S)'!P244)</f>
        <v>39</v>
      </c>
      <c r="Q244" s="7">
        <f>SUM(PACIENTES!Q244+COMEDOR!Q244+JORNADA!Q244+'DIETOLOGÍA(S)'!Q244)</f>
        <v>47</v>
      </c>
      <c r="R244" s="7">
        <f>SUM(PACIENTES!R244+COMEDOR!R244+JORNADA!R244+'DIETOLOGÍA(S)'!R244)</f>
        <v>19</v>
      </c>
      <c r="S244" s="7">
        <f>SUM(PACIENTES!S244+COMEDOR!S244+JORNADA!S244+'DIETOLOGÍA(S)'!S244)</f>
        <v>39</v>
      </c>
      <c r="T244" s="7">
        <f>SUM(PACIENTES!T244+COMEDOR!T244+JORNADA!T244+'DIETOLOGÍA(S)'!T244)</f>
        <v>65</v>
      </c>
      <c r="U244" s="7">
        <f>SUM(PACIENTES!U244+COMEDOR!U244+JORNADA!U244+'DIETOLOGÍA(S)'!U244)</f>
        <v>37</v>
      </c>
      <c r="V244" s="7">
        <f>SUM(PACIENTES!V244+COMEDOR!V244+JORNADA!V244+'DIETOLOGÍA(S)'!V244)</f>
        <v>39</v>
      </c>
      <c r="W244" s="7">
        <f>SUM(PACIENTES!W244+COMEDOR!W244+JORNADA!W244+'DIETOLOGÍA(S)'!W244)</f>
        <v>29</v>
      </c>
      <c r="X244" s="7">
        <f>SUM(PACIENTES!X244+COMEDOR!X244+JORNADA!X244+'DIETOLOGÍA(S)'!X244)</f>
        <v>47</v>
      </c>
      <c r="Y244" s="7">
        <f>SUM(PACIENTES!Y244+COMEDOR!Y244+JORNADA!Y244+'DIETOLOGÍA(S)'!Y244)</f>
        <v>49</v>
      </c>
      <c r="Z244" s="7">
        <f>SUM(PACIENTES!Z244+COMEDOR!Z244+JORNADA!Z244+'DIETOLOGÍA(S)'!Z244)</f>
        <v>39</v>
      </c>
      <c r="AA244" s="7">
        <f>SUM(PACIENTES!AA244+COMEDOR!AA244+JORNADA!AA244+'DIETOLOGÍA(S)'!AA244)</f>
        <v>37</v>
      </c>
      <c r="AB244" s="7">
        <f>SUM(PACIENTES!AB244+COMEDOR!AB244+JORNADA!AB244+'DIETOLOGÍA(S)'!AB244)</f>
        <v>37</v>
      </c>
      <c r="AC244" s="7">
        <f>SUM(PACIENTES!AC244+COMEDOR!AC244+JORNADA!AC244+'DIETOLOGÍA(S)'!AC244)</f>
        <v>39</v>
      </c>
      <c r="AD244" s="7">
        <f>SUM(PACIENTES!AD244+COMEDOR!AD244+JORNADA!AD244+'DIETOLOGÍA(S)'!AD244)</f>
        <v>39</v>
      </c>
      <c r="AE244" s="7">
        <f>SUM(PACIENTES!AE244+COMEDOR!AE244+JORNADA!AE244+'DIETOLOGÍA(S)'!AE244)</f>
        <v>39</v>
      </c>
      <c r="AF244" s="7">
        <f>SUM(PACIENTES!AF244+COMEDOR!AF244+JORNADA!AF244+'DIETOLOGÍA(S)'!AF244)</f>
        <v>39</v>
      </c>
      <c r="AG244" s="7">
        <f>SUM(PACIENTES!AG244+COMEDOR!AG244+JORNADA!AG244+'DIETOLOGÍA(S)'!AG244)</f>
        <v>19</v>
      </c>
      <c r="AH244" s="7">
        <f>SUM(PACIENTES!AH244+COMEDOR!AH244+JORNADA!AH244+'DIETOLOGÍA(S)'!AH244)</f>
        <v>65</v>
      </c>
      <c r="AI244" s="9">
        <f t="shared" si="9"/>
        <v>1243</v>
      </c>
    </row>
    <row r="245" spans="1:35" ht="15.75" customHeight="1">
      <c r="A245" s="193">
        <v>2212009022</v>
      </c>
      <c r="B245" s="195" t="s">
        <v>254</v>
      </c>
      <c r="C245" s="196" t="s">
        <v>6</v>
      </c>
      <c r="D245" s="7">
        <f>SUM(PACIENTES!D245+COMEDOR!D245+JORNADA!D245+'DIETOLOGÍA(S)'!D245)</f>
        <v>0</v>
      </c>
      <c r="E245" s="7">
        <f>SUM(PACIENTES!E245+COMEDOR!E245+JORNADA!E245+'DIETOLOGÍA(S)'!E245)</f>
        <v>0</v>
      </c>
      <c r="F245" s="7">
        <f>SUM(PACIENTES!F245+COMEDOR!F245+JORNADA!F245+'DIETOLOGÍA(S)'!F245)</f>
        <v>0</v>
      </c>
      <c r="G245" s="7">
        <f>SUM(PACIENTES!G245+COMEDOR!G245+JORNADA!G245+'DIETOLOGÍA(S)'!G245)</f>
        <v>0</v>
      </c>
      <c r="H245" s="7">
        <f>SUM(PACIENTES!H245+COMEDOR!H245+JORNADA!H245+'DIETOLOGÍA(S)'!H245)</f>
        <v>0</v>
      </c>
      <c r="I245" s="7">
        <f>SUM(PACIENTES!I245+COMEDOR!I245+JORNADA!I245+'DIETOLOGÍA(S)'!I245)</f>
        <v>0</v>
      </c>
      <c r="J245" s="7">
        <f>SUM(PACIENTES!J245+COMEDOR!J245+JORNADA!J245+'DIETOLOGÍA(S)'!J245)</f>
        <v>0</v>
      </c>
      <c r="K245" s="7">
        <f>SUM(PACIENTES!K245+COMEDOR!K245+JORNADA!K245+'DIETOLOGÍA(S)'!K245)</f>
        <v>16</v>
      </c>
      <c r="L245" s="7">
        <f>SUM(PACIENTES!L245+COMEDOR!L245+JORNADA!L245+'DIETOLOGÍA(S)'!L245)</f>
        <v>0</v>
      </c>
      <c r="M245" s="7">
        <f>SUM(PACIENTES!M245+COMEDOR!M245+JORNADA!M245+'DIETOLOGÍA(S)'!M245)</f>
        <v>0</v>
      </c>
      <c r="N245" s="7">
        <f>SUM(PACIENTES!N245+COMEDOR!N245+JORNADA!N245+'DIETOLOGÍA(S)'!N245)</f>
        <v>0</v>
      </c>
      <c r="O245" s="7">
        <f>SUM(PACIENTES!O245+COMEDOR!O245+JORNADA!O245+'DIETOLOGÍA(S)'!O245)</f>
        <v>0</v>
      </c>
      <c r="P245" s="7">
        <f>SUM(PACIENTES!P245+COMEDOR!P245+JORNADA!P245+'DIETOLOGÍA(S)'!P245)</f>
        <v>0</v>
      </c>
      <c r="Q245" s="7">
        <f>SUM(PACIENTES!Q245+COMEDOR!Q245+JORNADA!Q245+'DIETOLOGÍA(S)'!Q245)</f>
        <v>1</v>
      </c>
      <c r="R245" s="7">
        <f>SUM(PACIENTES!R245+COMEDOR!R245+JORNADA!R245+'DIETOLOGÍA(S)'!R245)</f>
        <v>16</v>
      </c>
      <c r="S245" s="7">
        <f>SUM(PACIENTES!S245+COMEDOR!S245+JORNADA!S245+'DIETOLOGÍA(S)'!S245)</f>
        <v>0</v>
      </c>
      <c r="T245" s="7">
        <f>SUM(PACIENTES!T245+COMEDOR!T245+JORNADA!T245+'DIETOLOGÍA(S)'!T245)</f>
        <v>0</v>
      </c>
      <c r="U245" s="7">
        <f>SUM(PACIENTES!U245+COMEDOR!U245+JORNADA!U245+'DIETOLOGÍA(S)'!U245)</f>
        <v>0</v>
      </c>
      <c r="V245" s="7">
        <f>SUM(PACIENTES!V245+COMEDOR!V245+JORNADA!V245+'DIETOLOGÍA(S)'!V245)</f>
        <v>0</v>
      </c>
      <c r="W245" s="7">
        <f>SUM(PACIENTES!W245+COMEDOR!W245+JORNADA!W245+'DIETOLOGÍA(S)'!W245)</f>
        <v>0</v>
      </c>
      <c r="X245" s="7">
        <f>SUM(PACIENTES!X245+COMEDOR!X245+JORNADA!X245+'DIETOLOGÍA(S)'!X245)</f>
        <v>0</v>
      </c>
      <c r="Y245" s="7">
        <f>SUM(PACIENTES!Y245+COMEDOR!Y245+JORNADA!Y245+'DIETOLOGÍA(S)'!Y245)</f>
        <v>0</v>
      </c>
      <c r="Z245" s="7">
        <f>SUM(PACIENTES!Z245+COMEDOR!Z245+JORNADA!Z245+'DIETOLOGÍA(S)'!Z245)</f>
        <v>16</v>
      </c>
      <c r="AA245" s="7">
        <f>SUM(PACIENTES!AA245+COMEDOR!AA245+JORNADA!AA245+'DIETOLOGÍA(S)'!AA245)</f>
        <v>0</v>
      </c>
      <c r="AB245" s="7">
        <f>SUM(PACIENTES!AB245+COMEDOR!AB245+JORNADA!AB245+'DIETOLOGÍA(S)'!AB245)</f>
        <v>0</v>
      </c>
      <c r="AC245" s="7">
        <f>SUM(PACIENTES!AC245+COMEDOR!AC245+JORNADA!AC245+'DIETOLOGÍA(S)'!AC245)</f>
        <v>0</v>
      </c>
      <c r="AD245" s="7">
        <f>SUM(PACIENTES!AD245+COMEDOR!AD245+JORNADA!AD245+'DIETOLOGÍA(S)'!AD245)</f>
        <v>0</v>
      </c>
      <c r="AE245" s="7">
        <f>SUM(PACIENTES!AE245+COMEDOR!AE245+JORNADA!AE245+'DIETOLOGÍA(S)'!AE245)</f>
        <v>0</v>
      </c>
      <c r="AF245" s="7">
        <f>SUM(PACIENTES!AF245+COMEDOR!AF245+JORNADA!AF245+'DIETOLOGÍA(S)'!AF245)</f>
        <v>0</v>
      </c>
      <c r="AG245" s="7">
        <f>SUM(PACIENTES!AG245+COMEDOR!AG245+JORNADA!AG245+'DIETOLOGÍA(S)'!AG245)</f>
        <v>16</v>
      </c>
      <c r="AH245" s="7">
        <f>SUM(PACIENTES!AH245+COMEDOR!AH245+JORNADA!AH245+'DIETOLOGÍA(S)'!AH245)</f>
        <v>0</v>
      </c>
      <c r="AI245" s="9">
        <f t="shared" si="9"/>
        <v>65</v>
      </c>
    </row>
    <row r="246" spans="1:35" ht="15.75" customHeight="1">
      <c r="A246" s="193">
        <v>2212009023</v>
      </c>
      <c r="B246" s="195" t="s">
        <v>255</v>
      </c>
      <c r="C246" s="196" t="s">
        <v>6</v>
      </c>
      <c r="D246" s="7">
        <f>SUM(PACIENTES!D246+COMEDOR!D246+JORNADA!D246+'DIETOLOGÍA(S)'!D246)</f>
        <v>1</v>
      </c>
      <c r="E246" s="7">
        <f>SUM(PACIENTES!E246+COMEDOR!E246+JORNADA!E246+'DIETOLOGÍA(S)'!E246)</f>
        <v>0</v>
      </c>
      <c r="F246" s="7">
        <f>SUM(PACIENTES!F246+COMEDOR!F246+JORNADA!F246+'DIETOLOGÍA(S)'!F246)</f>
        <v>0</v>
      </c>
      <c r="G246" s="7">
        <f>SUM(PACIENTES!G246+COMEDOR!G246+JORNADA!G246+'DIETOLOGÍA(S)'!G246)</f>
        <v>0</v>
      </c>
      <c r="H246" s="7">
        <f>SUM(PACIENTES!H246+COMEDOR!H246+JORNADA!H246+'DIETOLOGÍA(S)'!H246)</f>
        <v>1</v>
      </c>
      <c r="I246" s="7">
        <f>SUM(PACIENTES!I246+COMEDOR!I246+JORNADA!I246+'DIETOLOGÍA(S)'!I246)</f>
        <v>1</v>
      </c>
      <c r="J246" s="7">
        <f>SUM(PACIENTES!J246+COMEDOR!J246+JORNADA!J246+'DIETOLOGÍA(S)'!J246)</f>
        <v>0</v>
      </c>
      <c r="K246" s="7">
        <f>SUM(PACIENTES!K246+COMEDOR!K246+JORNADA!K246+'DIETOLOGÍA(S)'!K246)</f>
        <v>0</v>
      </c>
      <c r="L246" s="7">
        <f>SUM(PACIENTES!L246+COMEDOR!L246+JORNADA!L246+'DIETOLOGÍA(S)'!L246)</f>
        <v>0</v>
      </c>
      <c r="M246" s="7">
        <f>SUM(PACIENTES!M246+COMEDOR!M246+JORNADA!M246+'DIETOLOGÍA(S)'!M246)</f>
        <v>0</v>
      </c>
      <c r="N246" s="7">
        <f>SUM(PACIENTES!N246+COMEDOR!N246+JORNADA!N246+'DIETOLOGÍA(S)'!N246)</f>
        <v>0</v>
      </c>
      <c r="O246" s="7">
        <f>SUM(PACIENTES!O246+COMEDOR!O246+JORNADA!O246+'DIETOLOGÍA(S)'!O246)</f>
        <v>0</v>
      </c>
      <c r="P246" s="7">
        <f>SUM(PACIENTES!P246+COMEDOR!P246+JORNADA!P246+'DIETOLOGÍA(S)'!P246)</f>
        <v>1</v>
      </c>
      <c r="Q246" s="7">
        <f>SUM(PACIENTES!Q246+COMEDOR!Q246+JORNADA!Q246+'DIETOLOGÍA(S)'!Q246)</f>
        <v>1</v>
      </c>
      <c r="R246" s="7">
        <f>SUM(PACIENTES!R246+COMEDOR!R246+JORNADA!R246+'DIETOLOGÍA(S)'!R246)</f>
        <v>0</v>
      </c>
      <c r="S246" s="7">
        <f>SUM(PACIENTES!S246+COMEDOR!S246+JORNADA!S246+'DIETOLOGÍA(S)'!S246)</f>
        <v>0</v>
      </c>
      <c r="T246" s="7">
        <f>SUM(PACIENTES!T246+COMEDOR!T246+JORNADA!T246+'DIETOLOGÍA(S)'!T246)</f>
        <v>1</v>
      </c>
      <c r="U246" s="7">
        <f>SUM(PACIENTES!U246+COMEDOR!U246+JORNADA!U246+'DIETOLOGÍA(S)'!U246)</f>
        <v>1</v>
      </c>
      <c r="V246" s="7">
        <f>SUM(PACIENTES!V246+COMEDOR!V246+JORNADA!V246+'DIETOLOGÍA(S)'!V246)</f>
        <v>0</v>
      </c>
      <c r="W246" s="7">
        <f>SUM(PACIENTES!W246+COMEDOR!W246+JORNADA!W246+'DIETOLOGÍA(S)'!W246)</f>
        <v>2</v>
      </c>
      <c r="X246" s="7">
        <f>SUM(PACIENTES!X246+COMEDOR!X246+JORNADA!X246+'DIETOLOGÍA(S)'!X246)</f>
        <v>0</v>
      </c>
      <c r="Y246" s="7">
        <f>SUM(PACIENTES!Y246+COMEDOR!Y246+JORNADA!Y246+'DIETOLOGÍA(S)'!Y246)</f>
        <v>1</v>
      </c>
      <c r="Z246" s="7">
        <f>SUM(PACIENTES!Z246+COMEDOR!Z246+JORNADA!Z246+'DIETOLOGÍA(S)'!Z246)</f>
        <v>1</v>
      </c>
      <c r="AA246" s="7">
        <f>SUM(PACIENTES!AA246+COMEDOR!AA246+JORNADA!AA246+'DIETOLOGÍA(S)'!AA246)</f>
        <v>1</v>
      </c>
      <c r="AB246" s="7">
        <f>SUM(PACIENTES!AB246+COMEDOR!AB246+JORNADA!AB246+'DIETOLOGÍA(S)'!AB246)</f>
        <v>0</v>
      </c>
      <c r="AC246" s="7">
        <f>SUM(PACIENTES!AC246+COMEDOR!AC246+JORNADA!AC246+'DIETOLOGÍA(S)'!AC246)</f>
        <v>1</v>
      </c>
      <c r="AD246" s="7">
        <f>SUM(PACIENTES!AD246+COMEDOR!AD246+JORNADA!AD246+'DIETOLOGÍA(S)'!AD246)</f>
        <v>1</v>
      </c>
      <c r="AE246" s="7">
        <f>SUM(PACIENTES!AE246+COMEDOR!AE246+JORNADA!AE246+'DIETOLOGÍA(S)'!AE246)</f>
        <v>0</v>
      </c>
      <c r="AF246" s="7">
        <f>SUM(PACIENTES!AF246+COMEDOR!AF246+JORNADA!AF246+'DIETOLOGÍA(S)'!AF246)</f>
        <v>0</v>
      </c>
      <c r="AG246" s="7">
        <f>SUM(PACIENTES!AG246+COMEDOR!AG246+JORNADA!AG246+'DIETOLOGÍA(S)'!AG246)</f>
        <v>0</v>
      </c>
      <c r="AH246" s="7">
        <f>SUM(PACIENTES!AH246+COMEDOR!AH246+JORNADA!AH246+'DIETOLOGÍA(S)'!AH246)</f>
        <v>0</v>
      </c>
      <c r="AI246" s="9">
        <f t="shared" si="9"/>
        <v>14</v>
      </c>
    </row>
    <row r="247" spans="1:35" ht="15.75" customHeight="1">
      <c r="A247" s="193">
        <v>2212009024</v>
      </c>
      <c r="B247" s="195" t="s">
        <v>256</v>
      </c>
      <c r="C247" s="196" t="s">
        <v>6</v>
      </c>
      <c r="D247" s="7">
        <f>SUM(PACIENTES!D247+COMEDOR!D247+JORNADA!D247+'DIETOLOGÍA(S)'!D247)</f>
        <v>0</v>
      </c>
      <c r="E247" s="7">
        <f>SUM(PACIENTES!E247+COMEDOR!E247+JORNADA!E247+'DIETOLOGÍA(S)'!E247)</f>
        <v>0</v>
      </c>
      <c r="F247" s="7">
        <f>SUM(PACIENTES!F247+COMEDOR!F247+JORNADA!F247+'DIETOLOGÍA(S)'!F247)</f>
        <v>0</v>
      </c>
      <c r="G247" s="7">
        <f>SUM(PACIENTES!G247+COMEDOR!G247+JORNADA!G247+'DIETOLOGÍA(S)'!G247)</f>
        <v>0</v>
      </c>
      <c r="H247" s="7">
        <f>SUM(PACIENTES!H247+COMEDOR!H247+JORNADA!H247+'DIETOLOGÍA(S)'!H247)</f>
        <v>0</v>
      </c>
      <c r="I247" s="7">
        <f>SUM(PACIENTES!I247+COMEDOR!I247+JORNADA!I247+'DIETOLOGÍA(S)'!I247)</f>
        <v>0</v>
      </c>
      <c r="J247" s="7">
        <f>SUM(PACIENTES!J247+COMEDOR!J247+JORNADA!J247+'DIETOLOGÍA(S)'!J247)</f>
        <v>0</v>
      </c>
      <c r="K247" s="7">
        <f>SUM(PACIENTES!K247+COMEDOR!K247+JORNADA!K247+'DIETOLOGÍA(S)'!K247)</f>
        <v>0</v>
      </c>
      <c r="L247" s="7">
        <f>SUM(PACIENTES!L247+COMEDOR!L247+JORNADA!L247+'DIETOLOGÍA(S)'!L247)</f>
        <v>0</v>
      </c>
      <c r="M247" s="7">
        <f>SUM(PACIENTES!M247+COMEDOR!M247+JORNADA!M247+'DIETOLOGÍA(S)'!M247)</f>
        <v>0</v>
      </c>
      <c r="N247" s="7">
        <f>SUM(PACIENTES!N247+COMEDOR!N247+JORNADA!N247+'DIETOLOGÍA(S)'!N247)</f>
        <v>0</v>
      </c>
      <c r="O247" s="7">
        <f>SUM(PACIENTES!O247+COMEDOR!O247+JORNADA!O247+'DIETOLOGÍA(S)'!O247)</f>
        <v>0</v>
      </c>
      <c r="P247" s="7">
        <f>SUM(PACIENTES!P247+COMEDOR!P247+JORNADA!P247+'DIETOLOGÍA(S)'!P247)</f>
        <v>0</v>
      </c>
      <c r="Q247" s="7">
        <f>SUM(PACIENTES!Q247+COMEDOR!Q247+JORNADA!Q247+'DIETOLOGÍA(S)'!Q247)</f>
        <v>0</v>
      </c>
      <c r="R247" s="7">
        <f>SUM(PACIENTES!R247+COMEDOR!R247+JORNADA!R247+'DIETOLOGÍA(S)'!R247)</f>
        <v>0</v>
      </c>
      <c r="S247" s="7">
        <f>SUM(PACIENTES!S247+COMEDOR!S247+JORNADA!S247+'DIETOLOGÍA(S)'!S247)</f>
        <v>0</v>
      </c>
      <c r="T247" s="7">
        <f>SUM(PACIENTES!T247+COMEDOR!T247+JORNADA!T247+'DIETOLOGÍA(S)'!T247)</f>
        <v>0</v>
      </c>
      <c r="U247" s="7">
        <f>SUM(PACIENTES!U247+COMEDOR!U247+JORNADA!U247+'DIETOLOGÍA(S)'!U247)</f>
        <v>0</v>
      </c>
      <c r="V247" s="7">
        <f>SUM(PACIENTES!V247+COMEDOR!V247+JORNADA!V247+'DIETOLOGÍA(S)'!V247)</f>
        <v>0</v>
      </c>
      <c r="W247" s="7">
        <f>SUM(PACIENTES!W247+COMEDOR!W247+JORNADA!W247+'DIETOLOGÍA(S)'!W247)</f>
        <v>0</v>
      </c>
      <c r="X247" s="7">
        <f>SUM(PACIENTES!X247+COMEDOR!X247+JORNADA!X247+'DIETOLOGÍA(S)'!X247)</f>
        <v>0</v>
      </c>
      <c r="Y247" s="7">
        <f>SUM(PACIENTES!Y247+COMEDOR!Y247+JORNADA!Y247+'DIETOLOGÍA(S)'!Y247)</f>
        <v>0</v>
      </c>
      <c r="Z247" s="7">
        <f>SUM(PACIENTES!Z247+COMEDOR!Z247+JORNADA!Z247+'DIETOLOGÍA(S)'!Z247)</f>
        <v>0</v>
      </c>
      <c r="AA247" s="7">
        <f>SUM(PACIENTES!AA247+COMEDOR!AA247+JORNADA!AA247+'DIETOLOGÍA(S)'!AA247)</f>
        <v>0</v>
      </c>
      <c r="AB247" s="7">
        <f>SUM(PACIENTES!AB247+COMEDOR!AB247+JORNADA!AB247+'DIETOLOGÍA(S)'!AB247)</f>
        <v>0</v>
      </c>
      <c r="AC247" s="7">
        <f>SUM(PACIENTES!AC247+COMEDOR!AC247+JORNADA!AC247+'DIETOLOGÍA(S)'!AC247)</f>
        <v>0</v>
      </c>
      <c r="AD247" s="7">
        <f>SUM(PACIENTES!AD247+COMEDOR!AD247+JORNADA!AD247+'DIETOLOGÍA(S)'!AD247)</f>
        <v>0</v>
      </c>
      <c r="AE247" s="7">
        <f>SUM(PACIENTES!AE247+COMEDOR!AE247+JORNADA!AE247+'DIETOLOGÍA(S)'!AE247)</f>
        <v>0</v>
      </c>
      <c r="AF247" s="7">
        <f>SUM(PACIENTES!AF247+COMEDOR!AF247+JORNADA!AF247+'DIETOLOGÍA(S)'!AF247)</f>
        <v>0</v>
      </c>
      <c r="AG247" s="7">
        <f>SUM(PACIENTES!AG247+COMEDOR!AG247+JORNADA!AG247+'DIETOLOGÍA(S)'!AG247)</f>
        <v>0</v>
      </c>
      <c r="AH247" s="7">
        <f>SUM(PACIENTES!AH247+COMEDOR!AH247+JORNADA!AH247+'DIETOLOGÍA(S)'!AH247)</f>
        <v>0</v>
      </c>
      <c r="AI247" s="9">
        <f t="shared" si="9"/>
        <v>0</v>
      </c>
    </row>
    <row r="248" spans="1:35" ht="15.75" customHeight="1">
      <c r="A248" s="193">
        <v>2212009025</v>
      </c>
      <c r="B248" s="195" t="s">
        <v>257</v>
      </c>
      <c r="C248" s="196" t="s">
        <v>6</v>
      </c>
      <c r="D248" s="7">
        <f>SUM(PACIENTES!D248+COMEDOR!D248+JORNADA!D248+'DIETOLOGÍA(S)'!D248)</f>
        <v>0</v>
      </c>
      <c r="E248" s="7">
        <f>SUM(PACIENTES!E248+COMEDOR!E248+JORNADA!E248+'DIETOLOGÍA(S)'!E248)</f>
        <v>0</v>
      </c>
      <c r="F248" s="7">
        <f>SUM(PACIENTES!F248+COMEDOR!F248+JORNADA!F248+'DIETOLOGÍA(S)'!F248)</f>
        <v>0</v>
      </c>
      <c r="G248" s="7">
        <f>SUM(PACIENTES!G248+COMEDOR!G248+JORNADA!G248+'DIETOLOGÍA(S)'!G248)</f>
        <v>0</v>
      </c>
      <c r="H248" s="7">
        <f>SUM(PACIENTES!H248+COMEDOR!H248+JORNADA!H248+'DIETOLOGÍA(S)'!H248)</f>
        <v>0</v>
      </c>
      <c r="I248" s="7">
        <f>SUM(PACIENTES!I248+COMEDOR!I248+JORNADA!I248+'DIETOLOGÍA(S)'!I248)</f>
        <v>0</v>
      </c>
      <c r="J248" s="7">
        <f>SUM(PACIENTES!J248+COMEDOR!J248+JORNADA!J248+'DIETOLOGÍA(S)'!J248)</f>
        <v>0</v>
      </c>
      <c r="K248" s="7">
        <f>SUM(PACIENTES!K248+COMEDOR!K248+JORNADA!K248+'DIETOLOGÍA(S)'!K248)</f>
        <v>0</v>
      </c>
      <c r="L248" s="7">
        <f>SUM(PACIENTES!L248+COMEDOR!L248+JORNADA!L248+'DIETOLOGÍA(S)'!L248)</f>
        <v>0</v>
      </c>
      <c r="M248" s="7">
        <f>SUM(PACIENTES!M248+COMEDOR!M248+JORNADA!M248+'DIETOLOGÍA(S)'!M248)</f>
        <v>0</v>
      </c>
      <c r="N248" s="7">
        <f>SUM(PACIENTES!N248+COMEDOR!N248+JORNADA!N248+'DIETOLOGÍA(S)'!N248)</f>
        <v>0</v>
      </c>
      <c r="O248" s="7">
        <f>SUM(PACIENTES!O248+COMEDOR!O248+JORNADA!O248+'DIETOLOGÍA(S)'!O248)</f>
        <v>0</v>
      </c>
      <c r="P248" s="7">
        <f>SUM(PACIENTES!P248+COMEDOR!P248+JORNADA!P248+'DIETOLOGÍA(S)'!P248)</f>
        <v>0</v>
      </c>
      <c r="Q248" s="7">
        <f>SUM(PACIENTES!Q248+COMEDOR!Q248+JORNADA!Q248+'DIETOLOGÍA(S)'!Q248)</f>
        <v>0</v>
      </c>
      <c r="R248" s="7">
        <f>SUM(PACIENTES!R248+COMEDOR!R248+JORNADA!R248+'DIETOLOGÍA(S)'!R248)</f>
        <v>0</v>
      </c>
      <c r="S248" s="7">
        <f>SUM(PACIENTES!S248+COMEDOR!S248+JORNADA!S248+'DIETOLOGÍA(S)'!S248)</f>
        <v>0</v>
      </c>
      <c r="T248" s="7">
        <f>SUM(PACIENTES!T248+COMEDOR!T248+JORNADA!T248+'DIETOLOGÍA(S)'!T248)</f>
        <v>0</v>
      </c>
      <c r="U248" s="7">
        <f>SUM(PACIENTES!U248+COMEDOR!U248+JORNADA!U248+'DIETOLOGÍA(S)'!U248)</f>
        <v>0</v>
      </c>
      <c r="V248" s="7">
        <f>SUM(PACIENTES!V248+COMEDOR!V248+JORNADA!V248+'DIETOLOGÍA(S)'!V248)</f>
        <v>0</v>
      </c>
      <c r="W248" s="7">
        <f>SUM(PACIENTES!W248+COMEDOR!W248+JORNADA!W248+'DIETOLOGÍA(S)'!W248)</f>
        <v>0</v>
      </c>
      <c r="X248" s="7">
        <f>SUM(PACIENTES!X248+COMEDOR!X248+JORNADA!X248+'DIETOLOGÍA(S)'!X248)</f>
        <v>0</v>
      </c>
      <c r="Y248" s="7">
        <f>SUM(PACIENTES!Y248+COMEDOR!Y248+JORNADA!Y248+'DIETOLOGÍA(S)'!Y248)</f>
        <v>0</v>
      </c>
      <c r="Z248" s="7">
        <f>SUM(PACIENTES!Z248+COMEDOR!Z248+JORNADA!Z248+'DIETOLOGÍA(S)'!Z248)</f>
        <v>0</v>
      </c>
      <c r="AA248" s="7">
        <f>SUM(PACIENTES!AA248+COMEDOR!AA248+JORNADA!AA248+'DIETOLOGÍA(S)'!AA248)</f>
        <v>0</v>
      </c>
      <c r="AB248" s="7">
        <f>SUM(PACIENTES!AB248+COMEDOR!AB248+JORNADA!AB248+'DIETOLOGÍA(S)'!AB248)</f>
        <v>0</v>
      </c>
      <c r="AC248" s="7">
        <f>SUM(PACIENTES!AC248+COMEDOR!AC248+JORNADA!AC248+'DIETOLOGÍA(S)'!AC248)</f>
        <v>0</v>
      </c>
      <c r="AD248" s="7">
        <f>SUM(PACIENTES!AD248+COMEDOR!AD248+JORNADA!AD248+'DIETOLOGÍA(S)'!AD248)</f>
        <v>0</v>
      </c>
      <c r="AE248" s="7">
        <f>SUM(PACIENTES!AE248+COMEDOR!AE248+JORNADA!AE248+'DIETOLOGÍA(S)'!AE248)</f>
        <v>0</v>
      </c>
      <c r="AF248" s="7">
        <f>SUM(PACIENTES!AF248+COMEDOR!AF248+JORNADA!AF248+'DIETOLOGÍA(S)'!AF248)</f>
        <v>0</v>
      </c>
      <c r="AG248" s="7">
        <f>SUM(PACIENTES!AG248+COMEDOR!AG248+JORNADA!AG248+'DIETOLOGÍA(S)'!AG248)</f>
        <v>0</v>
      </c>
      <c r="AH248" s="7">
        <f>SUM(PACIENTES!AH248+COMEDOR!AH248+JORNADA!AH248+'DIETOLOGÍA(S)'!AH248)</f>
        <v>0</v>
      </c>
      <c r="AI248" s="9">
        <f t="shared" si="9"/>
        <v>0</v>
      </c>
    </row>
    <row r="249" spans="1:35" ht="15.75" customHeight="1">
      <c r="A249" s="193">
        <v>2212009026</v>
      </c>
      <c r="B249" s="195" t="s">
        <v>258</v>
      </c>
      <c r="C249" s="196" t="s">
        <v>6</v>
      </c>
      <c r="D249" s="7">
        <f>SUM(PACIENTES!D249+COMEDOR!D249+JORNADA!D249+'DIETOLOGÍA(S)'!D249)</f>
        <v>0</v>
      </c>
      <c r="E249" s="7">
        <f>SUM(PACIENTES!E249+COMEDOR!E249+JORNADA!E249+'DIETOLOGÍA(S)'!E249)</f>
        <v>3</v>
      </c>
      <c r="F249" s="7">
        <f>SUM(PACIENTES!F249+COMEDOR!F249+JORNADA!F249+'DIETOLOGÍA(S)'!F249)</f>
        <v>0</v>
      </c>
      <c r="G249" s="7">
        <f>SUM(PACIENTES!G249+COMEDOR!G249+JORNADA!G249+'DIETOLOGÍA(S)'!G249)</f>
        <v>0</v>
      </c>
      <c r="H249" s="7">
        <f>SUM(PACIENTES!H249+COMEDOR!H249+JORNADA!H249+'DIETOLOGÍA(S)'!H249)</f>
        <v>4</v>
      </c>
      <c r="I249" s="7">
        <f>SUM(PACIENTES!I249+COMEDOR!I249+JORNADA!I249+'DIETOLOGÍA(S)'!I249)</f>
        <v>3</v>
      </c>
      <c r="J249" s="7">
        <f>SUM(PACIENTES!J249+COMEDOR!J249+JORNADA!J249+'DIETOLOGÍA(S)'!J249)</f>
        <v>1</v>
      </c>
      <c r="K249" s="7">
        <f>SUM(PACIENTES!K249+COMEDOR!K249+JORNADA!K249+'DIETOLOGÍA(S)'!K249)</f>
        <v>4</v>
      </c>
      <c r="L249" s="7">
        <f>SUM(PACIENTES!L249+COMEDOR!L249+JORNADA!L249+'DIETOLOGÍA(S)'!L249)</f>
        <v>0</v>
      </c>
      <c r="M249" s="7">
        <f>SUM(PACIENTES!M249+COMEDOR!M249+JORNADA!M249+'DIETOLOGÍA(S)'!M249)</f>
        <v>5</v>
      </c>
      <c r="N249" s="7">
        <f>SUM(PACIENTES!N249+COMEDOR!N249+JORNADA!N249+'DIETOLOGÍA(S)'!N249)</f>
        <v>8</v>
      </c>
      <c r="O249" s="7">
        <f>SUM(PACIENTES!O249+COMEDOR!O249+JORNADA!O249+'DIETOLOGÍA(S)'!O249)</f>
        <v>0</v>
      </c>
      <c r="P249" s="7">
        <f>SUM(PACIENTES!P249+COMEDOR!P249+JORNADA!P249+'DIETOLOGÍA(S)'!P249)</f>
        <v>0</v>
      </c>
      <c r="Q249" s="7">
        <f>SUM(PACIENTES!Q249+COMEDOR!Q249+JORNADA!Q249+'DIETOLOGÍA(S)'!Q249)</f>
        <v>1</v>
      </c>
      <c r="R249" s="7">
        <f>SUM(PACIENTES!R249+COMEDOR!R249+JORNADA!R249+'DIETOLOGÍA(S)'!R249)</f>
        <v>0</v>
      </c>
      <c r="S249" s="7">
        <f>SUM(PACIENTES!S249+COMEDOR!S249+JORNADA!S249+'DIETOLOGÍA(S)'!S249)</f>
        <v>0</v>
      </c>
      <c r="T249" s="7">
        <f>SUM(PACIENTES!T249+COMEDOR!T249+JORNADA!T249+'DIETOLOGÍA(S)'!T249)</f>
        <v>3</v>
      </c>
      <c r="U249" s="7">
        <f>SUM(PACIENTES!U249+COMEDOR!U249+JORNADA!U249+'DIETOLOGÍA(S)'!U249)</f>
        <v>0</v>
      </c>
      <c r="V249" s="7">
        <f>SUM(PACIENTES!V249+COMEDOR!V249+JORNADA!V249+'DIETOLOGÍA(S)'!V249)</f>
        <v>2</v>
      </c>
      <c r="W249" s="7">
        <f>SUM(PACIENTES!W249+COMEDOR!W249+JORNADA!W249+'DIETOLOGÍA(S)'!W249)</f>
        <v>5</v>
      </c>
      <c r="X249" s="7">
        <f>SUM(PACIENTES!X249+COMEDOR!X249+JORNADA!X249+'DIETOLOGÍA(S)'!X249)</f>
        <v>1</v>
      </c>
      <c r="Y249" s="7">
        <f>SUM(PACIENTES!Y249+COMEDOR!Y249+JORNADA!Y249+'DIETOLOGÍA(S)'!Y249)</f>
        <v>0</v>
      </c>
      <c r="Z249" s="7">
        <f>SUM(PACIENTES!Z249+COMEDOR!Z249+JORNADA!Z249+'DIETOLOGÍA(S)'!Z249)</f>
        <v>4</v>
      </c>
      <c r="AA249" s="7">
        <f>SUM(PACIENTES!AA249+COMEDOR!AA249+JORNADA!AA249+'DIETOLOGÍA(S)'!AA249)</f>
        <v>5</v>
      </c>
      <c r="AB249" s="7">
        <f>SUM(PACIENTES!AB249+COMEDOR!AB249+JORNADA!AB249+'DIETOLOGÍA(S)'!AB249)</f>
        <v>0</v>
      </c>
      <c r="AC249" s="7">
        <f>SUM(PACIENTES!AC249+COMEDOR!AC249+JORNADA!AC249+'DIETOLOGÍA(S)'!AC249)</f>
        <v>0</v>
      </c>
      <c r="AD249" s="7">
        <f>SUM(PACIENTES!AD249+COMEDOR!AD249+JORNADA!AD249+'DIETOLOGÍA(S)'!AD249)</f>
        <v>4</v>
      </c>
      <c r="AE249" s="7">
        <f>SUM(PACIENTES!AE249+COMEDOR!AE249+JORNADA!AE249+'DIETOLOGÍA(S)'!AE249)</f>
        <v>3</v>
      </c>
      <c r="AF249" s="7">
        <f>SUM(PACIENTES!AF249+COMEDOR!AF249+JORNADA!AF249+'DIETOLOGÍA(S)'!AF249)</f>
        <v>0</v>
      </c>
      <c r="AG249" s="7">
        <f>SUM(PACIENTES!AG249+COMEDOR!AG249+JORNADA!AG249+'DIETOLOGÍA(S)'!AG249)</f>
        <v>0</v>
      </c>
      <c r="AH249" s="7">
        <f>SUM(PACIENTES!AH249+COMEDOR!AH249+JORNADA!AH249+'DIETOLOGÍA(S)'!AH249)</f>
        <v>2</v>
      </c>
      <c r="AI249" s="9">
        <f t="shared" si="9"/>
        <v>58</v>
      </c>
    </row>
    <row r="250" spans="1:35" ht="15.75" customHeight="1">
      <c r="A250" s="193">
        <v>2212009028</v>
      </c>
      <c r="B250" s="195" t="s">
        <v>259</v>
      </c>
      <c r="C250" s="196" t="s">
        <v>6</v>
      </c>
      <c r="D250" s="7">
        <f>SUM(PACIENTES!D250+COMEDOR!D250+JORNADA!D250+'DIETOLOGÍA(S)'!D250)</f>
        <v>0</v>
      </c>
      <c r="E250" s="7">
        <f>SUM(PACIENTES!E250+COMEDOR!E250+JORNADA!E250+'DIETOLOGÍA(S)'!E250)</f>
        <v>0</v>
      </c>
      <c r="F250" s="7">
        <f>SUM(PACIENTES!F250+COMEDOR!F250+JORNADA!F250+'DIETOLOGÍA(S)'!F250)</f>
        <v>0</v>
      </c>
      <c r="G250" s="7">
        <f>SUM(PACIENTES!G250+COMEDOR!G250+JORNADA!G250+'DIETOLOGÍA(S)'!G250)</f>
        <v>0</v>
      </c>
      <c r="H250" s="7">
        <f>SUM(PACIENTES!H250+COMEDOR!H250+JORNADA!H250+'DIETOLOGÍA(S)'!H250)</f>
        <v>16</v>
      </c>
      <c r="I250" s="7">
        <f>SUM(PACIENTES!I250+COMEDOR!I250+JORNADA!I250+'DIETOLOGÍA(S)'!I250)</f>
        <v>0</v>
      </c>
      <c r="J250" s="7">
        <f>SUM(PACIENTES!J250+COMEDOR!J250+JORNADA!J250+'DIETOLOGÍA(S)'!J250)</f>
        <v>0</v>
      </c>
      <c r="K250" s="7">
        <f>SUM(PACIENTES!K250+COMEDOR!K250+JORNADA!K250+'DIETOLOGÍA(S)'!K250)</f>
        <v>0</v>
      </c>
      <c r="L250" s="7">
        <f>SUM(PACIENTES!L250+COMEDOR!L250+JORNADA!L250+'DIETOLOGÍA(S)'!L250)</f>
        <v>0</v>
      </c>
      <c r="M250" s="7">
        <f>SUM(PACIENTES!M250+COMEDOR!M250+JORNADA!M250+'DIETOLOGÍA(S)'!M250)</f>
        <v>0</v>
      </c>
      <c r="N250" s="7">
        <f>SUM(PACIENTES!N250+COMEDOR!N250+JORNADA!N250+'DIETOLOGÍA(S)'!N250)</f>
        <v>0</v>
      </c>
      <c r="O250" s="7">
        <f>SUM(PACIENTES!O250+COMEDOR!O250+JORNADA!O250+'DIETOLOGÍA(S)'!O250)</f>
        <v>0</v>
      </c>
      <c r="P250" s="7">
        <f>SUM(PACIENTES!P250+COMEDOR!P250+JORNADA!P250+'DIETOLOGÍA(S)'!P250)</f>
        <v>0</v>
      </c>
      <c r="Q250" s="7">
        <f>SUM(PACIENTES!Q250+COMEDOR!Q250+JORNADA!Q250+'DIETOLOGÍA(S)'!Q250)</f>
        <v>16</v>
      </c>
      <c r="R250" s="7">
        <f>SUM(PACIENTES!R250+COMEDOR!R250+JORNADA!R250+'DIETOLOGÍA(S)'!R250)</f>
        <v>0</v>
      </c>
      <c r="S250" s="7">
        <f>SUM(PACIENTES!S250+COMEDOR!S250+JORNADA!S250+'DIETOLOGÍA(S)'!S250)</f>
        <v>0</v>
      </c>
      <c r="T250" s="7">
        <f>SUM(PACIENTES!T250+COMEDOR!T250+JORNADA!T250+'DIETOLOGÍA(S)'!T250)</f>
        <v>0</v>
      </c>
      <c r="U250" s="7">
        <f>SUM(PACIENTES!U250+COMEDOR!U250+JORNADA!U250+'DIETOLOGÍA(S)'!U250)</f>
        <v>0</v>
      </c>
      <c r="V250" s="7">
        <f>SUM(PACIENTES!V250+COMEDOR!V250+JORNADA!V250+'DIETOLOGÍA(S)'!V250)</f>
        <v>0</v>
      </c>
      <c r="W250" s="7">
        <f>SUM(PACIENTES!W250+COMEDOR!W250+JORNADA!W250+'DIETOLOGÍA(S)'!W250)</f>
        <v>16</v>
      </c>
      <c r="X250" s="7">
        <f>SUM(PACIENTES!X250+COMEDOR!X250+JORNADA!X250+'DIETOLOGÍA(S)'!X250)</f>
        <v>0</v>
      </c>
      <c r="Y250" s="7">
        <f>SUM(PACIENTES!Y250+COMEDOR!Y250+JORNADA!Y250+'DIETOLOGÍA(S)'!Y250)</f>
        <v>0</v>
      </c>
      <c r="Z250" s="7">
        <f>SUM(PACIENTES!Z250+COMEDOR!Z250+JORNADA!Z250+'DIETOLOGÍA(S)'!Z250)</f>
        <v>0</v>
      </c>
      <c r="AA250" s="7">
        <f>SUM(PACIENTES!AA250+COMEDOR!AA250+JORNADA!AA250+'DIETOLOGÍA(S)'!AA250)</f>
        <v>0</v>
      </c>
      <c r="AB250" s="7">
        <f>SUM(PACIENTES!AB250+COMEDOR!AB250+JORNADA!AB250+'DIETOLOGÍA(S)'!AB250)</f>
        <v>0</v>
      </c>
      <c r="AC250" s="7">
        <f>SUM(PACIENTES!AC250+COMEDOR!AC250+JORNADA!AC250+'DIETOLOGÍA(S)'!AC250)</f>
        <v>0</v>
      </c>
      <c r="AD250" s="7">
        <f>SUM(PACIENTES!AD250+COMEDOR!AD250+JORNADA!AD250+'DIETOLOGÍA(S)'!AD250)</f>
        <v>0</v>
      </c>
      <c r="AE250" s="7">
        <f>SUM(PACIENTES!AE250+COMEDOR!AE250+JORNADA!AE250+'DIETOLOGÍA(S)'!AE250)</f>
        <v>0</v>
      </c>
      <c r="AF250" s="7">
        <f>SUM(PACIENTES!AF250+COMEDOR!AF250+JORNADA!AF250+'DIETOLOGÍA(S)'!AF250)</f>
        <v>16</v>
      </c>
      <c r="AG250" s="7">
        <f>SUM(PACIENTES!AG250+COMEDOR!AG250+JORNADA!AG250+'DIETOLOGÍA(S)'!AG250)</f>
        <v>0</v>
      </c>
      <c r="AH250" s="7">
        <f>SUM(PACIENTES!AH250+COMEDOR!AH250+JORNADA!AH250+'DIETOLOGÍA(S)'!AH250)</f>
        <v>0</v>
      </c>
      <c r="AI250" s="9">
        <f t="shared" si="9"/>
        <v>64</v>
      </c>
    </row>
    <row r="251" spans="1:35" ht="15.75" customHeight="1">
      <c r="A251" s="193">
        <v>2212009029</v>
      </c>
      <c r="B251" s="195" t="s">
        <v>260</v>
      </c>
      <c r="C251" s="196" t="s">
        <v>6</v>
      </c>
      <c r="D251" s="7">
        <f>SUM(PACIENTES!D251+COMEDOR!D251+JORNADA!D251+'DIETOLOGÍA(S)'!D251)</f>
        <v>0</v>
      </c>
      <c r="E251" s="7">
        <f>SUM(PACIENTES!E251+COMEDOR!E251+JORNADA!E251+'DIETOLOGÍA(S)'!E251)</f>
        <v>0</v>
      </c>
      <c r="F251" s="7">
        <f>SUM(PACIENTES!F251+COMEDOR!F251+JORNADA!F251+'DIETOLOGÍA(S)'!F251)</f>
        <v>0</v>
      </c>
      <c r="G251" s="7">
        <f>SUM(PACIENTES!G251+COMEDOR!G251+JORNADA!G251+'DIETOLOGÍA(S)'!G251)</f>
        <v>0</v>
      </c>
      <c r="H251" s="7">
        <f>SUM(PACIENTES!H251+COMEDOR!H251+JORNADA!H251+'DIETOLOGÍA(S)'!H251)</f>
        <v>0</v>
      </c>
      <c r="I251" s="7">
        <f>SUM(PACIENTES!I251+COMEDOR!I251+JORNADA!I251+'DIETOLOGÍA(S)'!I251)</f>
        <v>0</v>
      </c>
      <c r="J251" s="7">
        <f>SUM(PACIENTES!J251+COMEDOR!J251+JORNADA!J251+'DIETOLOGÍA(S)'!J251)</f>
        <v>3</v>
      </c>
      <c r="K251" s="7">
        <f>SUM(PACIENTES!K251+COMEDOR!K251+JORNADA!K251+'DIETOLOGÍA(S)'!K251)</f>
        <v>0</v>
      </c>
      <c r="L251" s="7">
        <f>SUM(PACIENTES!L251+COMEDOR!L251+JORNADA!L251+'DIETOLOGÍA(S)'!L251)</f>
        <v>0</v>
      </c>
      <c r="M251" s="7">
        <f>SUM(PACIENTES!M251+COMEDOR!M251+JORNADA!M251+'DIETOLOGÍA(S)'!M251)</f>
        <v>0</v>
      </c>
      <c r="N251" s="7">
        <f>SUM(PACIENTES!N251+COMEDOR!N251+JORNADA!N251+'DIETOLOGÍA(S)'!N251)</f>
        <v>0</v>
      </c>
      <c r="O251" s="7">
        <f>SUM(PACIENTES!O251+COMEDOR!O251+JORNADA!O251+'DIETOLOGÍA(S)'!O251)</f>
        <v>0</v>
      </c>
      <c r="P251" s="7">
        <f>SUM(PACIENTES!P251+COMEDOR!P251+JORNADA!P251+'DIETOLOGÍA(S)'!P251)</f>
        <v>0</v>
      </c>
      <c r="Q251" s="7">
        <f>SUM(PACIENTES!Q251+COMEDOR!Q251+JORNADA!Q251+'DIETOLOGÍA(S)'!Q251)</f>
        <v>0</v>
      </c>
      <c r="R251" s="7">
        <f>SUM(PACIENTES!R251+COMEDOR!R251+JORNADA!R251+'DIETOLOGÍA(S)'!R251)</f>
        <v>0</v>
      </c>
      <c r="S251" s="7">
        <f>SUM(PACIENTES!S251+COMEDOR!S251+JORNADA!S251+'DIETOLOGÍA(S)'!S251)</f>
        <v>0</v>
      </c>
      <c r="T251" s="7">
        <f>SUM(PACIENTES!T251+COMEDOR!T251+JORNADA!T251+'DIETOLOGÍA(S)'!T251)</f>
        <v>0</v>
      </c>
      <c r="U251" s="7">
        <f>SUM(PACIENTES!U251+COMEDOR!U251+JORNADA!U251+'DIETOLOGÍA(S)'!U251)</f>
        <v>0</v>
      </c>
      <c r="V251" s="7">
        <f>SUM(PACIENTES!V251+COMEDOR!V251+JORNADA!V251+'DIETOLOGÍA(S)'!V251)</f>
        <v>0</v>
      </c>
      <c r="W251" s="7">
        <f>SUM(PACIENTES!W251+COMEDOR!W251+JORNADA!W251+'DIETOLOGÍA(S)'!W251)</f>
        <v>0</v>
      </c>
      <c r="X251" s="7">
        <f>SUM(PACIENTES!X251+COMEDOR!X251+JORNADA!X251+'DIETOLOGÍA(S)'!X251)</f>
        <v>0</v>
      </c>
      <c r="Y251" s="7">
        <f>SUM(PACIENTES!Y251+COMEDOR!Y251+JORNADA!Y251+'DIETOLOGÍA(S)'!Y251)</f>
        <v>0</v>
      </c>
      <c r="Z251" s="7">
        <f>SUM(PACIENTES!Z251+COMEDOR!Z251+JORNADA!Z251+'DIETOLOGÍA(S)'!Z251)</f>
        <v>0</v>
      </c>
      <c r="AA251" s="7">
        <f>SUM(PACIENTES!AA251+COMEDOR!AA251+JORNADA!AA251+'DIETOLOGÍA(S)'!AA251)</f>
        <v>0</v>
      </c>
      <c r="AB251" s="7">
        <f>SUM(PACIENTES!AB251+COMEDOR!AB251+JORNADA!AB251+'DIETOLOGÍA(S)'!AB251)</f>
        <v>0</v>
      </c>
      <c r="AC251" s="7">
        <f>SUM(PACIENTES!AC251+COMEDOR!AC251+JORNADA!AC251+'DIETOLOGÍA(S)'!AC251)</f>
        <v>0</v>
      </c>
      <c r="AD251" s="7">
        <f>SUM(PACIENTES!AD251+COMEDOR!AD251+JORNADA!AD251+'DIETOLOGÍA(S)'!AD251)</f>
        <v>0</v>
      </c>
      <c r="AE251" s="7">
        <f>SUM(PACIENTES!AE251+COMEDOR!AE251+JORNADA!AE251+'DIETOLOGÍA(S)'!AE251)</f>
        <v>0</v>
      </c>
      <c r="AF251" s="7">
        <f>SUM(PACIENTES!AF251+COMEDOR!AF251+JORNADA!AF251+'DIETOLOGÍA(S)'!AF251)</f>
        <v>0</v>
      </c>
      <c r="AG251" s="7">
        <f>SUM(PACIENTES!AG251+COMEDOR!AG251+JORNADA!AG251+'DIETOLOGÍA(S)'!AG251)</f>
        <v>0</v>
      </c>
      <c r="AH251" s="7">
        <f>SUM(PACIENTES!AH251+COMEDOR!AH251+JORNADA!AH251+'DIETOLOGÍA(S)'!AH251)</f>
        <v>0</v>
      </c>
      <c r="AI251" s="9">
        <f t="shared" si="9"/>
        <v>3</v>
      </c>
    </row>
    <row r="252" spans="1:35" ht="15.75" customHeight="1">
      <c r="A252" s="193">
        <v>2212009030</v>
      </c>
      <c r="B252" s="195" t="s">
        <v>261</v>
      </c>
      <c r="C252" s="196" t="s">
        <v>6</v>
      </c>
      <c r="D252" s="7">
        <f>SUM(PACIENTES!D252+COMEDOR!D252+JORNADA!D252+'DIETOLOGÍA(S)'!D252)</f>
        <v>0</v>
      </c>
      <c r="E252" s="7">
        <f>SUM(PACIENTES!E252+COMEDOR!E252+JORNADA!E252+'DIETOLOGÍA(S)'!E252)</f>
        <v>0</v>
      </c>
      <c r="F252" s="7">
        <f>SUM(PACIENTES!F252+COMEDOR!F252+JORNADA!F252+'DIETOLOGÍA(S)'!F252)</f>
        <v>0</v>
      </c>
      <c r="G252" s="7">
        <f>SUM(PACIENTES!G252+COMEDOR!G252+JORNADA!G252+'DIETOLOGÍA(S)'!G252)</f>
        <v>0</v>
      </c>
      <c r="H252" s="7">
        <f>SUM(PACIENTES!H252+COMEDOR!H252+JORNADA!H252+'DIETOLOGÍA(S)'!H252)</f>
        <v>0</v>
      </c>
      <c r="I252" s="7">
        <f>SUM(PACIENTES!I252+COMEDOR!I252+JORNADA!I252+'DIETOLOGÍA(S)'!I252)</f>
        <v>0</v>
      </c>
      <c r="J252" s="7">
        <f>SUM(PACIENTES!J252+COMEDOR!J252+JORNADA!J252+'DIETOLOGÍA(S)'!J252)</f>
        <v>0</v>
      </c>
      <c r="K252" s="7">
        <f>SUM(PACIENTES!K252+COMEDOR!K252+JORNADA!K252+'DIETOLOGÍA(S)'!K252)</f>
        <v>0</v>
      </c>
      <c r="L252" s="7">
        <f>SUM(PACIENTES!L252+COMEDOR!L252+JORNADA!L252+'DIETOLOGÍA(S)'!L252)</f>
        <v>0</v>
      </c>
      <c r="M252" s="7">
        <f>SUM(PACIENTES!M252+COMEDOR!M252+JORNADA!M252+'DIETOLOGÍA(S)'!M252)</f>
        <v>0</v>
      </c>
      <c r="N252" s="7">
        <f>SUM(PACIENTES!N252+COMEDOR!N252+JORNADA!N252+'DIETOLOGÍA(S)'!N252)</f>
        <v>0</v>
      </c>
      <c r="O252" s="7">
        <f>SUM(PACIENTES!O252+COMEDOR!O252+JORNADA!O252+'DIETOLOGÍA(S)'!O252)</f>
        <v>0</v>
      </c>
      <c r="P252" s="7">
        <f>SUM(PACIENTES!P252+COMEDOR!P252+JORNADA!P252+'DIETOLOGÍA(S)'!P252)</f>
        <v>0</v>
      </c>
      <c r="Q252" s="7">
        <f>SUM(PACIENTES!Q252+COMEDOR!Q252+JORNADA!Q252+'DIETOLOGÍA(S)'!Q252)</f>
        <v>0</v>
      </c>
      <c r="R252" s="7">
        <f>SUM(PACIENTES!R252+COMEDOR!R252+JORNADA!R252+'DIETOLOGÍA(S)'!R252)</f>
        <v>0</v>
      </c>
      <c r="S252" s="7">
        <f>SUM(PACIENTES!S252+COMEDOR!S252+JORNADA!S252+'DIETOLOGÍA(S)'!S252)</f>
        <v>0</v>
      </c>
      <c r="T252" s="7">
        <f>SUM(PACIENTES!T252+COMEDOR!T252+JORNADA!T252+'DIETOLOGÍA(S)'!T252)</f>
        <v>0</v>
      </c>
      <c r="U252" s="7">
        <f>SUM(PACIENTES!U252+COMEDOR!U252+JORNADA!U252+'DIETOLOGÍA(S)'!U252)</f>
        <v>0</v>
      </c>
      <c r="V252" s="7">
        <f>SUM(PACIENTES!V252+COMEDOR!V252+JORNADA!V252+'DIETOLOGÍA(S)'!V252)</f>
        <v>0</v>
      </c>
      <c r="W252" s="7">
        <f>SUM(PACIENTES!W252+COMEDOR!W252+JORNADA!W252+'DIETOLOGÍA(S)'!W252)</f>
        <v>0</v>
      </c>
      <c r="X252" s="7">
        <f>SUM(PACIENTES!X252+COMEDOR!X252+JORNADA!X252+'DIETOLOGÍA(S)'!X252)</f>
        <v>0</v>
      </c>
      <c r="Y252" s="7">
        <f>SUM(PACIENTES!Y252+COMEDOR!Y252+JORNADA!Y252+'DIETOLOGÍA(S)'!Y252)</f>
        <v>0</v>
      </c>
      <c r="Z252" s="7">
        <f>SUM(PACIENTES!Z252+COMEDOR!Z252+JORNADA!Z252+'DIETOLOGÍA(S)'!Z252)</f>
        <v>0</v>
      </c>
      <c r="AA252" s="7">
        <f>SUM(PACIENTES!AA252+COMEDOR!AA252+JORNADA!AA252+'DIETOLOGÍA(S)'!AA252)</f>
        <v>0</v>
      </c>
      <c r="AB252" s="7">
        <f>SUM(PACIENTES!AB252+COMEDOR!AB252+JORNADA!AB252+'DIETOLOGÍA(S)'!AB252)</f>
        <v>0</v>
      </c>
      <c r="AC252" s="7">
        <f>SUM(PACIENTES!AC252+COMEDOR!AC252+JORNADA!AC252+'DIETOLOGÍA(S)'!AC252)</f>
        <v>0</v>
      </c>
      <c r="AD252" s="7">
        <f>SUM(PACIENTES!AD252+COMEDOR!AD252+JORNADA!AD252+'DIETOLOGÍA(S)'!AD252)</f>
        <v>0</v>
      </c>
      <c r="AE252" s="7">
        <f>SUM(PACIENTES!AE252+COMEDOR!AE252+JORNADA!AE252+'DIETOLOGÍA(S)'!AE252)</f>
        <v>0</v>
      </c>
      <c r="AF252" s="7">
        <f>SUM(PACIENTES!AF252+COMEDOR!AF252+JORNADA!AF252+'DIETOLOGÍA(S)'!AF252)</f>
        <v>0</v>
      </c>
      <c r="AG252" s="7">
        <f>SUM(PACIENTES!AG252+COMEDOR!AG252+JORNADA!AG252+'DIETOLOGÍA(S)'!AG252)</f>
        <v>0</v>
      </c>
      <c r="AH252" s="7">
        <f>SUM(PACIENTES!AH252+COMEDOR!AH252+JORNADA!AH252+'DIETOLOGÍA(S)'!AH252)</f>
        <v>0</v>
      </c>
      <c r="AI252" s="9">
        <f t="shared" si="9"/>
        <v>0</v>
      </c>
    </row>
    <row r="253" spans="1:35" ht="15.75" customHeight="1">
      <c r="A253" s="193">
        <v>2212009031</v>
      </c>
      <c r="B253" s="195" t="s">
        <v>262</v>
      </c>
      <c r="C253" s="196" t="s">
        <v>6</v>
      </c>
      <c r="D253" s="7">
        <f>SUM(PACIENTES!D253+COMEDOR!D253+JORNADA!D253+'DIETOLOGÍA(S)'!D253)</f>
        <v>0</v>
      </c>
      <c r="E253" s="7">
        <f>SUM(PACIENTES!E253+COMEDOR!E253+JORNADA!E253+'DIETOLOGÍA(S)'!E253)</f>
        <v>5</v>
      </c>
      <c r="F253" s="7">
        <f>SUM(PACIENTES!F253+COMEDOR!F253+JORNADA!F253+'DIETOLOGÍA(S)'!F253)</f>
        <v>1</v>
      </c>
      <c r="G253" s="7">
        <f>SUM(PACIENTES!G253+COMEDOR!G253+JORNADA!G253+'DIETOLOGÍA(S)'!G253)</f>
        <v>0</v>
      </c>
      <c r="H253" s="7">
        <f>SUM(PACIENTES!H253+COMEDOR!H253+JORNADA!H253+'DIETOLOGÍA(S)'!H253)</f>
        <v>0</v>
      </c>
      <c r="I253" s="7">
        <f>SUM(PACIENTES!I253+COMEDOR!I253+JORNADA!I253+'DIETOLOGÍA(S)'!I253)</f>
        <v>0</v>
      </c>
      <c r="J253" s="7">
        <f>SUM(PACIENTES!J253+COMEDOR!J253+JORNADA!J253+'DIETOLOGÍA(S)'!J253)</f>
        <v>0</v>
      </c>
      <c r="K253" s="7">
        <f>SUM(PACIENTES!K253+COMEDOR!K253+JORNADA!K253+'DIETOLOGÍA(S)'!K253)</f>
        <v>0</v>
      </c>
      <c r="L253" s="7">
        <f>SUM(PACIENTES!L253+COMEDOR!L253+JORNADA!L253+'DIETOLOGÍA(S)'!L253)</f>
        <v>0</v>
      </c>
      <c r="M253" s="7">
        <f>SUM(PACIENTES!M253+COMEDOR!M253+JORNADA!M253+'DIETOLOGÍA(S)'!M253)</f>
        <v>1</v>
      </c>
      <c r="N253" s="7">
        <f>SUM(PACIENTES!N253+COMEDOR!N253+JORNADA!N253+'DIETOLOGÍA(S)'!N253)</f>
        <v>0</v>
      </c>
      <c r="O253" s="7">
        <f>SUM(PACIENTES!O253+COMEDOR!O253+JORNADA!O253+'DIETOLOGÍA(S)'!O253)</f>
        <v>1</v>
      </c>
      <c r="P253" s="7">
        <f>SUM(PACIENTES!P253+COMEDOR!P253+JORNADA!P253+'DIETOLOGÍA(S)'!P253)</f>
        <v>1</v>
      </c>
      <c r="Q253" s="7">
        <f>SUM(PACIENTES!Q253+COMEDOR!Q253+JORNADA!Q253+'DIETOLOGÍA(S)'!Q253)</f>
        <v>1</v>
      </c>
      <c r="R253" s="7">
        <f>SUM(PACIENTES!R253+COMEDOR!R253+JORNADA!R253+'DIETOLOGÍA(S)'!R253)</f>
        <v>0</v>
      </c>
      <c r="S253" s="7">
        <f>SUM(PACIENTES!S253+COMEDOR!S253+JORNADA!S253+'DIETOLOGÍA(S)'!S253)</f>
        <v>0</v>
      </c>
      <c r="T253" s="7">
        <f>SUM(PACIENTES!T253+COMEDOR!T253+JORNADA!T253+'DIETOLOGÍA(S)'!T253)</f>
        <v>1</v>
      </c>
      <c r="U253" s="7">
        <f>SUM(PACIENTES!U253+COMEDOR!U253+JORNADA!U253+'DIETOLOGÍA(S)'!U253)</f>
        <v>0</v>
      </c>
      <c r="V253" s="7">
        <f>SUM(PACIENTES!V253+COMEDOR!V253+JORNADA!V253+'DIETOLOGÍA(S)'!V253)</f>
        <v>0</v>
      </c>
      <c r="W253" s="7">
        <f>SUM(PACIENTES!W253+COMEDOR!W253+JORNADA!W253+'DIETOLOGÍA(S)'!W253)</f>
        <v>0</v>
      </c>
      <c r="X253" s="7">
        <f>SUM(PACIENTES!X253+COMEDOR!X253+JORNADA!X253+'DIETOLOGÍA(S)'!X253)</f>
        <v>1</v>
      </c>
      <c r="Y253" s="7">
        <f>SUM(PACIENTES!Y253+COMEDOR!Y253+JORNADA!Y253+'DIETOLOGÍA(S)'!Y253)</f>
        <v>0</v>
      </c>
      <c r="Z253" s="7">
        <f>SUM(PACIENTES!Z253+COMEDOR!Z253+JORNADA!Z253+'DIETOLOGÍA(S)'!Z253)</f>
        <v>0</v>
      </c>
      <c r="AA253" s="7">
        <f>SUM(PACIENTES!AA253+COMEDOR!AA253+JORNADA!AA253+'DIETOLOGÍA(S)'!AA253)</f>
        <v>1</v>
      </c>
      <c r="AB253" s="7">
        <f>SUM(PACIENTES!AB253+COMEDOR!AB253+JORNADA!AB253+'DIETOLOGÍA(S)'!AB253)</f>
        <v>0</v>
      </c>
      <c r="AC253" s="7">
        <f>SUM(PACIENTES!AC253+COMEDOR!AC253+JORNADA!AC253+'DIETOLOGÍA(S)'!AC253)</f>
        <v>0</v>
      </c>
      <c r="AD253" s="7">
        <f>SUM(PACIENTES!AD253+COMEDOR!AD253+JORNADA!AD253+'DIETOLOGÍA(S)'!AD253)</f>
        <v>1</v>
      </c>
      <c r="AE253" s="7">
        <f>SUM(PACIENTES!AE253+COMEDOR!AE253+JORNADA!AE253+'DIETOLOGÍA(S)'!AE253)</f>
        <v>1</v>
      </c>
      <c r="AF253" s="7">
        <f>SUM(PACIENTES!AF253+COMEDOR!AF253+JORNADA!AF253+'DIETOLOGÍA(S)'!AF253)</f>
        <v>0</v>
      </c>
      <c r="AG253" s="7">
        <f>SUM(PACIENTES!AG253+COMEDOR!AG253+JORNADA!AG253+'DIETOLOGÍA(S)'!AG253)</f>
        <v>0</v>
      </c>
      <c r="AH253" s="7">
        <f>SUM(PACIENTES!AH253+COMEDOR!AH253+JORNADA!AH253+'DIETOLOGÍA(S)'!AH253)</f>
        <v>1</v>
      </c>
      <c r="AI253" s="9">
        <f t="shared" si="9"/>
        <v>16</v>
      </c>
    </row>
    <row r="254" spans="1:35" ht="15.75" customHeight="1">
      <c r="A254" s="193">
        <v>2212009032</v>
      </c>
      <c r="B254" s="195" t="s">
        <v>263</v>
      </c>
      <c r="C254" s="196" t="s">
        <v>6</v>
      </c>
      <c r="D254" s="7">
        <f>SUM(PACIENTES!D254+COMEDOR!D254+JORNADA!D254+'DIETOLOGÍA(S)'!D254)</f>
        <v>0</v>
      </c>
      <c r="E254" s="7">
        <f>SUM(PACIENTES!E254+COMEDOR!E254+JORNADA!E254+'DIETOLOGÍA(S)'!E254)</f>
        <v>0</v>
      </c>
      <c r="F254" s="7">
        <f>SUM(PACIENTES!F254+COMEDOR!F254+JORNADA!F254+'DIETOLOGÍA(S)'!F254)</f>
        <v>0</v>
      </c>
      <c r="G254" s="7">
        <f>SUM(PACIENTES!G254+COMEDOR!G254+JORNADA!G254+'DIETOLOGÍA(S)'!G254)</f>
        <v>0</v>
      </c>
      <c r="H254" s="7">
        <f>SUM(PACIENTES!H254+COMEDOR!H254+JORNADA!H254+'DIETOLOGÍA(S)'!H254)</f>
        <v>0</v>
      </c>
      <c r="I254" s="7">
        <f>SUM(PACIENTES!I254+COMEDOR!I254+JORNADA!I254+'DIETOLOGÍA(S)'!I254)</f>
        <v>0</v>
      </c>
      <c r="J254" s="7">
        <f>SUM(PACIENTES!J254+COMEDOR!J254+JORNADA!J254+'DIETOLOGÍA(S)'!J254)</f>
        <v>1</v>
      </c>
      <c r="K254" s="7">
        <f>SUM(PACIENTES!K254+COMEDOR!K254+JORNADA!K254+'DIETOLOGÍA(S)'!K254)</f>
        <v>0</v>
      </c>
      <c r="L254" s="7">
        <f>SUM(PACIENTES!L254+COMEDOR!L254+JORNADA!L254+'DIETOLOGÍA(S)'!L254)</f>
        <v>0</v>
      </c>
      <c r="M254" s="7">
        <f>SUM(PACIENTES!M254+COMEDOR!M254+JORNADA!M254+'DIETOLOGÍA(S)'!M254)</f>
        <v>1</v>
      </c>
      <c r="N254" s="7">
        <f>SUM(PACIENTES!N254+COMEDOR!N254+JORNADA!N254+'DIETOLOGÍA(S)'!N254)</f>
        <v>0</v>
      </c>
      <c r="O254" s="7">
        <f>SUM(PACIENTES!O254+COMEDOR!O254+JORNADA!O254+'DIETOLOGÍA(S)'!O254)</f>
        <v>0</v>
      </c>
      <c r="P254" s="7">
        <f>SUM(PACIENTES!P254+COMEDOR!P254+JORNADA!P254+'DIETOLOGÍA(S)'!P254)</f>
        <v>0</v>
      </c>
      <c r="Q254" s="7">
        <f>SUM(PACIENTES!Q254+COMEDOR!Q254+JORNADA!Q254+'DIETOLOGÍA(S)'!Q254)</f>
        <v>0</v>
      </c>
      <c r="R254" s="7">
        <f>SUM(PACIENTES!R254+COMEDOR!R254+JORNADA!R254+'DIETOLOGÍA(S)'!R254)</f>
        <v>0</v>
      </c>
      <c r="S254" s="7">
        <f>SUM(PACIENTES!S254+COMEDOR!S254+JORNADA!S254+'DIETOLOGÍA(S)'!S254)</f>
        <v>0</v>
      </c>
      <c r="T254" s="7">
        <f>SUM(PACIENTES!T254+COMEDOR!T254+JORNADA!T254+'DIETOLOGÍA(S)'!T254)</f>
        <v>0</v>
      </c>
      <c r="U254" s="7">
        <f>SUM(PACIENTES!U254+COMEDOR!U254+JORNADA!U254+'DIETOLOGÍA(S)'!U254)</f>
        <v>0</v>
      </c>
      <c r="V254" s="7">
        <f>SUM(PACIENTES!V254+COMEDOR!V254+JORNADA!V254+'DIETOLOGÍA(S)'!V254)</f>
        <v>0</v>
      </c>
      <c r="W254" s="7">
        <f>SUM(PACIENTES!W254+COMEDOR!W254+JORNADA!W254+'DIETOLOGÍA(S)'!W254)</f>
        <v>0</v>
      </c>
      <c r="X254" s="7">
        <f>SUM(PACIENTES!X254+COMEDOR!X254+JORNADA!X254+'DIETOLOGÍA(S)'!X254)</f>
        <v>1</v>
      </c>
      <c r="Y254" s="7">
        <f>SUM(PACIENTES!Y254+COMEDOR!Y254+JORNADA!Y254+'DIETOLOGÍA(S)'!Y254)</f>
        <v>0</v>
      </c>
      <c r="Z254" s="7">
        <f>SUM(PACIENTES!Z254+COMEDOR!Z254+JORNADA!Z254+'DIETOLOGÍA(S)'!Z254)</f>
        <v>0</v>
      </c>
      <c r="AA254" s="7">
        <f>SUM(PACIENTES!AA254+COMEDOR!AA254+JORNADA!AA254+'DIETOLOGÍA(S)'!AA254)</f>
        <v>1</v>
      </c>
      <c r="AB254" s="7">
        <f>SUM(PACIENTES!AB254+COMEDOR!AB254+JORNADA!AB254+'DIETOLOGÍA(S)'!AB254)</f>
        <v>2</v>
      </c>
      <c r="AC254" s="7">
        <f>SUM(PACIENTES!AC254+COMEDOR!AC254+JORNADA!AC254+'DIETOLOGÍA(S)'!AC254)</f>
        <v>0</v>
      </c>
      <c r="AD254" s="7">
        <f>SUM(PACIENTES!AD254+COMEDOR!AD254+JORNADA!AD254+'DIETOLOGÍA(S)'!AD254)</f>
        <v>0</v>
      </c>
      <c r="AE254" s="7">
        <f>SUM(PACIENTES!AE254+COMEDOR!AE254+JORNADA!AE254+'DIETOLOGÍA(S)'!AE254)</f>
        <v>0</v>
      </c>
      <c r="AF254" s="7">
        <f>SUM(PACIENTES!AF254+COMEDOR!AF254+JORNADA!AF254+'DIETOLOGÍA(S)'!AF254)</f>
        <v>0</v>
      </c>
      <c r="AG254" s="7">
        <f>SUM(PACIENTES!AG254+COMEDOR!AG254+JORNADA!AG254+'DIETOLOGÍA(S)'!AG254)</f>
        <v>0</v>
      </c>
      <c r="AH254" s="7">
        <f>SUM(PACIENTES!AH254+COMEDOR!AH254+JORNADA!AH254+'DIETOLOGÍA(S)'!AH254)</f>
        <v>0</v>
      </c>
      <c r="AI254" s="9">
        <f t="shared" si="9"/>
        <v>6</v>
      </c>
    </row>
    <row r="255" spans="1:35" ht="15.75" customHeight="1">
      <c r="A255" s="193">
        <v>2212009033</v>
      </c>
      <c r="B255" s="195" t="s">
        <v>264</v>
      </c>
      <c r="C255" s="196" t="s">
        <v>6</v>
      </c>
      <c r="D255" s="7">
        <f>SUM(PACIENTES!D255+COMEDOR!D255+JORNADA!D255+'DIETOLOGÍA(S)'!D255)</f>
        <v>0</v>
      </c>
      <c r="E255" s="7">
        <f>SUM(PACIENTES!E255+COMEDOR!E255+JORNADA!E255+'DIETOLOGÍA(S)'!E255)</f>
        <v>0</v>
      </c>
      <c r="F255" s="7">
        <f>SUM(PACIENTES!F255+COMEDOR!F255+JORNADA!F255+'DIETOLOGÍA(S)'!F255)</f>
        <v>5</v>
      </c>
      <c r="G255" s="7">
        <f>SUM(PACIENTES!G255+COMEDOR!G255+JORNADA!G255+'DIETOLOGÍA(S)'!G255)</f>
        <v>4</v>
      </c>
      <c r="H255" s="7">
        <f>SUM(PACIENTES!H255+COMEDOR!H255+JORNADA!H255+'DIETOLOGÍA(S)'!H255)</f>
        <v>2</v>
      </c>
      <c r="I255" s="7">
        <f>SUM(PACIENTES!I255+COMEDOR!I255+JORNADA!I255+'DIETOLOGÍA(S)'!I255)</f>
        <v>3</v>
      </c>
      <c r="J255" s="7">
        <f>SUM(PACIENTES!J255+COMEDOR!J255+JORNADA!J255+'DIETOLOGÍA(S)'!J255)</f>
        <v>3</v>
      </c>
      <c r="K255" s="7">
        <f>SUM(PACIENTES!K255+COMEDOR!K255+JORNADA!K255+'DIETOLOGÍA(S)'!K255)</f>
        <v>1</v>
      </c>
      <c r="L255" s="7">
        <f>SUM(PACIENTES!L255+COMEDOR!L255+JORNADA!L255+'DIETOLOGÍA(S)'!L255)</f>
        <v>3</v>
      </c>
      <c r="M255" s="7">
        <f>SUM(PACIENTES!M255+COMEDOR!M255+JORNADA!M255+'DIETOLOGÍA(S)'!M255)</f>
        <v>2</v>
      </c>
      <c r="N255" s="7">
        <f>SUM(PACIENTES!N255+COMEDOR!N255+JORNADA!N255+'DIETOLOGÍA(S)'!N255)</f>
        <v>1</v>
      </c>
      <c r="O255" s="7">
        <f>SUM(PACIENTES!O255+COMEDOR!O255+JORNADA!O255+'DIETOLOGÍA(S)'!O255)</f>
        <v>1</v>
      </c>
      <c r="P255" s="7">
        <f>SUM(PACIENTES!P255+COMEDOR!P255+JORNADA!P255+'DIETOLOGÍA(S)'!P255)</f>
        <v>2</v>
      </c>
      <c r="Q255" s="7">
        <f>SUM(PACIENTES!Q255+COMEDOR!Q255+JORNADA!Q255+'DIETOLOGÍA(S)'!Q255)</f>
        <v>3</v>
      </c>
      <c r="R255" s="7">
        <f>SUM(PACIENTES!R255+COMEDOR!R255+JORNADA!R255+'DIETOLOGÍA(S)'!R255)</f>
        <v>3</v>
      </c>
      <c r="S255" s="7">
        <f>SUM(PACIENTES!S255+COMEDOR!S255+JORNADA!S255+'DIETOLOGÍA(S)'!S255)</f>
        <v>2</v>
      </c>
      <c r="T255" s="7">
        <f>SUM(PACIENTES!T255+COMEDOR!T255+JORNADA!T255+'DIETOLOGÍA(S)'!T255)</f>
        <v>0</v>
      </c>
      <c r="U255" s="7">
        <f>SUM(PACIENTES!U255+COMEDOR!U255+JORNADA!U255+'DIETOLOGÍA(S)'!U255)</f>
        <v>3</v>
      </c>
      <c r="V255" s="7">
        <f>SUM(PACIENTES!V255+COMEDOR!V255+JORNADA!V255+'DIETOLOGÍA(S)'!V255)</f>
        <v>3</v>
      </c>
      <c r="W255" s="7">
        <f>SUM(PACIENTES!W255+COMEDOR!W255+JORNADA!W255+'DIETOLOGÍA(S)'!W255)</f>
        <v>2</v>
      </c>
      <c r="X255" s="7">
        <f>SUM(PACIENTES!X255+COMEDOR!X255+JORNADA!X255+'DIETOLOGÍA(S)'!X255)</f>
        <v>2</v>
      </c>
      <c r="Y255" s="7">
        <f>SUM(PACIENTES!Y255+COMEDOR!Y255+JORNADA!Y255+'DIETOLOGÍA(S)'!Y255)</f>
        <v>2</v>
      </c>
      <c r="Z255" s="7">
        <f>SUM(PACIENTES!Z255+COMEDOR!Z255+JORNADA!Z255+'DIETOLOGÍA(S)'!Z255)</f>
        <v>1</v>
      </c>
      <c r="AA255" s="7">
        <f>SUM(PACIENTES!AA255+COMEDOR!AA255+JORNADA!AA255+'DIETOLOGÍA(S)'!AA255)</f>
        <v>1</v>
      </c>
      <c r="AB255" s="7">
        <f>SUM(PACIENTES!AB255+COMEDOR!AB255+JORNADA!AB255+'DIETOLOGÍA(S)'!AB255)</f>
        <v>2</v>
      </c>
      <c r="AC255" s="7">
        <f>SUM(PACIENTES!AC255+COMEDOR!AC255+JORNADA!AC255+'DIETOLOGÍA(S)'!AC255)</f>
        <v>3</v>
      </c>
      <c r="AD255" s="7">
        <f>SUM(PACIENTES!AD255+COMEDOR!AD255+JORNADA!AD255+'DIETOLOGÍA(S)'!AD255)</f>
        <v>4</v>
      </c>
      <c r="AE255" s="7">
        <f>SUM(PACIENTES!AE255+COMEDOR!AE255+JORNADA!AE255+'DIETOLOGÍA(S)'!AE255)</f>
        <v>1</v>
      </c>
      <c r="AF255" s="7">
        <f>SUM(PACIENTES!AF255+COMEDOR!AF255+JORNADA!AF255+'DIETOLOGÍA(S)'!AF255)</f>
        <v>6</v>
      </c>
      <c r="AG255" s="7">
        <f>SUM(PACIENTES!AG255+COMEDOR!AG255+JORNADA!AG255+'DIETOLOGÍA(S)'!AG255)</f>
        <v>2</v>
      </c>
      <c r="AH255" s="7">
        <f>SUM(PACIENTES!AH255+COMEDOR!AH255+JORNADA!AH255+'DIETOLOGÍA(S)'!AH255)</f>
        <v>2</v>
      </c>
      <c r="AI255" s="9">
        <f t="shared" si="9"/>
        <v>69</v>
      </c>
    </row>
    <row r="256" spans="1:35" ht="15.75" customHeight="1">
      <c r="A256" s="193">
        <v>2212009034</v>
      </c>
      <c r="B256" s="195" t="s">
        <v>265</v>
      </c>
      <c r="C256" s="196" t="s">
        <v>6</v>
      </c>
      <c r="D256" s="7">
        <f>SUM(PACIENTES!D256+COMEDOR!D256+JORNADA!D256+'DIETOLOGÍA(S)'!D256)</f>
        <v>0</v>
      </c>
      <c r="E256" s="7">
        <f>SUM(PACIENTES!E256+COMEDOR!E256+JORNADA!E256+'DIETOLOGÍA(S)'!E256)</f>
        <v>0</v>
      </c>
      <c r="F256" s="7">
        <f>SUM(PACIENTES!F256+COMEDOR!F256+JORNADA!F256+'DIETOLOGÍA(S)'!F256)</f>
        <v>0</v>
      </c>
      <c r="G256" s="7">
        <f>SUM(PACIENTES!G256+COMEDOR!G256+JORNADA!G256+'DIETOLOGÍA(S)'!G256)</f>
        <v>2</v>
      </c>
      <c r="H256" s="7">
        <f>SUM(PACIENTES!H256+COMEDOR!H256+JORNADA!H256+'DIETOLOGÍA(S)'!H256)</f>
        <v>0</v>
      </c>
      <c r="I256" s="7">
        <f>SUM(PACIENTES!I256+COMEDOR!I256+JORNADA!I256+'DIETOLOGÍA(S)'!I256)</f>
        <v>0</v>
      </c>
      <c r="J256" s="7">
        <f>SUM(PACIENTES!J256+COMEDOR!J256+JORNADA!J256+'DIETOLOGÍA(S)'!J256)</f>
        <v>5</v>
      </c>
      <c r="K256" s="7">
        <f>SUM(PACIENTES!K256+COMEDOR!K256+JORNADA!K256+'DIETOLOGÍA(S)'!K256)</f>
        <v>0</v>
      </c>
      <c r="L256" s="7">
        <f>SUM(PACIENTES!L256+COMEDOR!L256+JORNADA!L256+'DIETOLOGÍA(S)'!L256)</f>
        <v>0</v>
      </c>
      <c r="M256" s="7">
        <f>SUM(PACIENTES!M256+COMEDOR!M256+JORNADA!M256+'DIETOLOGÍA(S)'!M256)</f>
        <v>0</v>
      </c>
      <c r="N256" s="7">
        <f>SUM(PACIENTES!N256+COMEDOR!N256+JORNADA!N256+'DIETOLOGÍA(S)'!N256)</f>
        <v>0</v>
      </c>
      <c r="O256" s="7">
        <f>SUM(PACIENTES!O256+COMEDOR!O256+JORNADA!O256+'DIETOLOGÍA(S)'!O256)</f>
        <v>0</v>
      </c>
      <c r="P256" s="7">
        <f>SUM(PACIENTES!P256+COMEDOR!P256+JORNADA!P256+'DIETOLOGÍA(S)'!P256)</f>
        <v>0</v>
      </c>
      <c r="Q256" s="7">
        <f>SUM(PACIENTES!Q256+COMEDOR!Q256+JORNADA!Q256+'DIETOLOGÍA(S)'!Q256)</f>
        <v>8</v>
      </c>
      <c r="R256" s="7">
        <f>SUM(PACIENTES!R256+COMEDOR!R256+JORNADA!R256+'DIETOLOGÍA(S)'!R256)</f>
        <v>0</v>
      </c>
      <c r="S256" s="7">
        <f>SUM(PACIENTES!S256+COMEDOR!S256+JORNADA!S256+'DIETOLOGÍA(S)'!S256)</f>
        <v>3</v>
      </c>
      <c r="T256" s="7">
        <f>SUM(PACIENTES!T256+COMEDOR!T256+JORNADA!T256+'DIETOLOGÍA(S)'!T256)</f>
        <v>0</v>
      </c>
      <c r="U256" s="7">
        <f>SUM(PACIENTES!U256+COMEDOR!U256+JORNADA!U256+'DIETOLOGÍA(S)'!U256)</f>
        <v>5</v>
      </c>
      <c r="V256" s="7">
        <f>SUM(PACIENTES!V256+COMEDOR!V256+JORNADA!V256+'DIETOLOGÍA(S)'!V256)</f>
        <v>5</v>
      </c>
      <c r="W256" s="7">
        <f>SUM(PACIENTES!W256+COMEDOR!W256+JORNADA!W256+'DIETOLOGÍA(S)'!W256)</f>
        <v>3</v>
      </c>
      <c r="X256" s="7">
        <f>SUM(PACIENTES!X256+COMEDOR!X256+JORNADA!X256+'DIETOLOGÍA(S)'!X256)</f>
        <v>2</v>
      </c>
      <c r="Y256" s="7">
        <f>SUM(PACIENTES!Y256+COMEDOR!Y256+JORNADA!Y256+'DIETOLOGÍA(S)'!Y256)</f>
        <v>5</v>
      </c>
      <c r="Z256" s="7">
        <f>SUM(PACIENTES!Z256+COMEDOR!Z256+JORNADA!Z256+'DIETOLOGÍA(S)'!Z256)</f>
        <v>0</v>
      </c>
      <c r="AA256" s="7">
        <f>SUM(PACIENTES!AA256+COMEDOR!AA256+JORNADA!AA256+'DIETOLOGÍA(S)'!AA256)</f>
        <v>3</v>
      </c>
      <c r="AB256" s="7">
        <f>SUM(PACIENTES!AB256+COMEDOR!AB256+JORNADA!AB256+'DIETOLOGÍA(S)'!AB256)</f>
        <v>5</v>
      </c>
      <c r="AC256" s="7">
        <f>SUM(PACIENTES!AC256+COMEDOR!AC256+JORNADA!AC256+'DIETOLOGÍA(S)'!AC256)</f>
        <v>2</v>
      </c>
      <c r="AD256" s="7">
        <f>SUM(PACIENTES!AD256+COMEDOR!AD256+JORNADA!AD256+'DIETOLOGÍA(S)'!AD256)</f>
        <v>2</v>
      </c>
      <c r="AE256" s="7">
        <f>SUM(PACIENTES!AE256+COMEDOR!AE256+JORNADA!AE256+'DIETOLOGÍA(S)'!AE256)</f>
        <v>1</v>
      </c>
      <c r="AF256" s="7">
        <f>SUM(PACIENTES!AF256+COMEDOR!AF256+JORNADA!AF256+'DIETOLOGÍA(S)'!AF256)</f>
        <v>7</v>
      </c>
      <c r="AG256" s="7">
        <f>SUM(PACIENTES!AG256+COMEDOR!AG256+JORNADA!AG256+'DIETOLOGÍA(S)'!AG256)</f>
        <v>0</v>
      </c>
      <c r="AH256" s="7">
        <f>SUM(PACIENTES!AH256+COMEDOR!AH256+JORNADA!AH256+'DIETOLOGÍA(S)'!AH256)</f>
        <v>0</v>
      </c>
      <c r="AI256" s="9">
        <f t="shared" si="9"/>
        <v>58</v>
      </c>
    </row>
    <row r="257" spans="1:35" ht="15.75" customHeight="1">
      <c r="A257" s="193">
        <v>2212009035</v>
      </c>
      <c r="B257" s="195" t="s">
        <v>266</v>
      </c>
      <c r="C257" s="196" t="s">
        <v>267</v>
      </c>
      <c r="D257" s="7">
        <f>SUM(PACIENTES!D257+COMEDOR!D257+JORNADA!D257+'DIETOLOGÍA(S)'!D257)</f>
        <v>0</v>
      </c>
      <c r="E257" s="7">
        <f>SUM(PACIENTES!E257+COMEDOR!E257+JORNADA!E257+'DIETOLOGÍA(S)'!E257)</f>
        <v>0</v>
      </c>
      <c r="F257" s="7">
        <f>SUM(PACIENTES!F257+COMEDOR!F257+JORNADA!F257+'DIETOLOGÍA(S)'!F257)</f>
        <v>0</v>
      </c>
      <c r="G257" s="7">
        <f>SUM(PACIENTES!G257+COMEDOR!G257+JORNADA!G257+'DIETOLOGÍA(S)'!G257)</f>
        <v>0</v>
      </c>
      <c r="H257" s="7">
        <f>SUM(PACIENTES!H257+COMEDOR!H257+JORNADA!H257+'DIETOLOGÍA(S)'!H257)</f>
        <v>0</v>
      </c>
      <c r="I257" s="7">
        <f>SUM(PACIENTES!I257+COMEDOR!I257+JORNADA!I257+'DIETOLOGÍA(S)'!I257)</f>
        <v>1</v>
      </c>
      <c r="J257" s="7">
        <f>SUM(PACIENTES!J257+COMEDOR!J257+JORNADA!J257+'DIETOLOGÍA(S)'!J257)</f>
        <v>0</v>
      </c>
      <c r="K257" s="7">
        <f>SUM(PACIENTES!K257+COMEDOR!K257+JORNADA!K257+'DIETOLOGÍA(S)'!K257)</f>
        <v>0</v>
      </c>
      <c r="L257" s="7">
        <f>SUM(PACIENTES!L257+COMEDOR!L257+JORNADA!L257+'DIETOLOGÍA(S)'!L257)</f>
        <v>0</v>
      </c>
      <c r="M257" s="7">
        <f>SUM(PACIENTES!M257+COMEDOR!M257+JORNADA!M257+'DIETOLOGÍA(S)'!M257)</f>
        <v>0</v>
      </c>
      <c r="N257" s="7">
        <f>SUM(PACIENTES!N257+COMEDOR!N257+JORNADA!N257+'DIETOLOGÍA(S)'!N257)</f>
        <v>0</v>
      </c>
      <c r="O257" s="7">
        <f>SUM(PACIENTES!O257+COMEDOR!O257+JORNADA!O257+'DIETOLOGÍA(S)'!O257)</f>
        <v>0</v>
      </c>
      <c r="P257" s="7">
        <f>SUM(PACIENTES!P257+COMEDOR!P257+JORNADA!P257+'DIETOLOGÍA(S)'!P257)</f>
        <v>0</v>
      </c>
      <c r="Q257" s="7">
        <f>SUM(PACIENTES!Q257+COMEDOR!Q257+JORNADA!Q257+'DIETOLOGÍA(S)'!Q257)</f>
        <v>0</v>
      </c>
      <c r="R257" s="7">
        <f>SUM(PACIENTES!R257+COMEDOR!R257+JORNADA!R257+'DIETOLOGÍA(S)'!R257)</f>
        <v>0</v>
      </c>
      <c r="S257" s="7">
        <f>SUM(PACIENTES!S257+COMEDOR!S257+JORNADA!S257+'DIETOLOGÍA(S)'!S257)</f>
        <v>0</v>
      </c>
      <c r="T257" s="7">
        <f>SUM(PACIENTES!T257+COMEDOR!T257+JORNADA!T257+'DIETOLOGÍA(S)'!T257)</f>
        <v>0</v>
      </c>
      <c r="U257" s="7">
        <f>SUM(PACIENTES!U257+COMEDOR!U257+JORNADA!U257+'DIETOLOGÍA(S)'!U257)</f>
        <v>0</v>
      </c>
      <c r="V257" s="7">
        <f>SUM(PACIENTES!V257+COMEDOR!V257+JORNADA!V257+'DIETOLOGÍA(S)'!V257)</f>
        <v>0</v>
      </c>
      <c r="W257" s="7">
        <f>SUM(PACIENTES!W257+COMEDOR!W257+JORNADA!W257+'DIETOLOGÍA(S)'!W257)</f>
        <v>0</v>
      </c>
      <c r="X257" s="7">
        <f>SUM(PACIENTES!X257+COMEDOR!X257+JORNADA!X257+'DIETOLOGÍA(S)'!X257)</f>
        <v>0</v>
      </c>
      <c r="Y257" s="7">
        <f>SUM(PACIENTES!Y257+COMEDOR!Y257+JORNADA!Y257+'DIETOLOGÍA(S)'!Y257)</f>
        <v>0</v>
      </c>
      <c r="Z257" s="7">
        <f>SUM(PACIENTES!Z257+COMEDOR!Z257+JORNADA!Z257+'DIETOLOGÍA(S)'!Z257)</f>
        <v>0</v>
      </c>
      <c r="AA257" s="7">
        <f>SUM(PACIENTES!AA257+COMEDOR!AA257+JORNADA!AA257+'DIETOLOGÍA(S)'!AA257)</f>
        <v>0</v>
      </c>
      <c r="AB257" s="7">
        <f>SUM(PACIENTES!AB257+COMEDOR!AB257+JORNADA!AB257+'DIETOLOGÍA(S)'!AB257)</f>
        <v>0</v>
      </c>
      <c r="AC257" s="7">
        <f>SUM(PACIENTES!AC257+COMEDOR!AC257+JORNADA!AC257+'DIETOLOGÍA(S)'!AC257)</f>
        <v>0</v>
      </c>
      <c r="AD257" s="7">
        <f>SUM(PACIENTES!AD257+COMEDOR!AD257+JORNADA!AD257+'DIETOLOGÍA(S)'!AD257)</f>
        <v>0</v>
      </c>
      <c r="AE257" s="7">
        <f>SUM(PACIENTES!AE257+COMEDOR!AE257+JORNADA!AE257+'DIETOLOGÍA(S)'!AE257)</f>
        <v>0</v>
      </c>
      <c r="AF257" s="7">
        <f>SUM(PACIENTES!AF257+COMEDOR!AF257+JORNADA!AF257+'DIETOLOGÍA(S)'!AF257)</f>
        <v>0</v>
      </c>
      <c r="AG257" s="7">
        <f>SUM(PACIENTES!AG257+COMEDOR!AG257+JORNADA!AG257+'DIETOLOGÍA(S)'!AG257)</f>
        <v>0</v>
      </c>
      <c r="AH257" s="7">
        <f>SUM(PACIENTES!AH257+COMEDOR!AH257+JORNADA!AH257+'DIETOLOGÍA(S)'!AH257)</f>
        <v>0</v>
      </c>
      <c r="AI257" s="9">
        <f t="shared" si="9"/>
        <v>1</v>
      </c>
    </row>
    <row r="258" spans="1:35" ht="15.75" customHeight="1">
      <c r="A258" s="193">
        <v>2212009036</v>
      </c>
      <c r="B258" s="195" t="s">
        <v>268</v>
      </c>
      <c r="C258" s="196" t="s">
        <v>6</v>
      </c>
      <c r="D258" s="7">
        <f>SUM(PACIENTES!D258+COMEDOR!D258+JORNADA!D258+'DIETOLOGÍA(S)'!D258)</f>
        <v>0</v>
      </c>
      <c r="E258" s="7">
        <f>SUM(PACIENTES!E258+COMEDOR!E258+JORNADA!E258+'DIETOLOGÍA(S)'!E258)</f>
        <v>5</v>
      </c>
      <c r="F258" s="7">
        <f>SUM(PACIENTES!F258+COMEDOR!F258+JORNADA!F258+'DIETOLOGÍA(S)'!F258)</f>
        <v>1</v>
      </c>
      <c r="G258" s="7">
        <f>SUM(PACIENTES!G258+COMEDOR!G258+JORNADA!G258+'DIETOLOGÍA(S)'!G258)</f>
        <v>0</v>
      </c>
      <c r="H258" s="7">
        <f>SUM(PACIENTES!H258+COMEDOR!H258+JORNADA!H258+'DIETOLOGÍA(S)'!H258)</f>
        <v>0</v>
      </c>
      <c r="I258" s="7">
        <f>SUM(PACIENTES!I258+COMEDOR!I258+JORNADA!I258+'DIETOLOGÍA(S)'!I258)</f>
        <v>1</v>
      </c>
      <c r="J258" s="7">
        <f>SUM(PACIENTES!J258+COMEDOR!J258+JORNADA!J258+'DIETOLOGÍA(S)'!J258)</f>
        <v>0</v>
      </c>
      <c r="K258" s="7">
        <f>SUM(PACIENTES!K258+COMEDOR!K258+JORNADA!K258+'DIETOLOGÍA(S)'!K258)</f>
        <v>0</v>
      </c>
      <c r="L258" s="7">
        <f>SUM(PACIENTES!L258+COMEDOR!L258+JORNADA!L258+'DIETOLOGÍA(S)'!L258)</f>
        <v>0</v>
      </c>
      <c r="M258" s="7">
        <f>SUM(PACIENTES!M258+COMEDOR!M258+JORNADA!M258+'DIETOLOGÍA(S)'!M258)</f>
        <v>1</v>
      </c>
      <c r="N258" s="7">
        <f>SUM(PACIENTES!N258+COMEDOR!N258+JORNADA!N258+'DIETOLOGÍA(S)'!N258)</f>
        <v>0</v>
      </c>
      <c r="O258" s="7">
        <f>SUM(PACIENTES!O258+COMEDOR!O258+JORNADA!O258+'DIETOLOGÍA(S)'!O258)</f>
        <v>1</v>
      </c>
      <c r="P258" s="7">
        <f>SUM(PACIENTES!P258+COMEDOR!P258+JORNADA!P258+'DIETOLOGÍA(S)'!P258)</f>
        <v>1</v>
      </c>
      <c r="Q258" s="7">
        <f>SUM(PACIENTES!Q258+COMEDOR!Q258+JORNADA!Q258+'DIETOLOGÍA(S)'!Q258)</f>
        <v>0</v>
      </c>
      <c r="R258" s="7">
        <f>SUM(PACIENTES!R258+COMEDOR!R258+JORNADA!R258+'DIETOLOGÍA(S)'!R258)</f>
        <v>0</v>
      </c>
      <c r="S258" s="7">
        <f>SUM(PACIENTES!S258+COMEDOR!S258+JORNADA!S258+'DIETOLOGÍA(S)'!S258)</f>
        <v>0</v>
      </c>
      <c r="T258" s="7">
        <f>SUM(PACIENTES!T258+COMEDOR!T258+JORNADA!T258+'DIETOLOGÍA(S)'!T258)</f>
        <v>1</v>
      </c>
      <c r="U258" s="7">
        <f>SUM(PACIENTES!U258+COMEDOR!U258+JORNADA!U258+'DIETOLOGÍA(S)'!U258)</f>
        <v>0</v>
      </c>
      <c r="V258" s="7">
        <f>SUM(PACIENTES!V258+COMEDOR!V258+JORNADA!V258+'DIETOLOGÍA(S)'!V258)</f>
        <v>0</v>
      </c>
      <c r="W258" s="7">
        <f>SUM(PACIENTES!W258+COMEDOR!W258+JORNADA!W258+'DIETOLOGÍA(S)'!W258)</f>
        <v>1</v>
      </c>
      <c r="X258" s="7">
        <f>SUM(PACIENTES!X258+COMEDOR!X258+JORNADA!X258+'DIETOLOGÍA(S)'!X258)</f>
        <v>0</v>
      </c>
      <c r="Y258" s="7">
        <f>SUM(PACIENTES!Y258+COMEDOR!Y258+JORNADA!Y258+'DIETOLOGÍA(S)'!Y258)</f>
        <v>0</v>
      </c>
      <c r="Z258" s="7">
        <f>SUM(PACIENTES!Z258+COMEDOR!Z258+JORNADA!Z258+'DIETOLOGÍA(S)'!Z258)</f>
        <v>0</v>
      </c>
      <c r="AA258" s="7">
        <f>SUM(PACIENTES!AA258+COMEDOR!AA258+JORNADA!AA258+'DIETOLOGÍA(S)'!AA258)</f>
        <v>1</v>
      </c>
      <c r="AB258" s="7">
        <f>SUM(PACIENTES!AB258+COMEDOR!AB258+JORNADA!AB258+'DIETOLOGÍA(S)'!AB258)</f>
        <v>0</v>
      </c>
      <c r="AC258" s="7">
        <f>SUM(PACIENTES!AC258+COMEDOR!AC258+JORNADA!AC258+'DIETOLOGÍA(S)'!AC258)</f>
        <v>0</v>
      </c>
      <c r="AD258" s="7">
        <f>SUM(PACIENTES!AD258+COMEDOR!AD258+JORNADA!AD258+'DIETOLOGÍA(S)'!AD258)</f>
        <v>0</v>
      </c>
      <c r="AE258" s="7">
        <f>SUM(PACIENTES!AE258+COMEDOR!AE258+JORNADA!AE258+'DIETOLOGÍA(S)'!AE258)</f>
        <v>0</v>
      </c>
      <c r="AF258" s="7">
        <f>SUM(PACIENTES!AF258+COMEDOR!AF258+JORNADA!AF258+'DIETOLOGÍA(S)'!AF258)</f>
        <v>0</v>
      </c>
      <c r="AG258" s="7">
        <f>SUM(PACIENTES!AG258+COMEDOR!AG258+JORNADA!AG258+'DIETOLOGÍA(S)'!AG258)</f>
        <v>0</v>
      </c>
      <c r="AH258" s="7">
        <f>SUM(PACIENTES!AH258+COMEDOR!AH258+JORNADA!AH258+'DIETOLOGÍA(S)'!AH258)</f>
        <v>1</v>
      </c>
      <c r="AI258" s="9">
        <f t="shared" si="9"/>
        <v>14</v>
      </c>
    </row>
    <row r="259" spans="1:35" ht="15.75" customHeight="1">
      <c r="A259" s="193">
        <v>2212009037</v>
      </c>
      <c r="B259" s="195" t="s">
        <v>269</v>
      </c>
      <c r="C259" s="196" t="s">
        <v>6</v>
      </c>
      <c r="D259" s="7">
        <f>SUM(PACIENTES!D259+COMEDOR!D259+JORNADA!D259+'DIETOLOGÍA(S)'!D259)</f>
        <v>0</v>
      </c>
      <c r="E259" s="7">
        <f>SUM(PACIENTES!E259+COMEDOR!E259+JORNADA!E259+'DIETOLOGÍA(S)'!E259)</f>
        <v>0</v>
      </c>
      <c r="F259" s="7">
        <f>SUM(PACIENTES!F259+COMEDOR!F259+JORNADA!F259+'DIETOLOGÍA(S)'!F259)</f>
        <v>0</v>
      </c>
      <c r="G259" s="7">
        <f>SUM(PACIENTES!G259+COMEDOR!G259+JORNADA!G259+'DIETOLOGÍA(S)'!G259)</f>
        <v>0</v>
      </c>
      <c r="H259" s="7">
        <f>SUM(PACIENTES!H259+COMEDOR!H259+JORNADA!H259+'DIETOLOGÍA(S)'!H259)</f>
        <v>0</v>
      </c>
      <c r="I259" s="7">
        <f>SUM(PACIENTES!I259+COMEDOR!I259+JORNADA!I259+'DIETOLOGÍA(S)'!I259)</f>
        <v>0</v>
      </c>
      <c r="J259" s="7">
        <f>SUM(PACIENTES!J259+COMEDOR!J259+JORNADA!J259+'DIETOLOGÍA(S)'!J259)</f>
        <v>0</v>
      </c>
      <c r="K259" s="7">
        <f>SUM(PACIENTES!K259+COMEDOR!K259+JORNADA!K259+'DIETOLOGÍA(S)'!K259)</f>
        <v>0</v>
      </c>
      <c r="L259" s="7">
        <f>SUM(PACIENTES!L259+COMEDOR!L259+JORNADA!L259+'DIETOLOGÍA(S)'!L259)</f>
        <v>0</v>
      </c>
      <c r="M259" s="7">
        <f>SUM(PACIENTES!M259+COMEDOR!M259+JORNADA!M259+'DIETOLOGÍA(S)'!M259)</f>
        <v>0</v>
      </c>
      <c r="N259" s="7">
        <f>SUM(PACIENTES!N259+COMEDOR!N259+JORNADA!N259+'DIETOLOGÍA(S)'!N259)</f>
        <v>0</v>
      </c>
      <c r="O259" s="7">
        <f>SUM(PACIENTES!O259+COMEDOR!O259+JORNADA!O259+'DIETOLOGÍA(S)'!O259)</f>
        <v>0</v>
      </c>
      <c r="P259" s="7">
        <f>SUM(PACIENTES!P259+COMEDOR!P259+JORNADA!P259+'DIETOLOGÍA(S)'!P259)</f>
        <v>0</v>
      </c>
      <c r="Q259" s="7">
        <f>SUM(PACIENTES!Q259+COMEDOR!Q259+JORNADA!Q259+'DIETOLOGÍA(S)'!Q259)</f>
        <v>0</v>
      </c>
      <c r="R259" s="7">
        <f>SUM(PACIENTES!R259+COMEDOR!R259+JORNADA!R259+'DIETOLOGÍA(S)'!R259)</f>
        <v>0</v>
      </c>
      <c r="S259" s="7">
        <f>SUM(PACIENTES!S259+COMEDOR!S259+JORNADA!S259+'DIETOLOGÍA(S)'!S259)</f>
        <v>0</v>
      </c>
      <c r="T259" s="7">
        <f>SUM(PACIENTES!T259+COMEDOR!T259+JORNADA!T259+'DIETOLOGÍA(S)'!T259)</f>
        <v>0</v>
      </c>
      <c r="U259" s="7">
        <f>SUM(PACIENTES!U259+COMEDOR!U259+JORNADA!U259+'DIETOLOGÍA(S)'!U259)</f>
        <v>0</v>
      </c>
      <c r="V259" s="7">
        <f>SUM(PACIENTES!V259+COMEDOR!V259+JORNADA!V259+'DIETOLOGÍA(S)'!V259)</f>
        <v>0</v>
      </c>
      <c r="W259" s="7">
        <f>SUM(PACIENTES!W259+COMEDOR!W259+JORNADA!W259+'DIETOLOGÍA(S)'!W259)</f>
        <v>0</v>
      </c>
      <c r="X259" s="7">
        <f>SUM(PACIENTES!X259+COMEDOR!X259+JORNADA!X259+'DIETOLOGÍA(S)'!X259)</f>
        <v>0</v>
      </c>
      <c r="Y259" s="7">
        <f>SUM(PACIENTES!Y259+COMEDOR!Y259+JORNADA!Y259+'DIETOLOGÍA(S)'!Y259)</f>
        <v>0</v>
      </c>
      <c r="Z259" s="7">
        <f>SUM(PACIENTES!Z259+COMEDOR!Z259+JORNADA!Z259+'DIETOLOGÍA(S)'!Z259)</f>
        <v>0</v>
      </c>
      <c r="AA259" s="7">
        <f>SUM(PACIENTES!AA259+COMEDOR!AA259+JORNADA!AA259+'DIETOLOGÍA(S)'!AA259)</f>
        <v>0</v>
      </c>
      <c r="AB259" s="7">
        <f>SUM(PACIENTES!AB259+COMEDOR!AB259+JORNADA!AB259+'DIETOLOGÍA(S)'!AB259)</f>
        <v>0</v>
      </c>
      <c r="AC259" s="7">
        <f>SUM(PACIENTES!AC259+COMEDOR!AC259+JORNADA!AC259+'DIETOLOGÍA(S)'!AC259)</f>
        <v>0</v>
      </c>
      <c r="AD259" s="7">
        <f>SUM(PACIENTES!AD259+COMEDOR!AD259+JORNADA!AD259+'DIETOLOGÍA(S)'!AD259)</f>
        <v>0</v>
      </c>
      <c r="AE259" s="7">
        <f>SUM(PACIENTES!AE259+COMEDOR!AE259+JORNADA!AE259+'DIETOLOGÍA(S)'!AE259)</f>
        <v>0</v>
      </c>
      <c r="AF259" s="7">
        <f>SUM(PACIENTES!AF259+COMEDOR!AF259+JORNADA!AF259+'DIETOLOGÍA(S)'!AF259)</f>
        <v>0</v>
      </c>
      <c r="AG259" s="7">
        <f>SUM(PACIENTES!AG259+COMEDOR!AG259+JORNADA!AG259+'DIETOLOGÍA(S)'!AG259)</f>
        <v>0</v>
      </c>
      <c r="AH259" s="7">
        <f>SUM(PACIENTES!AH259+COMEDOR!AH259+JORNADA!AH259+'DIETOLOGÍA(S)'!AH259)</f>
        <v>0</v>
      </c>
      <c r="AI259" s="9">
        <f t="shared" si="9"/>
        <v>0</v>
      </c>
    </row>
    <row r="260" spans="1:35" ht="15.75" customHeight="1">
      <c r="A260" s="193">
        <v>2212009038</v>
      </c>
      <c r="B260" s="195" t="s">
        <v>270</v>
      </c>
      <c r="C260" s="196" t="s">
        <v>6</v>
      </c>
      <c r="D260" s="7">
        <f>SUM(PACIENTES!D260+COMEDOR!D260+JORNADA!D260+'DIETOLOGÍA(S)'!D260)</f>
        <v>0</v>
      </c>
      <c r="E260" s="7">
        <f>SUM(PACIENTES!E260+COMEDOR!E260+JORNADA!E260+'DIETOLOGÍA(S)'!E260)</f>
        <v>0</v>
      </c>
      <c r="F260" s="7">
        <f>SUM(PACIENTES!F260+COMEDOR!F260+JORNADA!F260+'DIETOLOGÍA(S)'!F260)</f>
        <v>0</v>
      </c>
      <c r="G260" s="7">
        <f>SUM(PACIENTES!G260+COMEDOR!G260+JORNADA!G260+'DIETOLOGÍA(S)'!G260)</f>
        <v>0</v>
      </c>
      <c r="H260" s="7">
        <f>SUM(PACIENTES!H260+COMEDOR!H260+JORNADA!H260+'DIETOLOGÍA(S)'!H260)</f>
        <v>0</v>
      </c>
      <c r="I260" s="7">
        <f>SUM(PACIENTES!I260+COMEDOR!I260+JORNADA!I260+'DIETOLOGÍA(S)'!I260)</f>
        <v>0</v>
      </c>
      <c r="J260" s="7">
        <f>SUM(PACIENTES!J260+COMEDOR!J260+JORNADA!J260+'DIETOLOGÍA(S)'!J260)</f>
        <v>0</v>
      </c>
      <c r="K260" s="7">
        <f>SUM(PACIENTES!K260+COMEDOR!K260+JORNADA!K260+'DIETOLOGÍA(S)'!K260)</f>
        <v>0</v>
      </c>
      <c r="L260" s="7">
        <f>SUM(PACIENTES!L260+COMEDOR!L260+JORNADA!L260+'DIETOLOGÍA(S)'!L260)</f>
        <v>0</v>
      </c>
      <c r="M260" s="7">
        <f>SUM(PACIENTES!M260+COMEDOR!M260+JORNADA!M260+'DIETOLOGÍA(S)'!M260)</f>
        <v>0</v>
      </c>
      <c r="N260" s="7">
        <f>SUM(PACIENTES!N260+COMEDOR!N260+JORNADA!N260+'DIETOLOGÍA(S)'!N260)</f>
        <v>0</v>
      </c>
      <c r="O260" s="7">
        <f>SUM(PACIENTES!O260+COMEDOR!O260+JORNADA!O260+'DIETOLOGÍA(S)'!O260)</f>
        <v>0</v>
      </c>
      <c r="P260" s="7">
        <f>SUM(PACIENTES!P260+COMEDOR!P260+JORNADA!P260+'DIETOLOGÍA(S)'!P260)</f>
        <v>0</v>
      </c>
      <c r="Q260" s="7">
        <f>SUM(PACIENTES!Q260+COMEDOR!Q260+JORNADA!Q260+'DIETOLOGÍA(S)'!Q260)</f>
        <v>0</v>
      </c>
      <c r="R260" s="7">
        <f>SUM(PACIENTES!R260+COMEDOR!R260+JORNADA!R260+'DIETOLOGÍA(S)'!R260)</f>
        <v>0</v>
      </c>
      <c r="S260" s="7">
        <f>SUM(PACIENTES!S260+COMEDOR!S260+JORNADA!S260+'DIETOLOGÍA(S)'!S260)</f>
        <v>0</v>
      </c>
      <c r="T260" s="7">
        <f>SUM(PACIENTES!T260+COMEDOR!T260+JORNADA!T260+'DIETOLOGÍA(S)'!T260)</f>
        <v>0</v>
      </c>
      <c r="U260" s="7">
        <f>SUM(PACIENTES!U260+COMEDOR!U260+JORNADA!U260+'DIETOLOGÍA(S)'!U260)</f>
        <v>0</v>
      </c>
      <c r="V260" s="7">
        <f>SUM(PACIENTES!V260+COMEDOR!V260+JORNADA!V260+'DIETOLOGÍA(S)'!V260)</f>
        <v>0</v>
      </c>
      <c r="W260" s="7">
        <f>SUM(PACIENTES!W260+COMEDOR!W260+JORNADA!W260+'DIETOLOGÍA(S)'!W260)</f>
        <v>0</v>
      </c>
      <c r="X260" s="7">
        <f>SUM(PACIENTES!X260+COMEDOR!X260+JORNADA!X260+'DIETOLOGÍA(S)'!X260)</f>
        <v>0</v>
      </c>
      <c r="Y260" s="7">
        <f>SUM(PACIENTES!Y260+COMEDOR!Y260+JORNADA!Y260+'DIETOLOGÍA(S)'!Y260)</f>
        <v>0</v>
      </c>
      <c r="Z260" s="7">
        <f>SUM(PACIENTES!Z260+COMEDOR!Z260+JORNADA!Z260+'DIETOLOGÍA(S)'!Z260)</f>
        <v>0</v>
      </c>
      <c r="AA260" s="7">
        <f>SUM(PACIENTES!AA260+COMEDOR!AA260+JORNADA!AA260+'DIETOLOGÍA(S)'!AA260)</f>
        <v>0</v>
      </c>
      <c r="AB260" s="7">
        <f>SUM(PACIENTES!AB260+COMEDOR!AB260+JORNADA!AB260+'DIETOLOGÍA(S)'!AB260)</f>
        <v>0</v>
      </c>
      <c r="AC260" s="7">
        <f>SUM(PACIENTES!AC260+COMEDOR!AC260+JORNADA!AC260+'DIETOLOGÍA(S)'!AC260)</f>
        <v>0</v>
      </c>
      <c r="AD260" s="7">
        <f>SUM(PACIENTES!AD260+COMEDOR!AD260+JORNADA!AD260+'DIETOLOGÍA(S)'!AD260)</f>
        <v>0</v>
      </c>
      <c r="AE260" s="7">
        <f>SUM(PACIENTES!AE260+COMEDOR!AE260+JORNADA!AE260+'DIETOLOGÍA(S)'!AE260)</f>
        <v>0</v>
      </c>
      <c r="AF260" s="7">
        <f>SUM(PACIENTES!AF260+COMEDOR!AF260+JORNADA!AF260+'DIETOLOGÍA(S)'!AF260)</f>
        <v>0</v>
      </c>
      <c r="AG260" s="7">
        <f>SUM(PACIENTES!AG260+COMEDOR!AG260+JORNADA!AG260+'DIETOLOGÍA(S)'!AG260)</f>
        <v>0</v>
      </c>
      <c r="AH260" s="7">
        <f>SUM(PACIENTES!AH260+COMEDOR!AH260+JORNADA!AH260+'DIETOLOGÍA(S)'!AH260)</f>
        <v>0</v>
      </c>
      <c r="AI260" s="9">
        <f t="shared" si="9"/>
        <v>0</v>
      </c>
    </row>
    <row r="261" spans="1:35" ht="15.75" customHeight="1">
      <c r="A261" s="209">
        <v>2212009041</v>
      </c>
      <c r="B261" s="210" t="s">
        <v>271</v>
      </c>
      <c r="C261" s="211" t="s">
        <v>86</v>
      </c>
      <c r="D261" s="77">
        <f>SUM(PACIENTES!D261+COMEDOR!D261+JORNADA!D261+'DIETOLOGÍA(S)'!D261)</f>
        <v>0</v>
      </c>
      <c r="E261" s="77">
        <f>SUM(PACIENTES!E261+COMEDOR!E261+JORNADA!E261+'DIETOLOGÍA(S)'!E261)</f>
        <v>0</v>
      </c>
      <c r="F261" s="77">
        <f>SUM(PACIENTES!F261+COMEDOR!F261+JORNADA!F261+'DIETOLOGÍA(S)'!F261)</f>
        <v>0</v>
      </c>
      <c r="G261" s="77">
        <f>SUM(PACIENTES!G261+COMEDOR!G261+JORNADA!G261+'DIETOLOGÍA(S)'!G261)</f>
        <v>0</v>
      </c>
      <c r="H261" s="77">
        <f>SUM(PACIENTES!H261+COMEDOR!H261+JORNADA!H261+'DIETOLOGÍA(S)'!H261)</f>
        <v>0</v>
      </c>
      <c r="I261" s="77">
        <f>SUM(PACIENTES!I261+COMEDOR!I261+JORNADA!I261+'DIETOLOGÍA(S)'!I261)</f>
        <v>0</v>
      </c>
      <c r="J261" s="77">
        <f>SUM(PACIENTES!J261+COMEDOR!J261+JORNADA!J261+'DIETOLOGÍA(S)'!J261)</f>
        <v>0</v>
      </c>
      <c r="K261" s="77">
        <f>SUM(PACIENTES!K261+COMEDOR!K261+JORNADA!K261+'DIETOLOGÍA(S)'!K261)</f>
        <v>0</v>
      </c>
      <c r="L261" s="77">
        <f>SUM(PACIENTES!L261+COMEDOR!L261+JORNADA!L261+'DIETOLOGÍA(S)'!L261)</f>
        <v>0</v>
      </c>
      <c r="M261" s="77">
        <f>SUM(PACIENTES!M261+COMEDOR!M261+JORNADA!M261+'DIETOLOGÍA(S)'!M261)</f>
        <v>0</v>
      </c>
      <c r="N261" s="77">
        <f>SUM(PACIENTES!N261+COMEDOR!N261+JORNADA!N261+'DIETOLOGÍA(S)'!N261)</f>
        <v>0</v>
      </c>
      <c r="O261" s="77">
        <f>SUM(PACIENTES!O261+COMEDOR!O261+JORNADA!O261+'DIETOLOGÍA(S)'!O261)</f>
        <v>0</v>
      </c>
      <c r="P261" s="77">
        <f>SUM(PACIENTES!P261+COMEDOR!P261+JORNADA!P261+'DIETOLOGÍA(S)'!P261)</f>
        <v>0</v>
      </c>
      <c r="Q261" s="77">
        <f>SUM(PACIENTES!Q261+COMEDOR!Q261+JORNADA!Q261+'DIETOLOGÍA(S)'!Q261)</f>
        <v>0</v>
      </c>
      <c r="R261" s="77">
        <f>SUM(PACIENTES!R261+COMEDOR!R261+JORNADA!R261+'DIETOLOGÍA(S)'!R261)</f>
        <v>0</v>
      </c>
      <c r="S261" s="77">
        <f>SUM(PACIENTES!S261+COMEDOR!S261+JORNADA!S261+'DIETOLOGÍA(S)'!S261)</f>
        <v>0</v>
      </c>
      <c r="T261" s="77">
        <f>SUM(PACIENTES!T261+COMEDOR!T261+JORNADA!T261+'DIETOLOGÍA(S)'!T261)</f>
        <v>0</v>
      </c>
      <c r="U261" s="77">
        <f>SUM(PACIENTES!U261+COMEDOR!U261+JORNADA!U261+'DIETOLOGÍA(S)'!U261)</f>
        <v>0</v>
      </c>
      <c r="V261" s="77">
        <f>SUM(PACIENTES!V261+COMEDOR!V261+JORNADA!V261+'DIETOLOGÍA(S)'!V261)</f>
        <v>0</v>
      </c>
      <c r="W261" s="77">
        <f>SUM(PACIENTES!W261+COMEDOR!W261+JORNADA!W261+'DIETOLOGÍA(S)'!W261)</f>
        <v>0</v>
      </c>
      <c r="X261" s="77">
        <f>SUM(PACIENTES!X261+COMEDOR!X261+JORNADA!X261+'DIETOLOGÍA(S)'!X261)</f>
        <v>0</v>
      </c>
      <c r="Y261" s="77">
        <f>SUM(PACIENTES!Y261+COMEDOR!Y261+JORNADA!Y261+'DIETOLOGÍA(S)'!Y261)</f>
        <v>0</v>
      </c>
      <c r="Z261" s="77">
        <f>SUM(PACIENTES!Z261+COMEDOR!Z261+JORNADA!Z261+'DIETOLOGÍA(S)'!Z261)</f>
        <v>0</v>
      </c>
      <c r="AA261" s="77">
        <f>SUM(PACIENTES!AA261+COMEDOR!AA261+JORNADA!AA261+'DIETOLOGÍA(S)'!AA261)</f>
        <v>0</v>
      </c>
      <c r="AB261" s="77">
        <f>SUM(PACIENTES!AB261+COMEDOR!AB261+JORNADA!AB261+'DIETOLOGÍA(S)'!AB261)</f>
        <v>0</v>
      </c>
      <c r="AC261" s="77">
        <f>SUM(PACIENTES!AC261+COMEDOR!AC261+JORNADA!AC261+'DIETOLOGÍA(S)'!AC261)</f>
        <v>0</v>
      </c>
      <c r="AD261" s="77">
        <f>SUM(PACIENTES!AD261+COMEDOR!AD261+JORNADA!AD261+'DIETOLOGÍA(S)'!AD261)</f>
        <v>0</v>
      </c>
      <c r="AE261" s="77">
        <f>SUM(PACIENTES!AE261+COMEDOR!AE261+JORNADA!AE261+'DIETOLOGÍA(S)'!AE261)</f>
        <v>0</v>
      </c>
      <c r="AF261" s="77">
        <f>SUM(PACIENTES!AF261+COMEDOR!AF261+JORNADA!AF261+'DIETOLOGÍA(S)'!AF261)</f>
        <v>0</v>
      </c>
      <c r="AG261" s="77">
        <f>SUM(PACIENTES!AG261+COMEDOR!AG261+JORNADA!AG261+'DIETOLOGÍA(S)'!AG261)</f>
        <v>0</v>
      </c>
      <c r="AH261" s="77">
        <f>SUM(PACIENTES!AH261+COMEDOR!AH261+JORNADA!AH261+'DIETOLOGÍA(S)'!AH261)</f>
        <v>0</v>
      </c>
      <c r="AI261" s="40">
        <f t="shared" si="9"/>
        <v>0</v>
      </c>
    </row>
    <row r="262" spans="1:35" ht="18.75" customHeight="1">
      <c r="A262" s="610" t="s">
        <v>272</v>
      </c>
      <c r="B262" s="606"/>
      <c r="C262" s="606"/>
      <c r="D262" s="606"/>
      <c r="E262" s="606"/>
      <c r="F262" s="606"/>
      <c r="G262" s="606"/>
      <c r="H262" s="606"/>
      <c r="I262" s="606"/>
      <c r="J262" s="606"/>
      <c r="K262" s="606"/>
      <c r="L262" s="606"/>
      <c r="M262" s="606"/>
      <c r="N262" s="606"/>
      <c r="O262" s="606"/>
      <c r="P262" s="606"/>
      <c r="Q262" s="606"/>
      <c r="R262" s="606"/>
      <c r="S262" s="606"/>
      <c r="T262" s="606"/>
      <c r="U262" s="606"/>
      <c r="V262" s="606"/>
      <c r="W262" s="606"/>
      <c r="X262" s="606"/>
      <c r="Y262" s="606"/>
      <c r="Z262" s="606"/>
      <c r="AA262" s="606"/>
      <c r="AB262" s="606"/>
      <c r="AC262" s="606"/>
      <c r="AD262" s="606"/>
      <c r="AE262" s="606"/>
      <c r="AF262" s="606"/>
      <c r="AG262" s="606"/>
      <c r="AH262" s="607"/>
      <c r="AI262" s="44"/>
    </row>
    <row r="263" spans="1:35" ht="15.75" customHeight="1">
      <c r="A263" s="214">
        <v>2212011002</v>
      </c>
      <c r="B263" s="301" t="s">
        <v>273</v>
      </c>
      <c r="C263" s="217" t="s">
        <v>86</v>
      </c>
      <c r="D263" s="77">
        <f>SUM(PACIENTES!D263+COMEDOR!D263+JORNADA!D263+'DIETOLOGÍA(S)'!D263)</f>
        <v>0</v>
      </c>
      <c r="E263" s="77">
        <f>SUM(PACIENTES!E263+COMEDOR!E263+JORNADA!E263+'DIETOLOGÍA(S)'!E263)</f>
        <v>0</v>
      </c>
      <c r="F263" s="77">
        <f>SUM(PACIENTES!F263+COMEDOR!F263+JORNADA!F263+'DIETOLOGÍA(S)'!F263)</f>
        <v>2</v>
      </c>
      <c r="G263" s="77">
        <f>SUM(PACIENTES!G263+COMEDOR!G263+JORNADA!G263+'DIETOLOGÍA(S)'!G263)</f>
        <v>0</v>
      </c>
      <c r="H263" s="77">
        <f>SUM(PACIENTES!H263+COMEDOR!H263+JORNADA!H263+'DIETOLOGÍA(S)'!H263)</f>
        <v>0</v>
      </c>
      <c r="I263" s="77">
        <f>SUM(PACIENTES!I263+COMEDOR!I263+JORNADA!I263+'DIETOLOGÍA(S)'!I263)</f>
        <v>0</v>
      </c>
      <c r="J263" s="77">
        <f>SUM(PACIENTES!J263+COMEDOR!J263+JORNADA!J263+'DIETOLOGÍA(S)'!J263)</f>
        <v>1</v>
      </c>
      <c r="K263" s="77">
        <f>SUM(PACIENTES!K263+COMEDOR!K263+JORNADA!K263+'DIETOLOGÍA(S)'!K263)</f>
        <v>0</v>
      </c>
      <c r="L263" s="77">
        <f>SUM(PACIENTES!L263+COMEDOR!L263+JORNADA!L263+'DIETOLOGÍA(S)'!L263)</f>
        <v>0</v>
      </c>
      <c r="M263" s="77">
        <f>SUM(PACIENTES!M263+COMEDOR!M263+JORNADA!M263+'DIETOLOGÍA(S)'!M263)</f>
        <v>0</v>
      </c>
      <c r="N263" s="77">
        <f>SUM(PACIENTES!N263+COMEDOR!N263+JORNADA!N263+'DIETOLOGÍA(S)'!N263)</f>
        <v>0</v>
      </c>
      <c r="O263" s="77">
        <f>SUM(PACIENTES!O263+COMEDOR!O263+JORNADA!O263+'DIETOLOGÍA(S)'!O263)</f>
        <v>0</v>
      </c>
      <c r="P263" s="77">
        <f>SUM(PACIENTES!P263+COMEDOR!P263+JORNADA!P263+'DIETOLOGÍA(S)'!P263)</f>
        <v>0</v>
      </c>
      <c r="Q263" s="77">
        <f>SUM(PACIENTES!Q263+COMEDOR!Q263+JORNADA!Q263+'DIETOLOGÍA(S)'!Q263)</f>
        <v>0</v>
      </c>
      <c r="R263" s="77">
        <f>SUM(PACIENTES!R263+COMEDOR!R263+JORNADA!R263+'DIETOLOGÍA(S)'!R263)</f>
        <v>0</v>
      </c>
      <c r="S263" s="77">
        <f>SUM(PACIENTES!S263+COMEDOR!S263+JORNADA!S263+'DIETOLOGÍA(S)'!S263)</f>
        <v>0</v>
      </c>
      <c r="T263" s="77">
        <f>SUM(PACIENTES!T263+COMEDOR!T263+JORNADA!T263+'DIETOLOGÍA(S)'!T263)</f>
        <v>0</v>
      </c>
      <c r="U263" s="77">
        <f>SUM(PACIENTES!U263+COMEDOR!U263+JORNADA!U263+'DIETOLOGÍA(S)'!U263)</f>
        <v>0</v>
      </c>
      <c r="V263" s="77">
        <f>SUM(PACIENTES!V263+COMEDOR!V263+JORNADA!V263+'DIETOLOGÍA(S)'!V263)</f>
        <v>0</v>
      </c>
      <c r="W263" s="77">
        <f>SUM(PACIENTES!W263+COMEDOR!W263+JORNADA!W263+'DIETOLOGÍA(S)'!W263)</f>
        <v>0</v>
      </c>
      <c r="X263" s="77">
        <f>SUM(PACIENTES!X263+COMEDOR!X263+JORNADA!X263+'DIETOLOGÍA(S)'!X263)</f>
        <v>0</v>
      </c>
      <c r="Y263" s="77">
        <f>SUM(PACIENTES!Y263+COMEDOR!Y263+JORNADA!Y263+'DIETOLOGÍA(S)'!Y263)</f>
        <v>0</v>
      </c>
      <c r="Z263" s="77">
        <f>SUM(PACIENTES!Z263+COMEDOR!Z263+JORNADA!Z263+'DIETOLOGÍA(S)'!Z263)</f>
        <v>0</v>
      </c>
      <c r="AA263" s="77">
        <f>SUM(PACIENTES!AA263+COMEDOR!AA263+JORNADA!AA263+'DIETOLOGÍA(S)'!AA263)</f>
        <v>0</v>
      </c>
      <c r="AB263" s="77">
        <f>SUM(PACIENTES!AB263+COMEDOR!AB263+JORNADA!AB263+'DIETOLOGÍA(S)'!AB263)</f>
        <v>0</v>
      </c>
      <c r="AC263" s="77">
        <f>SUM(PACIENTES!AC263+COMEDOR!AC263+JORNADA!AC263+'DIETOLOGÍA(S)'!AC263)</f>
        <v>0</v>
      </c>
      <c r="AD263" s="77">
        <f>SUM(PACIENTES!AD263+COMEDOR!AD263+JORNADA!AD263+'DIETOLOGÍA(S)'!AD263)</f>
        <v>0</v>
      </c>
      <c r="AE263" s="77">
        <f>SUM(PACIENTES!AE263+COMEDOR!AE263+JORNADA!AE263+'DIETOLOGÍA(S)'!AE263)</f>
        <v>0</v>
      </c>
      <c r="AF263" s="77">
        <f>SUM(PACIENTES!AF263+COMEDOR!AF263+JORNADA!AF263+'DIETOLOGÍA(S)'!AF263)</f>
        <v>0</v>
      </c>
      <c r="AG263" s="77">
        <f>SUM(PACIENTES!AG263+COMEDOR!AG263+JORNADA!AG263+'DIETOLOGÍA(S)'!AG263)</f>
        <v>0</v>
      </c>
      <c r="AH263" s="77">
        <f>SUM(PACIENTES!AH263+COMEDOR!AH263+JORNADA!AH263+'DIETOLOGÍA(S)'!AH263)</f>
        <v>0</v>
      </c>
      <c r="AI263" s="48">
        <f t="shared" ref="AI263:AI280" si="10">SUM(D263:AH263)</f>
        <v>3</v>
      </c>
    </row>
    <row r="264" spans="1:35" ht="15.75" customHeight="1">
      <c r="A264" s="220">
        <v>2212011003</v>
      </c>
      <c r="B264" s="221" t="s">
        <v>274</v>
      </c>
      <c r="C264" s="223" t="s">
        <v>6</v>
      </c>
      <c r="D264" s="77">
        <f>SUM(PACIENTES!D264+COMEDOR!D264+JORNADA!D264+'DIETOLOGÍA(S)'!D264)</f>
        <v>0</v>
      </c>
      <c r="E264" s="77">
        <f>SUM(PACIENTES!E264+COMEDOR!E264+JORNADA!E264+'DIETOLOGÍA(S)'!E264)</f>
        <v>12</v>
      </c>
      <c r="F264" s="77">
        <f>SUM(PACIENTES!F264+COMEDOR!F264+JORNADA!F264+'DIETOLOGÍA(S)'!F264)</f>
        <v>0</v>
      </c>
      <c r="G264" s="77">
        <f>SUM(PACIENTES!G264+COMEDOR!G264+JORNADA!G264+'DIETOLOGÍA(S)'!G264)</f>
        <v>0</v>
      </c>
      <c r="H264" s="77">
        <f>SUM(PACIENTES!H264+COMEDOR!H264+JORNADA!H264+'DIETOLOGÍA(S)'!H264)</f>
        <v>12</v>
      </c>
      <c r="I264" s="77">
        <f>SUM(PACIENTES!I264+COMEDOR!I264+JORNADA!I264+'DIETOLOGÍA(S)'!I264)</f>
        <v>0</v>
      </c>
      <c r="J264" s="77">
        <f>SUM(PACIENTES!J264+COMEDOR!J264+JORNADA!J264+'DIETOLOGÍA(S)'!J264)</f>
        <v>0</v>
      </c>
      <c r="K264" s="77">
        <f>SUM(PACIENTES!K264+COMEDOR!K264+JORNADA!K264+'DIETOLOGÍA(S)'!K264)</f>
        <v>0</v>
      </c>
      <c r="L264" s="77">
        <f>SUM(PACIENTES!L264+COMEDOR!L264+JORNADA!L264+'DIETOLOGÍA(S)'!L264)</f>
        <v>0</v>
      </c>
      <c r="M264" s="77">
        <f>SUM(PACIENTES!M264+COMEDOR!M264+JORNADA!M264+'DIETOLOGÍA(S)'!M264)</f>
        <v>6</v>
      </c>
      <c r="N264" s="77">
        <f>SUM(PACIENTES!N264+COMEDOR!N264+JORNADA!N264+'DIETOLOGÍA(S)'!N264)</f>
        <v>0</v>
      </c>
      <c r="O264" s="77">
        <f>SUM(PACIENTES!O264+COMEDOR!O264+JORNADA!O264+'DIETOLOGÍA(S)'!O264)</f>
        <v>0</v>
      </c>
      <c r="P264" s="77">
        <f>SUM(PACIENTES!P264+COMEDOR!P264+JORNADA!P264+'DIETOLOGÍA(S)'!P264)</f>
        <v>0</v>
      </c>
      <c r="Q264" s="77">
        <f>SUM(PACIENTES!Q264+COMEDOR!Q264+JORNADA!Q264+'DIETOLOGÍA(S)'!Q264)</f>
        <v>0</v>
      </c>
      <c r="R264" s="77">
        <f>SUM(PACIENTES!R264+COMEDOR!R264+JORNADA!R264+'DIETOLOGÍA(S)'!R264)</f>
        <v>0</v>
      </c>
      <c r="S264" s="77">
        <f>SUM(PACIENTES!S264+COMEDOR!S264+JORNADA!S264+'DIETOLOGÍA(S)'!S264)</f>
        <v>0</v>
      </c>
      <c r="T264" s="77">
        <f>SUM(PACIENTES!T264+COMEDOR!T264+JORNADA!T264+'DIETOLOGÍA(S)'!T264)</f>
        <v>0</v>
      </c>
      <c r="U264" s="77">
        <f>SUM(PACIENTES!U264+COMEDOR!U264+JORNADA!U264+'DIETOLOGÍA(S)'!U264)</f>
        <v>0</v>
      </c>
      <c r="V264" s="77">
        <f>SUM(PACIENTES!V264+COMEDOR!V264+JORNADA!V264+'DIETOLOGÍA(S)'!V264)</f>
        <v>0</v>
      </c>
      <c r="W264" s="77">
        <f>SUM(PACIENTES!W264+COMEDOR!W264+JORNADA!W264+'DIETOLOGÍA(S)'!W264)</f>
        <v>12</v>
      </c>
      <c r="X264" s="77">
        <f>SUM(PACIENTES!X264+COMEDOR!X264+JORNADA!X264+'DIETOLOGÍA(S)'!X264)</f>
        <v>0</v>
      </c>
      <c r="Y264" s="77">
        <f>SUM(PACIENTES!Y264+COMEDOR!Y264+JORNADA!Y264+'DIETOLOGÍA(S)'!Y264)</f>
        <v>0</v>
      </c>
      <c r="Z264" s="77">
        <f>SUM(PACIENTES!Z264+COMEDOR!Z264+JORNADA!Z264+'DIETOLOGÍA(S)'!Z264)</f>
        <v>0</v>
      </c>
      <c r="AA264" s="77">
        <f>SUM(PACIENTES!AA264+COMEDOR!AA264+JORNADA!AA264+'DIETOLOGÍA(S)'!AA264)</f>
        <v>0</v>
      </c>
      <c r="AB264" s="77">
        <f>SUM(PACIENTES!AB264+COMEDOR!AB264+JORNADA!AB264+'DIETOLOGÍA(S)'!AB264)</f>
        <v>0</v>
      </c>
      <c r="AC264" s="77">
        <f>SUM(PACIENTES!AC264+COMEDOR!AC264+JORNADA!AC264+'DIETOLOGÍA(S)'!AC264)</f>
        <v>0</v>
      </c>
      <c r="AD264" s="77">
        <f>SUM(PACIENTES!AD264+COMEDOR!AD264+JORNADA!AD264+'DIETOLOGÍA(S)'!AD264)</f>
        <v>0</v>
      </c>
      <c r="AE264" s="77">
        <f>SUM(PACIENTES!AE264+COMEDOR!AE264+JORNADA!AE264+'DIETOLOGÍA(S)'!AE264)</f>
        <v>0</v>
      </c>
      <c r="AF264" s="77">
        <f>SUM(PACIENTES!AF264+COMEDOR!AF264+JORNADA!AF264+'DIETOLOGÍA(S)'!AF264)</f>
        <v>0</v>
      </c>
      <c r="AG264" s="77">
        <f>SUM(PACIENTES!AG264+COMEDOR!AG264+JORNADA!AG264+'DIETOLOGÍA(S)'!AG264)</f>
        <v>0</v>
      </c>
      <c r="AH264" s="77">
        <f>SUM(PACIENTES!AH264+COMEDOR!AH264+JORNADA!AH264+'DIETOLOGÍA(S)'!AH264)</f>
        <v>0</v>
      </c>
      <c r="AI264" s="9">
        <f t="shared" si="10"/>
        <v>42</v>
      </c>
    </row>
    <row r="265" spans="1:35" ht="15.75" customHeight="1">
      <c r="A265" s="220">
        <v>2212011004</v>
      </c>
      <c r="B265" s="221" t="s">
        <v>275</v>
      </c>
      <c r="C265" s="223" t="s">
        <v>6</v>
      </c>
      <c r="D265" s="77">
        <f>SUM(PACIENTES!D265+COMEDOR!D265+JORNADA!D265+'DIETOLOGÍA(S)'!D265)</f>
        <v>0</v>
      </c>
      <c r="E265" s="77">
        <f>SUM(PACIENTES!E265+COMEDOR!E265+JORNADA!E265+'DIETOLOGÍA(S)'!E265)</f>
        <v>0</v>
      </c>
      <c r="F265" s="77">
        <f>SUM(PACIENTES!F265+COMEDOR!F265+JORNADA!F265+'DIETOLOGÍA(S)'!F265)</f>
        <v>0</v>
      </c>
      <c r="G265" s="77">
        <f>SUM(PACIENTES!G265+COMEDOR!G265+JORNADA!G265+'DIETOLOGÍA(S)'!G265)</f>
        <v>0</v>
      </c>
      <c r="H265" s="77">
        <f>SUM(PACIENTES!H265+COMEDOR!H265+JORNADA!H265+'DIETOLOGÍA(S)'!H265)</f>
        <v>0</v>
      </c>
      <c r="I265" s="77">
        <f>SUM(PACIENTES!I265+COMEDOR!I265+JORNADA!I265+'DIETOLOGÍA(S)'!I265)</f>
        <v>0</v>
      </c>
      <c r="J265" s="77">
        <f>SUM(PACIENTES!J265+COMEDOR!J265+JORNADA!J265+'DIETOLOGÍA(S)'!J265)</f>
        <v>1</v>
      </c>
      <c r="K265" s="77">
        <f>SUM(PACIENTES!K265+COMEDOR!K265+JORNADA!K265+'DIETOLOGÍA(S)'!K265)</f>
        <v>0</v>
      </c>
      <c r="L265" s="77">
        <f>SUM(PACIENTES!L265+COMEDOR!L265+JORNADA!L265+'DIETOLOGÍA(S)'!L265)</f>
        <v>0</v>
      </c>
      <c r="M265" s="77">
        <f>SUM(PACIENTES!M265+COMEDOR!M265+JORNADA!M265+'DIETOLOGÍA(S)'!M265)</f>
        <v>0</v>
      </c>
      <c r="N265" s="77">
        <f>SUM(PACIENTES!N265+COMEDOR!N265+JORNADA!N265+'DIETOLOGÍA(S)'!N265)</f>
        <v>0</v>
      </c>
      <c r="O265" s="77">
        <f>SUM(PACIENTES!O265+COMEDOR!O265+JORNADA!O265+'DIETOLOGÍA(S)'!O265)</f>
        <v>0</v>
      </c>
      <c r="P265" s="77">
        <f>SUM(PACIENTES!P265+COMEDOR!P265+JORNADA!P265+'DIETOLOGÍA(S)'!P265)</f>
        <v>0</v>
      </c>
      <c r="Q265" s="77">
        <f>SUM(PACIENTES!Q265+COMEDOR!Q265+JORNADA!Q265+'DIETOLOGÍA(S)'!Q265)</f>
        <v>0</v>
      </c>
      <c r="R265" s="77">
        <f>SUM(PACIENTES!R265+COMEDOR!R265+JORNADA!R265+'DIETOLOGÍA(S)'!R265)</f>
        <v>0</v>
      </c>
      <c r="S265" s="77">
        <f>SUM(PACIENTES!S265+COMEDOR!S265+JORNADA!S265+'DIETOLOGÍA(S)'!S265)</f>
        <v>0</v>
      </c>
      <c r="T265" s="77">
        <f>SUM(PACIENTES!T265+COMEDOR!T265+JORNADA!T265+'DIETOLOGÍA(S)'!T265)</f>
        <v>0</v>
      </c>
      <c r="U265" s="77">
        <f>SUM(PACIENTES!U265+COMEDOR!U265+JORNADA!U265+'DIETOLOGÍA(S)'!U265)</f>
        <v>0</v>
      </c>
      <c r="V265" s="77">
        <f>SUM(PACIENTES!V265+COMEDOR!V265+JORNADA!V265+'DIETOLOGÍA(S)'!V265)</f>
        <v>0</v>
      </c>
      <c r="W265" s="77">
        <f>SUM(PACIENTES!W265+COMEDOR!W265+JORNADA!W265+'DIETOLOGÍA(S)'!W265)</f>
        <v>0</v>
      </c>
      <c r="X265" s="77">
        <f>SUM(PACIENTES!X265+COMEDOR!X265+JORNADA!X265+'DIETOLOGÍA(S)'!X265)</f>
        <v>0</v>
      </c>
      <c r="Y265" s="77">
        <f>SUM(PACIENTES!Y265+COMEDOR!Y265+JORNADA!Y265+'DIETOLOGÍA(S)'!Y265)</f>
        <v>0</v>
      </c>
      <c r="Z265" s="77">
        <f>SUM(PACIENTES!Z265+COMEDOR!Z265+JORNADA!Z265+'DIETOLOGÍA(S)'!Z265)</f>
        <v>0</v>
      </c>
      <c r="AA265" s="77">
        <f>SUM(PACIENTES!AA265+COMEDOR!AA265+JORNADA!AA265+'DIETOLOGÍA(S)'!AA265)</f>
        <v>0</v>
      </c>
      <c r="AB265" s="77">
        <f>SUM(PACIENTES!AB265+COMEDOR!AB265+JORNADA!AB265+'DIETOLOGÍA(S)'!AB265)</f>
        <v>0</v>
      </c>
      <c r="AC265" s="77">
        <f>SUM(PACIENTES!AC265+COMEDOR!AC265+JORNADA!AC265+'DIETOLOGÍA(S)'!AC265)</f>
        <v>0</v>
      </c>
      <c r="AD265" s="77">
        <f>SUM(PACIENTES!AD265+COMEDOR!AD265+JORNADA!AD265+'DIETOLOGÍA(S)'!AD265)</f>
        <v>0</v>
      </c>
      <c r="AE265" s="77">
        <f>SUM(PACIENTES!AE265+COMEDOR!AE265+JORNADA!AE265+'DIETOLOGÍA(S)'!AE265)</f>
        <v>0</v>
      </c>
      <c r="AF265" s="77">
        <f>SUM(PACIENTES!AF265+COMEDOR!AF265+JORNADA!AF265+'DIETOLOGÍA(S)'!AF265)</f>
        <v>0</v>
      </c>
      <c r="AG265" s="77">
        <f>SUM(PACIENTES!AG265+COMEDOR!AG265+JORNADA!AG265+'DIETOLOGÍA(S)'!AG265)</f>
        <v>0</v>
      </c>
      <c r="AH265" s="77">
        <f>SUM(PACIENTES!AH265+COMEDOR!AH265+JORNADA!AH265+'DIETOLOGÍA(S)'!AH265)</f>
        <v>0</v>
      </c>
      <c r="AI265" s="9">
        <f t="shared" si="10"/>
        <v>1</v>
      </c>
    </row>
    <row r="266" spans="1:35" ht="15.75" customHeight="1">
      <c r="A266" s="220">
        <v>2212011006</v>
      </c>
      <c r="B266" s="221" t="s">
        <v>276</v>
      </c>
      <c r="C266" s="223" t="s">
        <v>6</v>
      </c>
      <c r="D266" s="77">
        <f>SUM(PACIENTES!D266+COMEDOR!D266+JORNADA!D266+'DIETOLOGÍA(S)'!D266)</f>
        <v>0</v>
      </c>
      <c r="E266" s="77">
        <f>SUM(PACIENTES!E266+COMEDOR!E266+JORNADA!E266+'DIETOLOGÍA(S)'!E266)</f>
        <v>0</v>
      </c>
      <c r="F266" s="77">
        <f>SUM(PACIENTES!F266+COMEDOR!F266+JORNADA!F266+'DIETOLOGÍA(S)'!F266)</f>
        <v>0</v>
      </c>
      <c r="G266" s="77">
        <f>SUM(PACIENTES!G266+COMEDOR!G266+JORNADA!G266+'DIETOLOGÍA(S)'!G266)</f>
        <v>0</v>
      </c>
      <c r="H266" s="77">
        <f>SUM(PACIENTES!H266+COMEDOR!H266+JORNADA!H266+'DIETOLOGÍA(S)'!H266)</f>
        <v>0</v>
      </c>
      <c r="I266" s="77">
        <f>SUM(PACIENTES!I266+COMEDOR!I266+JORNADA!I266+'DIETOLOGÍA(S)'!I266)</f>
        <v>0</v>
      </c>
      <c r="J266" s="77">
        <f>SUM(PACIENTES!J266+COMEDOR!J266+JORNADA!J266+'DIETOLOGÍA(S)'!J266)</f>
        <v>0</v>
      </c>
      <c r="K266" s="77">
        <f>SUM(PACIENTES!K266+COMEDOR!K266+JORNADA!K266+'DIETOLOGÍA(S)'!K266)</f>
        <v>0</v>
      </c>
      <c r="L266" s="77">
        <f>SUM(PACIENTES!L266+COMEDOR!L266+JORNADA!L266+'DIETOLOGÍA(S)'!L266)</f>
        <v>0</v>
      </c>
      <c r="M266" s="77">
        <f>SUM(PACIENTES!M266+COMEDOR!M266+JORNADA!M266+'DIETOLOGÍA(S)'!M266)</f>
        <v>0</v>
      </c>
      <c r="N266" s="77">
        <f>SUM(PACIENTES!N266+COMEDOR!N266+JORNADA!N266+'DIETOLOGÍA(S)'!N266)</f>
        <v>0</v>
      </c>
      <c r="O266" s="77">
        <f>SUM(PACIENTES!O266+COMEDOR!O266+JORNADA!O266+'DIETOLOGÍA(S)'!O266)</f>
        <v>0</v>
      </c>
      <c r="P266" s="77">
        <f>SUM(PACIENTES!P266+COMEDOR!P266+JORNADA!P266+'DIETOLOGÍA(S)'!P266)</f>
        <v>0</v>
      </c>
      <c r="Q266" s="77">
        <f>SUM(PACIENTES!Q266+COMEDOR!Q266+JORNADA!Q266+'DIETOLOGÍA(S)'!Q266)</f>
        <v>0</v>
      </c>
      <c r="R266" s="77">
        <f>SUM(PACIENTES!R266+COMEDOR!R266+JORNADA!R266+'DIETOLOGÍA(S)'!R266)</f>
        <v>37</v>
      </c>
      <c r="S266" s="77">
        <f>SUM(PACIENTES!S266+COMEDOR!S266+JORNADA!S266+'DIETOLOGÍA(S)'!S266)</f>
        <v>0</v>
      </c>
      <c r="T266" s="77">
        <f>SUM(PACIENTES!T266+COMEDOR!T266+JORNADA!T266+'DIETOLOGÍA(S)'!T266)</f>
        <v>0</v>
      </c>
      <c r="U266" s="77">
        <f>SUM(PACIENTES!U266+COMEDOR!U266+JORNADA!U266+'DIETOLOGÍA(S)'!U266)</f>
        <v>0</v>
      </c>
      <c r="V266" s="77">
        <f>SUM(PACIENTES!V266+COMEDOR!V266+JORNADA!V266+'DIETOLOGÍA(S)'!V266)</f>
        <v>0</v>
      </c>
      <c r="W266" s="77">
        <f>SUM(PACIENTES!W266+COMEDOR!W266+JORNADA!W266+'DIETOLOGÍA(S)'!W266)</f>
        <v>0</v>
      </c>
      <c r="X266" s="77">
        <f>SUM(PACIENTES!X266+COMEDOR!X266+JORNADA!X266+'DIETOLOGÍA(S)'!X266)</f>
        <v>0</v>
      </c>
      <c r="Y266" s="77">
        <f>SUM(PACIENTES!Y266+COMEDOR!Y266+JORNADA!Y266+'DIETOLOGÍA(S)'!Y266)</f>
        <v>0</v>
      </c>
      <c r="Z266" s="77">
        <f>SUM(PACIENTES!Z266+COMEDOR!Z266+JORNADA!Z266+'DIETOLOGÍA(S)'!Z266)</f>
        <v>0</v>
      </c>
      <c r="AA266" s="77">
        <f>SUM(PACIENTES!AA266+COMEDOR!AA266+JORNADA!AA266+'DIETOLOGÍA(S)'!AA266)</f>
        <v>0</v>
      </c>
      <c r="AB266" s="77">
        <f>SUM(PACIENTES!AB266+COMEDOR!AB266+JORNADA!AB266+'DIETOLOGÍA(S)'!AB266)</f>
        <v>0</v>
      </c>
      <c r="AC266" s="77">
        <f>SUM(PACIENTES!AC266+COMEDOR!AC266+JORNADA!AC266+'DIETOLOGÍA(S)'!AC266)</f>
        <v>0</v>
      </c>
      <c r="AD266" s="77">
        <f>SUM(PACIENTES!AD266+COMEDOR!AD266+JORNADA!AD266+'DIETOLOGÍA(S)'!AD266)</f>
        <v>0</v>
      </c>
      <c r="AE266" s="77">
        <f>SUM(PACIENTES!AE266+COMEDOR!AE266+JORNADA!AE266+'DIETOLOGÍA(S)'!AE266)</f>
        <v>0</v>
      </c>
      <c r="AF266" s="77">
        <f>SUM(PACIENTES!AF266+COMEDOR!AF266+JORNADA!AF266+'DIETOLOGÍA(S)'!AF266)</f>
        <v>0</v>
      </c>
      <c r="AG266" s="77">
        <f>SUM(PACIENTES!AG266+COMEDOR!AG266+JORNADA!AG266+'DIETOLOGÍA(S)'!AG266)</f>
        <v>0</v>
      </c>
      <c r="AH266" s="77">
        <f>SUM(PACIENTES!AH266+COMEDOR!AH266+JORNADA!AH266+'DIETOLOGÍA(S)'!AH266)</f>
        <v>0</v>
      </c>
      <c r="AI266" s="9">
        <f t="shared" si="10"/>
        <v>37</v>
      </c>
    </row>
    <row r="267" spans="1:35" ht="15.75" customHeight="1">
      <c r="A267" s="220">
        <v>2212011007</v>
      </c>
      <c r="B267" s="221" t="s">
        <v>277</v>
      </c>
      <c r="C267" s="223" t="s">
        <v>6</v>
      </c>
      <c r="D267" s="77">
        <f>SUM(PACIENTES!D267+COMEDOR!D267+JORNADA!D267+'DIETOLOGÍA(S)'!D267)</f>
        <v>0</v>
      </c>
      <c r="E267" s="77">
        <f>SUM(PACIENTES!E267+COMEDOR!E267+JORNADA!E267+'DIETOLOGÍA(S)'!E267)</f>
        <v>0</v>
      </c>
      <c r="F267" s="77">
        <f>SUM(PACIENTES!F267+COMEDOR!F267+JORNADA!F267+'DIETOLOGÍA(S)'!F267)</f>
        <v>0</v>
      </c>
      <c r="G267" s="77">
        <f>SUM(PACIENTES!G267+COMEDOR!G267+JORNADA!G267+'DIETOLOGÍA(S)'!G267)</f>
        <v>0</v>
      </c>
      <c r="H267" s="77">
        <f>SUM(PACIENTES!H267+COMEDOR!H267+JORNADA!H267+'DIETOLOGÍA(S)'!H267)</f>
        <v>0</v>
      </c>
      <c r="I267" s="77">
        <f>SUM(PACIENTES!I267+COMEDOR!I267+JORNADA!I267+'DIETOLOGÍA(S)'!I267)</f>
        <v>0</v>
      </c>
      <c r="J267" s="77">
        <f>SUM(PACIENTES!J267+COMEDOR!J267+JORNADA!J267+'DIETOLOGÍA(S)'!J267)</f>
        <v>0</v>
      </c>
      <c r="K267" s="77">
        <f>SUM(PACIENTES!K267+COMEDOR!K267+JORNADA!K267+'DIETOLOGÍA(S)'!K267)</f>
        <v>0</v>
      </c>
      <c r="L267" s="77">
        <f>SUM(PACIENTES!L267+COMEDOR!L267+JORNADA!L267+'DIETOLOGÍA(S)'!L267)</f>
        <v>0</v>
      </c>
      <c r="M267" s="77">
        <f>SUM(PACIENTES!M267+COMEDOR!M267+JORNADA!M267+'DIETOLOGÍA(S)'!M267)</f>
        <v>0</v>
      </c>
      <c r="N267" s="77">
        <f>SUM(PACIENTES!N267+COMEDOR!N267+JORNADA!N267+'DIETOLOGÍA(S)'!N267)</f>
        <v>0</v>
      </c>
      <c r="O267" s="77">
        <f>SUM(PACIENTES!O267+COMEDOR!O267+JORNADA!O267+'DIETOLOGÍA(S)'!O267)</f>
        <v>0</v>
      </c>
      <c r="P267" s="77">
        <f>SUM(PACIENTES!P267+COMEDOR!P267+JORNADA!P267+'DIETOLOGÍA(S)'!P267)</f>
        <v>0</v>
      </c>
      <c r="Q267" s="77">
        <f>SUM(PACIENTES!Q267+COMEDOR!Q267+JORNADA!Q267+'DIETOLOGÍA(S)'!Q267)</f>
        <v>0</v>
      </c>
      <c r="R267" s="77">
        <f>SUM(PACIENTES!R267+COMEDOR!R267+JORNADA!R267+'DIETOLOGÍA(S)'!R267)</f>
        <v>0</v>
      </c>
      <c r="S267" s="77">
        <f>SUM(PACIENTES!S267+COMEDOR!S267+JORNADA!S267+'DIETOLOGÍA(S)'!S267)</f>
        <v>0</v>
      </c>
      <c r="T267" s="77">
        <f>SUM(PACIENTES!T267+COMEDOR!T267+JORNADA!T267+'DIETOLOGÍA(S)'!T267)</f>
        <v>0</v>
      </c>
      <c r="U267" s="77">
        <f>SUM(PACIENTES!U267+COMEDOR!U267+JORNADA!U267+'DIETOLOGÍA(S)'!U267)</f>
        <v>0</v>
      </c>
      <c r="V267" s="77">
        <f>SUM(PACIENTES!V267+COMEDOR!V267+JORNADA!V267+'DIETOLOGÍA(S)'!V267)</f>
        <v>0</v>
      </c>
      <c r="W267" s="77">
        <f>SUM(PACIENTES!W267+COMEDOR!W267+JORNADA!W267+'DIETOLOGÍA(S)'!W267)</f>
        <v>0</v>
      </c>
      <c r="X267" s="77">
        <f>SUM(PACIENTES!X267+COMEDOR!X267+JORNADA!X267+'DIETOLOGÍA(S)'!X267)</f>
        <v>0</v>
      </c>
      <c r="Y267" s="77">
        <f>SUM(PACIENTES!Y267+COMEDOR!Y267+JORNADA!Y267+'DIETOLOGÍA(S)'!Y267)</f>
        <v>0</v>
      </c>
      <c r="Z267" s="77">
        <f>SUM(PACIENTES!Z267+COMEDOR!Z267+JORNADA!Z267+'DIETOLOGÍA(S)'!Z267)</f>
        <v>0</v>
      </c>
      <c r="AA267" s="77">
        <f>SUM(PACIENTES!AA267+COMEDOR!AA267+JORNADA!AA267+'DIETOLOGÍA(S)'!AA267)</f>
        <v>0</v>
      </c>
      <c r="AB267" s="77">
        <f>SUM(PACIENTES!AB267+COMEDOR!AB267+JORNADA!AB267+'DIETOLOGÍA(S)'!AB267)</f>
        <v>0</v>
      </c>
      <c r="AC267" s="77">
        <f>SUM(PACIENTES!AC267+COMEDOR!AC267+JORNADA!AC267+'DIETOLOGÍA(S)'!AC267)</f>
        <v>0</v>
      </c>
      <c r="AD267" s="77">
        <f>SUM(PACIENTES!AD267+COMEDOR!AD267+JORNADA!AD267+'DIETOLOGÍA(S)'!AD267)</f>
        <v>1</v>
      </c>
      <c r="AE267" s="77">
        <f>SUM(PACIENTES!AE267+COMEDOR!AE267+JORNADA!AE267+'DIETOLOGÍA(S)'!AE267)</f>
        <v>0</v>
      </c>
      <c r="AF267" s="77">
        <f>SUM(PACIENTES!AF267+COMEDOR!AF267+JORNADA!AF267+'DIETOLOGÍA(S)'!AF267)</f>
        <v>0</v>
      </c>
      <c r="AG267" s="77">
        <f>SUM(PACIENTES!AG267+COMEDOR!AG267+JORNADA!AG267+'DIETOLOGÍA(S)'!AG267)</f>
        <v>0</v>
      </c>
      <c r="AH267" s="77">
        <f>SUM(PACIENTES!AH267+COMEDOR!AH267+JORNADA!AH267+'DIETOLOGÍA(S)'!AH267)</f>
        <v>0</v>
      </c>
      <c r="AI267" s="9">
        <f t="shared" si="10"/>
        <v>1</v>
      </c>
    </row>
    <row r="268" spans="1:35" ht="15.75" customHeight="1">
      <c r="A268" s="220">
        <v>2212011008</v>
      </c>
      <c r="B268" s="221" t="s">
        <v>278</v>
      </c>
      <c r="C268" s="223" t="s">
        <v>6</v>
      </c>
      <c r="D268" s="77">
        <f>SUM(PACIENTES!D268+COMEDOR!D268+JORNADA!D268+'DIETOLOGÍA(S)'!D268)</f>
        <v>0</v>
      </c>
      <c r="E268" s="77">
        <f>SUM(PACIENTES!E268+COMEDOR!E268+JORNADA!E268+'DIETOLOGÍA(S)'!E268)</f>
        <v>0</v>
      </c>
      <c r="F268" s="77">
        <f>SUM(PACIENTES!F268+COMEDOR!F268+JORNADA!F268+'DIETOLOGÍA(S)'!F268)</f>
        <v>0</v>
      </c>
      <c r="G268" s="77">
        <f>SUM(PACIENTES!G268+COMEDOR!G268+JORNADA!G268+'DIETOLOGÍA(S)'!G268)</f>
        <v>0</v>
      </c>
      <c r="H268" s="77">
        <f>SUM(PACIENTES!H268+COMEDOR!H268+JORNADA!H268+'DIETOLOGÍA(S)'!H268)</f>
        <v>0</v>
      </c>
      <c r="I268" s="77">
        <f>SUM(PACIENTES!I268+COMEDOR!I268+JORNADA!I268+'DIETOLOGÍA(S)'!I268)</f>
        <v>1</v>
      </c>
      <c r="J268" s="77">
        <f>SUM(PACIENTES!J268+COMEDOR!J268+JORNADA!J268+'DIETOLOGÍA(S)'!J268)</f>
        <v>0</v>
      </c>
      <c r="K268" s="77">
        <f>SUM(PACIENTES!K268+COMEDOR!K268+JORNADA!K268+'DIETOLOGÍA(S)'!K268)</f>
        <v>0</v>
      </c>
      <c r="L268" s="77">
        <f>SUM(PACIENTES!L268+COMEDOR!L268+JORNADA!L268+'DIETOLOGÍA(S)'!L268)</f>
        <v>0</v>
      </c>
      <c r="M268" s="77">
        <f>SUM(PACIENTES!M268+COMEDOR!M268+JORNADA!M268+'DIETOLOGÍA(S)'!M268)</f>
        <v>0</v>
      </c>
      <c r="N268" s="77">
        <f>SUM(PACIENTES!N268+COMEDOR!N268+JORNADA!N268+'DIETOLOGÍA(S)'!N268)</f>
        <v>0</v>
      </c>
      <c r="O268" s="77">
        <f>SUM(PACIENTES!O268+COMEDOR!O268+JORNADA!O268+'DIETOLOGÍA(S)'!O268)</f>
        <v>0</v>
      </c>
      <c r="P268" s="77">
        <f>SUM(PACIENTES!P268+COMEDOR!P268+JORNADA!P268+'DIETOLOGÍA(S)'!P268)</f>
        <v>0</v>
      </c>
      <c r="Q268" s="77">
        <f>SUM(PACIENTES!Q268+COMEDOR!Q268+JORNADA!Q268+'DIETOLOGÍA(S)'!Q268)</f>
        <v>0</v>
      </c>
      <c r="R268" s="77">
        <f>SUM(PACIENTES!R268+COMEDOR!R268+JORNADA!R268+'DIETOLOGÍA(S)'!R268)</f>
        <v>0</v>
      </c>
      <c r="S268" s="77">
        <f>SUM(PACIENTES!S268+COMEDOR!S268+JORNADA!S268+'DIETOLOGÍA(S)'!S268)</f>
        <v>0</v>
      </c>
      <c r="T268" s="77">
        <f>SUM(PACIENTES!T268+COMEDOR!T268+JORNADA!T268+'DIETOLOGÍA(S)'!T268)</f>
        <v>0</v>
      </c>
      <c r="U268" s="77">
        <f>SUM(PACIENTES!U268+COMEDOR!U268+JORNADA!U268+'DIETOLOGÍA(S)'!U268)</f>
        <v>0</v>
      </c>
      <c r="V268" s="77">
        <f>SUM(PACIENTES!V268+COMEDOR!V268+JORNADA!V268+'DIETOLOGÍA(S)'!V268)</f>
        <v>0</v>
      </c>
      <c r="W268" s="77">
        <f>SUM(PACIENTES!W268+COMEDOR!W268+JORNADA!W268+'DIETOLOGÍA(S)'!W268)</f>
        <v>1</v>
      </c>
      <c r="X268" s="77">
        <f>SUM(PACIENTES!X268+COMEDOR!X268+JORNADA!X268+'DIETOLOGÍA(S)'!X268)</f>
        <v>0</v>
      </c>
      <c r="Y268" s="77">
        <f>SUM(PACIENTES!Y268+COMEDOR!Y268+JORNADA!Y268+'DIETOLOGÍA(S)'!Y268)</f>
        <v>0</v>
      </c>
      <c r="Z268" s="77">
        <f>SUM(PACIENTES!Z268+COMEDOR!Z268+JORNADA!Z268+'DIETOLOGÍA(S)'!Z268)</f>
        <v>0</v>
      </c>
      <c r="AA268" s="77">
        <f>SUM(PACIENTES!AA268+COMEDOR!AA268+JORNADA!AA268+'DIETOLOGÍA(S)'!AA268)</f>
        <v>0</v>
      </c>
      <c r="AB268" s="77">
        <f>SUM(PACIENTES!AB268+COMEDOR!AB268+JORNADA!AB268+'DIETOLOGÍA(S)'!AB268)</f>
        <v>0</v>
      </c>
      <c r="AC268" s="77">
        <f>SUM(PACIENTES!AC268+COMEDOR!AC268+JORNADA!AC268+'DIETOLOGÍA(S)'!AC268)</f>
        <v>0</v>
      </c>
      <c r="AD268" s="77">
        <f>SUM(PACIENTES!AD268+COMEDOR!AD268+JORNADA!AD268+'DIETOLOGÍA(S)'!AD268)</f>
        <v>30</v>
      </c>
      <c r="AE268" s="77">
        <f>SUM(PACIENTES!AE268+COMEDOR!AE268+JORNADA!AE268+'DIETOLOGÍA(S)'!AE268)</f>
        <v>0</v>
      </c>
      <c r="AF268" s="77">
        <f>SUM(PACIENTES!AF268+COMEDOR!AF268+JORNADA!AF268+'DIETOLOGÍA(S)'!AF268)</f>
        <v>0</v>
      </c>
      <c r="AG268" s="77">
        <f>SUM(PACIENTES!AG268+COMEDOR!AG268+JORNADA!AG268+'DIETOLOGÍA(S)'!AG268)</f>
        <v>0</v>
      </c>
      <c r="AH268" s="77">
        <f>SUM(PACIENTES!AH268+COMEDOR!AH268+JORNADA!AH268+'DIETOLOGÍA(S)'!AH268)</f>
        <v>0</v>
      </c>
      <c r="AI268" s="9">
        <f t="shared" si="10"/>
        <v>32</v>
      </c>
    </row>
    <row r="269" spans="1:35" ht="15.75" customHeight="1">
      <c r="A269" s="220">
        <v>2212011009</v>
      </c>
      <c r="B269" s="221" t="s">
        <v>279</v>
      </c>
      <c r="C269" s="223" t="s">
        <v>6</v>
      </c>
      <c r="D269" s="77">
        <f>SUM(PACIENTES!D269+COMEDOR!D269+JORNADA!D269+'DIETOLOGÍA(S)'!D269)</f>
        <v>0</v>
      </c>
      <c r="E269" s="77">
        <f>SUM(PACIENTES!E269+COMEDOR!E269+JORNADA!E269+'DIETOLOGÍA(S)'!E269)</f>
        <v>6</v>
      </c>
      <c r="F269" s="77">
        <f>SUM(PACIENTES!F269+COMEDOR!F269+JORNADA!F269+'DIETOLOGÍA(S)'!F269)</f>
        <v>10</v>
      </c>
      <c r="G269" s="77">
        <f>SUM(PACIENTES!G269+COMEDOR!G269+JORNADA!G269+'DIETOLOGÍA(S)'!G269)</f>
        <v>0</v>
      </c>
      <c r="H269" s="77">
        <f>SUM(PACIENTES!H269+COMEDOR!H269+JORNADA!H269+'DIETOLOGÍA(S)'!H269)</f>
        <v>12</v>
      </c>
      <c r="I269" s="77">
        <f>SUM(PACIENTES!I269+COMEDOR!I269+JORNADA!I269+'DIETOLOGÍA(S)'!I269)</f>
        <v>0</v>
      </c>
      <c r="J269" s="77">
        <f>SUM(PACIENTES!J269+COMEDOR!J269+JORNADA!J269+'DIETOLOGÍA(S)'!J269)</f>
        <v>0</v>
      </c>
      <c r="K269" s="77">
        <f>SUM(PACIENTES!K269+COMEDOR!K269+JORNADA!K269+'DIETOLOGÍA(S)'!K269)</f>
        <v>0</v>
      </c>
      <c r="L269" s="77">
        <f>SUM(PACIENTES!L269+COMEDOR!L269+JORNADA!L269+'DIETOLOGÍA(S)'!L269)</f>
        <v>16</v>
      </c>
      <c r="M269" s="77">
        <f>SUM(PACIENTES!M269+COMEDOR!M269+JORNADA!M269+'DIETOLOGÍA(S)'!M269)</f>
        <v>0</v>
      </c>
      <c r="N269" s="77">
        <f>SUM(PACIENTES!N269+COMEDOR!N269+JORNADA!N269+'DIETOLOGÍA(S)'!N269)</f>
        <v>0</v>
      </c>
      <c r="O269" s="77">
        <f>SUM(PACIENTES!O269+COMEDOR!O269+JORNADA!O269+'DIETOLOGÍA(S)'!O269)</f>
        <v>0</v>
      </c>
      <c r="P269" s="77">
        <f>SUM(PACIENTES!P269+COMEDOR!P269+JORNADA!P269+'DIETOLOGÍA(S)'!P269)</f>
        <v>0</v>
      </c>
      <c r="Q269" s="77">
        <f>SUM(PACIENTES!Q269+COMEDOR!Q269+JORNADA!Q269+'DIETOLOGÍA(S)'!Q269)</f>
        <v>12</v>
      </c>
      <c r="R269" s="77">
        <f>SUM(PACIENTES!R269+COMEDOR!R269+JORNADA!R269+'DIETOLOGÍA(S)'!R269)</f>
        <v>0</v>
      </c>
      <c r="S269" s="77">
        <f>SUM(PACIENTES!S269+COMEDOR!S269+JORNADA!S269+'DIETOLOGÍA(S)'!S269)</f>
        <v>0</v>
      </c>
      <c r="T269" s="77">
        <f>SUM(PACIENTES!T269+COMEDOR!T269+JORNADA!T269+'DIETOLOGÍA(S)'!T269)</f>
        <v>0</v>
      </c>
      <c r="U269" s="77">
        <f>SUM(PACIENTES!U269+COMEDOR!U269+JORNADA!U269+'DIETOLOGÍA(S)'!U269)</f>
        <v>0</v>
      </c>
      <c r="V269" s="77">
        <f>SUM(PACIENTES!V269+COMEDOR!V269+JORNADA!V269+'DIETOLOGÍA(S)'!V269)</f>
        <v>0</v>
      </c>
      <c r="W269" s="77">
        <f>SUM(PACIENTES!W269+COMEDOR!W269+JORNADA!W269+'DIETOLOGÍA(S)'!W269)</f>
        <v>0</v>
      </c>
      <c r="X269" s="77">
        <f>SUM(PACIENTES!X269+COMEDOR!X269+JORNADA!X269+'DIETOLOGÍA(S)'!X269)</f>
        <v>4</v>
      </c>
      <c r="Y269" s="77">
        <f>SUM(PACIENTES!Y269+COMEDOR!Y269+JORNADA!Y269+'DIETOLOGÍA(S)'!Y269)</f>
        <v>6</v>
      </c>
      <c r="Z269" s="77">
        <f>SUM(PACIENTES!Z269+COMEDOR!Z269+JORNADA!Z269+'DIETOLOGÍA(S)'!Z269)</f>
        <v>0</v>
      </c>
      <c r="AA269" s="77">
        <f>SUM(PACIENTES!AA269+COMEDOR!AA269+JORNADA!AA269+'DIETOLOGÍA(S)'!AA269)</f>
        <v>0</v>
      </c>
      <c r="AB269" s="77">
        <f>SUM(PACIENTES!AB269+COMEDOR!AB269+JORNADA!AB269+'DIETOLOGÍA(S)'!AB269)</f>
        <v>0</v>
      </c>
      <c r="AC269" s="77">
        <f>SUM(PACIENTES!AC269+COMEDOR!AC269+JORNADA!AC269+'DIETOLOGÍA(S)'!AC269)</f>
        <v>6</v>
      </c>
      <c r="AD269" s="77">
        <f>SUM(PACIENTES!AD269+COMEDOR!AD269+JORNADA!AD269+'DIETOLOGÍA(S)'!AD269)</f>
        <v>0</v>
      </c>
      <c r="AE269" s="77">
        <f>SUM(PACIENTES!AE269+COMEDOR!AE269+JORNADA!AE269+'DIETOLOGÍA(S)'!AE269)</f>
        <v>0</v>
      </c>
      <c r="AF269" s="77">
        <f>SUM(PACIENTES!AF269+COMEDOR!AF269+JORNADA!AF269+'DIETOLOGÍA(S)'!AF269)</f>
        <v>12</v>
      </c>
      <c r="AG269" s="77">
        <f>SUM(PACIENTES!AG269+COMEDOR!AG269+JORNADA!AG269+'DIETOLOGÍA(S)'!AG269)</f>
        <v>0</v>
      </c>
      <c r="AH269" s="77">
        <f>SUM(PACIENTES!AH269+COMEDOR!AH269+JORNADA!AH269+'DIETOLOGÍA(S)'!AH269)</f>
        <v>0</v>
      </c>
      <c r="AI269" s="9">
        <f t="shared" si="10"/>
        <v>84</v>
      </c>
    </row>
    <row r="270" spans="1:35" ht="15.75" customHeight="1">
      <c r="A270" s="220">
        <v>2212011010</v>
      </c>
      <c r="B270" s="221" t="s">
        <v>280</v>
      </c>
      <c r="C270" s="223" t="s">
        <v>6</v>
      </c>
      <c r="D270" s="77">
        <f>SUM(PACIENTES!D270+COMEDOR!D270+JORNADA!D270+'DIETOLOGÍA(S)'!D270)</f>
        <v>0</v>
      </c>
      <c r="E270" s="77">
        <f>SUM(PACIENTES!E270+COMEDOR!E270+JORNADA!E270+'DIETOLOGÍA(S)'!E270)</f>
        <v>0</v>
      </c>
      <c r="F270" s="77">
        <f>SUM(PACIENTES!F270+COMEDOR!F270+JORNADA!F270+'DIETOLOGÍA(S)'!F270)</f>
        <v>0</v>
      </c>
      <c r="G270" s="77">
        <f>SUM(PACIENTES!G270+COMEDOR!G270+JORNADA!G270+'DIETOLOGÍA(S)'!G270)</f>
        <v>0</v>
      </c>
      <c r="H270" s="77">
        <f>SUM(PACIENTES!H270+COMEDOR!H270+JORNADA!H270+'DIETOLOGÍA(S)'!H270)</f>
        <v>0</v>
      </c>
      <c r="I270" s="77">
        <f>SUM(PACIENTES!I270+COMEDOR!I270+JORNADA!I270+'DIETOLOGÍA(S)'!I270)</f>
        <v>0</v>
      </c>
      <c r="J270" s="77">
        <f>SUM(PACIENTES!J270+COMEDOR!J270+JORNADA!J270+'DIETOLOGÍA(S)'!J270)</f>
        <v>0</v>
      </c>
      <c r="K270" s="77">
        <f>SUM(PACIENTES!K270+COMEDOR!K270+JORNADA!K270+'DIETOLOGÍA(S)'!K270)</f>
        <v>0</v>
      </c>
      <c r="L270" s="77">
        <f>SUM(PACIENTES!L270+COMEDOR!L270+JORNADA!L270+'DIETOLOGÍA(S)'!L270)</f>
        <v>0</v>
      </c>
      <c r="M270" s="77">
        <f>SUM(PACIENTES!M270+COMEDOR!M270+JORNADA!M270+'DIETOLOGÍA(S)'!M270)</f>
        <v>0</v>
      </c>
      <c r="N270" s="77">
        <f>SUM(PACIENTES!N270+COMEDOR!N270+JORNADA!N270+'DIETOLOGÍA(S)'!N270)</f>
        <v>0</v>
      </c>
      <c r="O270" s="77">
        <f>SUM(PACIENTES!O270+COMEDOR!O270+JORNADA!O270+'DIETOLOGÍA(S)'!O270)</f>
        <v>0</v>
      </c>
      <c r="P270" s="77">
        <f>SUM(PACIENTES!P270+COMEDOR!P270+JORNADA!P270+'DIETOLOGÍA(S)'!P270)</f>
        <v>0</v>
      </c>
      <c r="Q270" s="77">
        <f>SUM(PACIENTES!Q270+COMEDOR!Q270+JORNADA!Q270+'DIETOLOGÍA(S)'!Q270)</f>
        <v>0</v>
      </c>
      <c r="R270" s="77">
        <f>SUM(PACIENTES!R270+COMEDOR!R270+JORNADA!R270+'DIETOLOGÍA(S)'!R270)</f>
        <v>0</v>
      </c>
      <c r="S270" s="77">
        <f>SUM(PACIENTES!S270+COMEDOR!S270+JORNADA!S270+'DIETOLOGÍA(S)'!S270)</f>
        <v>0</v>
      </c>
      <c r="T270" s="77">
        <f>SUM(PACIENTES!T270+COMEDOR!T270+JORNADA!T270+'DIETOLOGÍA(S)'!T270)</f>
        <v>0</v>
      </c>
      <c r="U270" s="77">
        <f>SUM(PACIENTES!U270+COMEDOR!U270+JORNADA!U270+'DIETOLOGÍA(S)'!U270)</f>
        <v>0</v>
      </c>
      <c r="V270" s="77">
        <f>SUM(PACIENTES!V270+COMEDOR!V270+JORNADA!V270+'DIETOLOGÍA(S)'!V270)</f>
        <v>0</v>
      </c>
      <c r="W270" s="77">
        <f>SUM(PACIENTES!W270+COMEDOR!W270+JORNADA!W270+'DIETOLOGÍA(S)'!W270)</f>
        <v>0</v>
      </c>
      <c r="X270" s="77">
        <f>SUM(PACIENTES!X270+COMEDOR!X270+JORNADA!X270+'DIETOLOGÍA(S)'!X270)</f>
        <v>0</v>
      </c>
      <c r="Y270" s="77">
        <f>SUM(PACIENTES!Y270+COMEDOR!Y270+JORNADA!Y270+'DIETOLOGÍA(S)'!Y270)</f>
        <v>0</v>
      </c>
      <c r="Z270" s="77">
        <f>SUM(PACIENTES!Z270+COMEDOR!Z270+JORNADA!Z270+'DIETOLOGÍA(S)'!Z270)</f>
        <v>0</v>
      </c>
      <c r="AA270" s="77">
        <f>SUM(PACIENTES!AA270+COMEDOR!AA270+JORNADA!AA270+'DIETOLOGÍA(S)'!AA270)</f>
        <v>0</v>
      </c>
      <c r="AB270" s="77">
        <f>SUM(PACIENTES!AB270+COMEDOR!AB270+JORNADA!AB270+'DIETOLOGÍA(S)'!AB270)</f>
        <v>0</v>
      </c>
      <c r="AC270" s="77">
        <f>SUM(PACIENTES!AC270+COMEDOR!AC270+JORNADA!AC270+'DIETOLOGÍA(S)'!AC270)</f>
        <v>0</v>
      </c>
      <c r="AD270" s="77">
        <f>SUM(PACIENTES!AD270+COMEDOR!AD270+JORNADA!AD270+'DIETOLOGÍA(S)'!AD270)</f>
        <v>0</v>
      </c>
      <c r="AE270" s="77">
        <f>SUM(PACIENTES!AE270+COMEDOR!AE270+JORNADA!AE270+'DIETOLOGÍA(S)'!AE270)</f>
        <v>0</v>
      </c>
      <c r="AF270" s="77">
        <f>SUM(PACIENTES!AF270+COMEDOR!AF270+JORNADA!AF270+'DIETOLOGÍA(S)'!AF270)</f>
        <v>0</v>
      </c>
      <c r="AG270" s="77">
        <f>SUM(PACIENTES!AG270+COMEDOR!AG270+JORNADA!AG270+'DIETOLOGÍA(S)'!AG270)</f>
        <v>0</v>
      </c>
      <c r="AH270" s="77">
        <f>SUM(PACIENTES!AH270+COMEDOR!AH270+JORNADA!AH270+'DIETOLOGÍA(S)'!AH270)</f>
        <v>0</v>
      </c>
      <c r="AI270" s="9">
        <f t="shared" si="10"/>
        <v>0</v>
      </c>
    </row>
    <row r="271" spans="1:35" ht="15.75" customHeight="1">
      <c r="A271" s="220">
        <v>2212011011</v>
      </c>
      <c r="B271" s="221" t="s">
        <v>281</v>
      </c>
      <c r="C271" s="223" t="s">
        <v>6</v>
      </c>
      <c r="D271" s="77">
        <f>SUM(PACIENTES!D271+COMEDOR!D271+JORNADA!D271+'DIETOLOGÍA(S)'!D271)</f>
        <v>0</v>
      </c>
      <c r="E271" s="77">
        <f>SUM(PACIENTES!E271+COMEDOR!E271+JORNADA!E271+'DIETOLOGÍA(S)'!E271)</f>
        <v>0</v>
      </c>
      <c r="F271" s="77">
        <f>SUM(PACIENTES!F271+COMEDOR!F271+JORNADA!F271+'DIETOLOGÍA(S)'!F271)</f>
        <v>0</v>
      </c>
      <c r="G271" s="77">
        <f>SUM(PACIENTES!G271+COMEDOR!G271+JORNADA!G271+'DIETOLOGÍA(S)'!G271)</f>
        <v>0</v>
      </c>
      <c r="H271" s="77">
        <f>SUM(PACIENTES!H271+COMEDOR!H271+JORNADA!H271+'DIETOLOGÍA(S)'!H271)</f>
        <v>0</v>
      </c>
      <c r="I271" s="77">
        <f>SUM(PACIENTES!I271+COMEDOR!I271+JORNADA!I271+'DIETOLOGÍA(S)'!I271)</f>
        <v>0</v>
      </c>
      <c r="J271" s="77">
        <f>SUM(PACIENTES!J271+COMEDOR!J271+JORNADA!J271+'DIETOLOGÍA(S)'!J271)</f>
        <v>6</v>
      </c>
      <c r="K271" s="77">
        <f>SUM(PACIENTES!K271+COMEDOR!K271+JORNADA!K271+'DIETOLOGÍA(S)'!K271)</f>
        <v>0</v>
      </c>
      <c r="L271" s="77">
        <f>SUM(PACIENTES!L271+COMEDOR!L271+JORNADA!L271+'DIETOLOGÍA(S)'!L271)</f>
        <v>0</v>
      </c>
      <c r="M271" s="77">
        <f>SUM(PACIENTES!M271+COMEDOR!M271+JORNADA!M271+'DIETOLOGÍA(S)'!M271)</f>
        <v>0</v>
      </c>
      <c r="N271" s="77">
        <f>SUM(PACIENTES!N271+COMEDOR!N271+JORNADA!N271+'DIETOLOGÍA(S)'!N271)</f>
        <v>0</v>
      </c>
      <c r="O271" s="77">
        <f>SUM(PACIENTES!O271+COMEDOR!O271+JORNADA!O271+'DIETOLOGÍA(S)'!O271)</f>
        <v>0</v>
      </c>
      <c r="P271" s="77">
        <f>SUM(PACIENTES!P271+COMEDOR!P271+JORNADA!P271+'DIETOLOGÍA(S)'!P271)</f>
        <v>0</v>
      </c>
      <c r="Q271" s="77">
        <f>SUM(PACIENTES!Q271+COMEDOR!Q271+JORNADA!Q271+'DIETOLOGÍA(S)'!Q271)</f>
        <v>0</v>
      </c>
      <c r="R271" s="77">
        <f>SUM(PACIENTES!R271+COMEDOR!R271+JORNADA!R271+'DIETOLOGÍA(S)'!R271)</f>
        <v>0</v>
      </c>
      <c r="S271" s="77">
        <f>SUM(PACIENTES!S271+COMEDOR!S271+JORNADA!S271+'DIETOLOGÍA(S)'!S271)</f>
        <v>0</v>
      </c>
      <c r="T271" s="77">
        <f>SUM(PACIENTES!T271+COMEDOR!T271+JORNADA!T271+'DIETOLOGÍA(S)'!T271)</f>
        <v>0</v>
      </c>
      <c r="U271" s="77">
        <f>SUM(PACIENTES!U271+COMEDOR!U271+JORNADA!U271+'DIETOLOGÍA(S)'!U271)</f>
        <v>0</v>
      </c>
      <c r="V271" s="77">
        <f>SUM(PACIENTES!V271+COMEDOR!V271+JORNADA!V271+'DIETOLOGÍA(S)'!V271)</f>
        <v>0</v>
      </c>
      <c r="W271" s="77">
        <f>SUM(PACIENTES!W271+COMEDOR!W271+JORNADA!W271+'DIETOLOGÍA(S)'!W271)</f>
        <v>0</v>
      </c>
      <c r="X271" s="77">
        <f>SUM(PACIENTES!X271+COMEDOR!X271+JORNADA!X271+'DIETOLOGÍA(S)'!X271)</f>
        <v>0</v>
      </c>
      <c r="Y271" s="77">
        <f>SUM(PACIENTES!Y271+COMEDOR!Y271+JORNADA!Y271+'DIETOLOGÍA(S)'!Y271)</f>
        <v>0</v>
      </c>
      <c r="Z271" s="77">
        <f>SUM(PACIENTES!Z271+COMEDOR!Z271+JORNADA!Z271+'DIETOLOGÍA(S)'!Z271)</f>
        <v>0</v>
      </c>
      <c r="AA271" s="77">
        <f>SUM(PACIENTES!AA271+COMEDOR!AA271+JORNADA!AA271+'DIETOLOGÍA(S)'!AA271)</f>
        <v>0</v>
      </c>
      <c r="AB271" s="77">
        <f>SUM(PACIENTES!AB271+COMEDOR!AB271+JORNADA!AB271+'DIETOLOGÍA(S)'!AB271)</f>
        <v>6</v>
      </c>
      <c r="AC271" s="77">
        <f>SUM(PACIENTES!AC271+COMEDOR!AC271+JORNADA!AC271+'DIETOLOGÍA(S)'!AC271)</f>
        <v>0</v>
      </c>
      <c r="AD271" s="77">
        <f>SUM(PACIENTES!AD271+COMEDOR!AD271+JORNADA!AD271+'DIETOLOGÍA(S)'!AD271)</f>
        <v>0</v>
      </c>
      <c r="AE271" s="77">
        <f>SUM(PACIENTES!AE271+COMEDOR!AE271+JORNADA!AE271+'DIETOLOGÍA(S)'!AE271)</f>
        <v>0</v>
      </c>
      <c r="AF271" s="77">
        <f>SUM(PACIENTES!AF271+COMEDOR!AF271+JORNADA!AF271+'DIETOLOGÍA(S)'!AF271)</f>
        <v>0</v>
      </c>
      <c r="AG271" s="77">
        <f>SUM(PACIENTES!AG271+COMEDOR!AG271+JORNADA!AG271+'DIETOLOGÍA(S)'!AG271)</f>
        <v>0</v>
      </c>
      <c r="AH271" s="77">
        <f>SUM(PACIENTES!AH271+COMEDOR!AH271+JORNADA!AH271+'DIETOLOGÍA(S)'!AH271)</f>
        <v>0</v>
      </c>
      <c r="AI271" s="9">
        <f t="shared" si="10"/>
        <v>12</v>
      </c>
    </row>
    <row r="272" spans="1:35" ht="15.75" customHeight="1">
      <c r="A272" s="220">
        <v>2212011012</v>
      </c>
      <c r="B272" s="221" t="s">
        <v>282</v>
      </c>
      <c r="C272" s="223" t="s">
        <v>6</v>
      </c>
      <c r="D272" s="77">
        <f>SUM(PACIENTES!D272+COMEDOR!D272+JORNADA!D272+'DIETOLOGÍA(S)'!D272)</f>
        <v>0</v>
      </c>
      <c r="E272" s="77">
        <f>SUM(PACIENTES!E272+COMEDOR!E272+JORNADA!E272+'DIETOLOGÍA(S)'!E272)</f>
        <v>0</v>
      </c>
      <c r="F272" s="77">
        <f>SUM(PACIENTES!F272+COMEDOR!F272+JORNADA!F272+'DIETOLOGÍA(S)'!F272)</f>
        <v>0</v>
      </c>
      <c r="G272" s="77">
        <f>SUM(PACIENTES!G272+COMEDOR!G272+JORNADA!G272+'DIETOLOGÍA(S)'!G272)</f>
        <v>0</v>
      </c>
      <c r="H272" s="77">
        <f>SUM(PACIENTES!H272+COMEDOR!H272+JORNADA!H272+'DIETOLOGÍA(S)'!H272)</f>
        <v>14</v>
      </c>
      <c r="I272" s="77">
        <f>SUM(PACIENTES!I272+COMEDOR!I272+JORNADA!I272+'DIETOLOGÍA(S)'!I272)</f>
        <v>0</v>
      </c>
      <c r="J272" s="77">
        <f>SUM(PACIENTES!J272+COMEDOR!J272+JORNADA!J272+'DIETOLOGÍA(S)'!J272)</f>
        <v>0</v>
      </c>
      <c r="K272" s="77">
        <f>SUM(PACIENTES!K272+COMEDOR!K272+JORNADA!K272+'DIETOLOGÍA(S)'!K272)</f>
        <v>0</v>
      </c>
      <c r="L272" s="77">
        <f>SUM(PACIENTES!L272+COMEDOR!L272+JORNADA!L272+'DIETOLOGÍA(S)'!L272)</f>
        <v>0</v>
      </c>
      <c r="M272" s="77">
        <f>SUM(PACIENTES!M272+COMEDOR!M272+JORNADA!M272+'DIETOLOGÍA(S)'!M272)</f>
        <v>0</v>
      </c>
      <c r="N272" s="77">
        <f>SUM(PACIENTES!N272+COMEDOR!N272+JORNADA!N272+'DIETOLOGÍA(S)'!N272)</f>
        <v>0</v>
      </c>
      <c r="O272" s="77">
        <f>SUM(PACIENTES!O272+COMEDOR!O272+JORNADA!O272+'DIETOLOGÍA(S)'!O272)</f>
        <v>0</v>
      </c>
      <c r="P272" s="77">
        <f>SUM(PACIENTES!P272+COMEDOR!P272+JORNADA!P272+'DIETOLOGÍA(S)'!P272)</f>
        <v>14</v>
      </c>
      <c r="Q272" s="77">
        <f>SUM(PACIENTES!Q272+COMEDOR!Q272+JORNADA!Q272+'DIETOLOGÍA(S)'!Q272)</f>
        <v>0</v>
      </c>
      <c r="R272" s="77">
        <f>SUM(PACIENTES!R272+COMEDOR!R272+JORNADA!R272+'DIETOLOGÍA(S)'!R272)</f>
        <v>0</v>
      </c>
      <c r="S272" s="77">
        <f>SUM(PACIENTES!S272+COMEDOR!S272+JORNADA!S272+'DIETOLOGÍA(S)'!S272)</f>
        <v>0</v>
      </c>
      <c r="T272" s="77">
        <f>SUM(PACIENTES!T272+COMEDOR!T272+JORNADA!T272+'DIETOLOGÍA(S)'!T272)</f>
        <v>0</v>
      </c>
      <c r="U272" s="77">
        <f>SUM(PACIENTES!U272+COMEDOR!U272+JORNADA!U272+'DIETOLOGÍA(S)'!U272)</f>
        <v>0</v>
      </c>
      <c r="V272" s="77">
        <f>SUM(PACIENTES!V272+COMEDOR!V272+JORNADA!V272+'DIETOLOGÍA(S)'!V272)</f>
        <v>0</v>
      </c>
      <c r="W272" s="77">
        <f>SUM(PACIENTES!W272+COMEDOR!W272+JORNADA!W272+'DIETOLOGÍA(S)'!W272)</f>
        <v>14</v>
      </c>
      <c r="X272" s="77">
        <f>SUM(PACIENTES!X272+COMEDOR!X272+JORNADA!X272+'DIETOLOGÍA(S)'!X272)</f>
        <v>0</v>
      </c>
      <c r="Y272" s="77">
        <f>SUM(PACIENTES!Y272+COMEDOR!Y272+JORNADA!Y272+'DIETOLOGÍA(S)'!Y272)</f>
        <v>0</v>
      </c>
      <c r="Z272" s="77">
        <f>SUM(PACIENTES!Z272+COMEDOR!Z272+JORNADA!Z272+'DIETOLOGÍA(S)'!Z272)</f>
        <v>0</v>
      </c>
      <c r="AA272" s="77">
        <f>SUM(PACIENTES!AA272+COMEDOR!AA272+JORNADA!AA272+'DIETOLOGÍA(S)'!AA272)</f>
        <v>0</v>
      </c>
      <c r="AB272" s="77">
        <f>SUM(PACIENTES!AB272+COMEDOR!AB272+JORNADA!AB272+'DIETOLOGÍA(S)'!AB272)</f>
        <v>0</v>
      </c>
      <c r="AC272" s="77">
        <f>SUM(PACIENTES!AC272+COMEDOR!AC272+JORNADA!AC272+'DIETOLOGÍA(S)'!AC272)</f>
        <v>0</v>
      </c>
      <c r="AD272" s="77">
        <f>SUM(PACIENTES!AD272+COMEDOR!AD272+JORNADA!AD272+'DIETOLOGÍA(S)'!AD272)</f>
        <v>0</v>
      </c>
      <c r="AE272" s="77">
        <f>SUM(PACIENTES!AE272+COMEDOR!AE272+JORNADA!AE272+'DIETOLOGÍA(S)'!AE272)</f>
        <v>14</v>
      </c>
      <c r="AF272" s="77">
        <f>SUM(PACIENTES!AF272+COMEDOR!AF272+JORNADA!AF272+'DIETOLOGÍA(S)'!AF272)</f>
        <v>0</v>
      </c>
      <c r="AG272" s="77">
        <f>SUM(PACIENTES!AG272+COMEDOR!AG272+JORNADA!AG272+'DIETOLOGÍA(S)'!AG272)</f>
        <v>0</v>
      </c>
      <c r="AH272" s="77">
        <f>SUM(PACIENTES!AH272+COMEDOR!AH272+JORNADA!AH272+'DIETOLOGÍA(S)'!AH272)</f>
        <v>0</v>
      </c>
      <c r="AI272" s="9">
        <f t="shared" si="10"/>
        <v>56</v>
      </c>
    </row>
    <row r="273" spans="1:35" ht="15.75" customHeight="1">
      <c r="A273" s="220">
        <v>2212011013</v>
      </c>
      <c r="B273" s="221" t="s">
        <v>283</v>
      </c>
      <c r="C273" s="223" t="s">
        <v>6</v>
      </c>
      <c r="D273" s="77">
        <f>SUM(PACIENTES!D273+COMEDOR!D273+JORNADA!D273+'DIETOLOGÍA(S)'!D273)</f>
        <v>14</v>
      </c>
      <c r="E273" s="77">
        <f>SUM(PACIENTES!E273+COMEDOR!E273+JORNADA!E273+'DIETOLOGÍA(S)'!E273)</f>
        <v>0</v>
      </c>
      <c r="F273" s="77">
        <f>SUM(PACIENTES!F273+COMEDOR!F273+JORNADA!F273+'DIETOLOGÍA(S)'!F273)</f>
        <v>0</v>
      </c>
      <c r="G273" s="77">
        <f>SUM(PACIENTES!G273+COMEDOR!G273+JORNADA!G273+'DIETOLOGÍA(S)'!G273)</f>
        <v>0</v>
      </c>
      <c r="H273" s="77">
        <f>SUM(PACIENTES!H273+COMEDOR!H273+JORNADA!H273+'DIETOLOGÍA(S)'!H273)</f>
        <v>0</v>
      </c>
      <c r="I273" s="77">
        <f>SUM(PACIENTES!I273+COMEDOR!I273+JORNADA!I273+'DIETOLOGÍA(S)'!I273)</f>
        <v>15</v>
      </c>
      <c r="J273" s="77">
        <f>SUM(PACIENTES!J273+COMEDOR!J273+JORNADA!J273+'DIETOLOGÍA(S)'!J273)</f>
        <v>0</v>
      </c>
      <c r="K273" s="77">
        <f>SUM(PACIENTES!K273+COMEDOR!K273+JORNADA!K273+'DIETOLOGÍA(S)'!K273)</f>
        <v>0</v>
      </c>
      <c r="L273" s="77">
        <f>SUM(PACIENTES!L273+COMEDOR!L273+JORNADA!L273+'DIETOLOGÍA(S)'!L273)</f>
        <v>14</v>
      </c>
      <c r="M273" s="77">
        <f>SUM(PACIENTES!M273+COMEDOR!M273+JORNADA!M273+'DIETOLOGÍA(S)'!M273)</f>
        <v>0</v>
      </c>
      <c r="N273" s="77">
        <f>SUM(PACIENTES!N273+COMEDOR!N273+JORNADA!N273+'DIETOLOGÍA(S)'!N273)</f>
        <v>0</v>
      </c>
      <c r="O273" s="77">
        <f>SUM(PACIENTES!O273+COMEDOR!O273+JORNADA!O273+'DIETOLOGÍA(S)'!O273)</f>
        <v>0</v>
      </c>
      <c r="P273" s="77">
        <f>SUM(PACIENTES!P273+COMEDOR!P273+JORNADA!P273+'DIETOLOGÍA(S)'!P273)</f>
        <v>0</v>
      </c>
      <c r="Q273" s="77">
        <f>SUM(PACIENTES!Q273+COMEDOR!Q273+JORNADA!Q273+'DIETOLOGÍA(S)'!Q273)</f>
        <v>0</v>
      </c>
      <c r="R273" s="77">
        <f>SUM(PACIENTES!R273+COMEDOR!R273+JORNADA!R273+'DIETOLOGÍA(S)'!R273)</f>
        <v>0</v>
      </c>
      <c r="S273" s="77">
        <f>SUM(PACIENTES!S273+COMEDOR!S273+JORNADA!S273+'DIETOLOGÍA(S)'!S273)</f>
        <v>14</v>
      </c>
      <c r="T273" s="77">
        <f>SUM(PACIENTES!T273+COMEDOR!T273+JORNADA!T273+'DIETOLOGÍA(S)'!T273)</f>
        <v>0</v>
      </c>
      <c r="U273" s="77">
        <f>SUM(PACIENTES!U273+COMEDOR!U273+JORNADA!U273+'DIETOLOGÍA(S)'!U273)</f>
        <v>0</v>
      </c>
      <c r="V273" s="77">
        <f>SUM(PACIENTES!V273+COMEDOR!V273+JORNADA!V273+'DIETOLOGÍA(S)'!V273)</f>
        <v>0</v>
      </c>
      <c r="W273" s="77">
        <f>SUM(PACIENTES!W273+COMEDOR!W273+JORNADA!W273+'DIETOLOGÍA(S)'!W273)</f>
        <v>0</v>
      </c>
      <c r="X273" s="77">
        <f>SUM(PACIENTES!X273+COMEDOR!X273+JORNADA!X273+'DIETOLOGÍA(S)'!X273)</f>
        <v>14</v>
      </c>
      <c r="Y273" s="77">
        <f>SUM(PACIENTES!Y273+COMEDOR!Y273+JORNADA!Y273+'DIETOLOGÍA(S)'!Y273)</f>
        <v>0</v>
      </c>
      <c r="Z273" s="77">
        <f>SUM(PACIENTES!Z273+COMEDOR!Z273+JORNADA!Z273+'DIETOLOGÍA(S)'!Z273)</f>
        <v>0</v>
      </c>
      <c r="AA273" s="77">
        <f>SUM(PACIENTES!AA273+COMEDOR!AA273+JORNADA!AA273+'DIETOLOGÍA(S)'!AA273)</f>
        <v>0</v>
      </c>
      <c r="AB273" s="77">
        <f>SUM(PACIENTES!AB273+COMEDOR!AB273+JORNADA!AB273+'DIETOLOGÍA(S)'!AB273)</f>
        <v>0</v>
      </c>
      <c r="AC273" s="77">
        <f>SUM(PACIENTES!AC273+COMEDOR!AC273+JORNADA!AC273+'DIETOLOGÍA(S)'!AC273)</f>
        <v>0</v>
      </c>
      <c r="AD273" s="77">
        <f>SUM(PACIENTES!AD273+COMEDOR!AD273+JORNADA!AD273+'DIETOLOGÍA(S)'!AD273)</f>
        <v>0</v>
      </c>
      <c r="AE273" s="77">
        <f>SUM(PACIENTES!AE273+COMEDOR!AE273+JORNADA!AE273+'DIETOLOGÍA(S)'!AE273)</f>
        <v>0</v>
      </c>
      <c r="AF273" s="77">
        <f>SUM(PACIENTES!AF273+COMEDOR!AF273+JORNADA!AF273+'DIETOLOGÍA(S)'!AF273)</f>
        <v>0</v>
      </c>
      <c r="AG273" s="77">
        <f>SUM(PACIENTES!AG273+COMEDOR!AG273+JORNADA!AG273+'DIETOLOGÍA(S)'!AG273)</f>
        <v>0</v>
      </c>
      <c r="AH273" s="77">
        <f>SUM(PACIENTES!AH273+COMEDOR!AH273+JORNADA!AH273+'DIETOLOGÍA(S)'!AH273)</f>
        <v>0</v>
      </c>
      <c r="AI273" s="9">
        <f t="shared" si="10"/>
        <v>71</v>
      </c>
    </row>
    <row r="274" spans="1:35" ht="15.75" customHeight="1">
      <c r="A274" s="220">
        <v>2212011014</v>
      </c>
      <c r="B274" s="221" t="s">
        <v>284</v>
      </c>
      <c r="C274" s="223" t="s">
        <v>6</v>
      </c>
      <c r="D274" s="77">
        <f>SUM(PACIENTES!D274+COMEDOR!D274+JORNADA!D274+'DIETOLOGÍA(S)'!D274)</f>
        <v>0</v>
      </c>
      <c r="E274" s="77">
        <f>SUM(PACIENTES!E274+COMEDOR!E274+JORNADA!E274+'DIETOLOGÍA(S)'!E274)</f>
        <v>0</v>
      </c>
      <c r="F274" s="77">
        <f>SUM(PACIENTES!F274+COMEDOR!F274+JORNADA!F274+'DIETOLOGÍA(S)'!F274)</f>
        <v>0</v>
      </c>
      <c r="G274" s="77">
        <f>SUM(PACIENTES!G274+COMEDOR!G274+JORNADA!G274+'DIETOLOGÍA(S)'!G274)</f>
        <v>0</v>
      </c>
      <c r="H274" s="77">
        <f>SUM(PACIENTES!H274+COMEDOR!H274+JORNADA!H274+'DIETOLOGÍA(S)'!H274)</f>
        <v>0</v>
      </c>
      <c r="I274" s="77">
        <f>SUM(PACIENTES!I274+COMEDOR!I274+JORNADA!I274+'DIETOLOGÍA(S)'!I274)</f>
        <v>0</v>
      </c>
      <c r="J274" s="77">
        <f>SUM(PACIENTES!J274+COMEDOR!J274+JORNADA!J274+'DIETOLOGÍA(S)'!J274)</f>
        <v>0</v>
      </c>
      <c r="K274" s="77">
        <f>SUM(PACIENTES!K274+COMEDOR!K274+JORNADA!K274+'DIETOLOGÍA(S)'!K274)</f>
        <v>0</v>
      </c>
      <c r="L274" s="77">
        <f>SUM(PACIENTES!L274+COMEDOR!L274+JORNADA!L274+'DIETOLOGÍA(S)'!L274)</f>
        <v>0</v>
      </c>
      <c r="M274" s="77">
        <f>SUM(PACIENTES!M274+COMEDOR!M274+JORNADA!M274+'DIETOLOGÍA(S)'!M274)</f>
        <v>0</v>
      </c>
      <c r="N274" s="77">
        <f>SUM(PACIENTES!N274+COMEDOR!N274+JORNADA!N274+'DIETOLOGÍA(S)'!N274)</f>
        <v>0</v>
      </c>
      <c r="O274" s="77">
        <f>SUM(PACIENTES!O274+COMEDOR!O274+JORNADA!O274+'DIETOLOGÍA(S)'!O274)</f>
        <v>0</v>
      </c>
      <c r="P274" s="77">
        <f>SUM(PACIENTES!P274+COMEDOR!P274+JORNADA!P274+'DIETOLOGÍA(S)'!P274)</f>
        <v>0</v>
      </c>
      <c r="Q274" s="77">
        <f>SUM(PACIENTES!Q274+COMEDOR!Q274+JORNADA!Q274+'DIETOLOGÍA(S)'!Q274)</f>
        <v>0</v>
      </c>
      <c r="R274" s="77">
        <f>SUM(PACIENTES!R274+COMEDOR!R274+JORNADA!R274+'DIETOLOGÍA(S)'!R274)</f>
        <v>0</v>
      </c>
      <c r="S274" s="77">
        <f>SUM(PACIENTES!S274+COMEDOR!S274+JORNADA!S274+'DIETOLOGÍA(S)'!S274)</f>
        <v>0</v>
      </c>
      <c r="T274" s="77">
        <f>SUM(PACIENTES!T274+COMEDOR!T274+JORNADA!T274+'DIETOLOGÍA(S)'!T274)</f>
        <v>0</v>
      </c>
      <c r="U274" s="77">
        <f>SUM(PACIENTES!U274+COMEDOR!U274+JORNADA!U274+'DIETOLOGÍA(S)'!U274)</f>
        <v>0</v>
      </c>
      <c r="V274" s="77">
        <f>SUM(PACIENTES!V274+COMEDOR!V274+JORNADA!V274+'DIETOLOGÍA(S)'!V274)</f>
        <v>0</v>
      </c>
      <c r="W274" s="77">
        <f>SUM(PACIENTES!W274+COMEDOR!W274+JORNADA!W274+'DIETOLOGÍA(S)'!W274)</f>
        <v>0</v>
      </c>
      <c r="X274" s="77">
        <f>SUM(PACIENTES!X274+COMEDOR!X274+JORNADA!X274+'DIETOLOGÍA(S)'!X274)</f>
        <v>0</v>
      </c>
      <c r="Y274" s="77">
        <f>SUM(PACIENTES!Y274+COMEDOR!Y274+JORNADA!Y274+'DIETOLOGÍA(S)'!Y274)</f>
        <v>0</v>
      </c>
      <c r="Z274" s="77">
        <f>SUM(PACIENTES!Z274+COMEDOR!Z274+JORNADA!Z274+'DIETOLOGÍA(S)'!Z274)</f>
        <v>0</v>
      </c>
      <c r="AA274" s="77">
        <f>SUM(PACIENTES!AA274+COMEDOR!AA274+JORNADA!AA274+'DIETOLOGÍA(S)'!AA274)</f>
        <v>0</v>
      </c>
      <c r="AB274" s="77">
        <f>SUM(PACIENTES!AB274+COMEDOR!AB274+JORNADA!AB274+'DIETOLOGÍA(S)'!AB274)</f>
        <v>0</v>
      </c>
      <c r="AC274" s="77">
        <f>SUM(PACIENTES!AC274+COMEDOR!AC274+JORNADA!AC274+'DIETOLOGÍA(S)'!AC274)</f>
        <v>0</v>
      </c>
      <c r="AD274" s="77">
        <f>SUM(PACIENTES!AD274+COMEDOR!AD274+JORNADA!AD274+'DIETOLOGÍA(S)'!AD274)</f>
        <v>0</v>
      </c>
      <c r="AE274" s="77">
        <f>SUM(PACIENTES!AE274+COMEDOR!AE274+JORNADA!AE274+'DIETOLOGÍA(S)'!AE274)</f>
        <v>0</v>
      </c>
      <c r="AF274" s="77">
        <f>SUM(PACIENTES!AF274+COMEDOR!AF274+JORNADA!AF274+'DIETOLOGÍA(S)'!AF274)</f>
        <v>0</v>
      </c>
      <c r="AG274" s="77">
        <f>SUM(PACIENTES!AG274+COMEDOR!AG274+JORNADA!AG274+'DIETOLOGÍA(S)'!AG274)</f>
        <v>0</v>
      </c>
      <c r="AH274" s="77">
        <f>SUM(PACIENTES!AH274+COMEDOR!AH274+JORNADA!AH274+'DIETOLOGÍA(S)'!AH274)</f>
        <v>0</v>
      </c>
      <c r="AI274" s="9">
        <f t="shared" si="10"/>
        <v>0</v>
      </c>
    </row>
    <row r="275" spans="1:35" ht="15.75" customHeight="1">
      <c r="A275" s="220">
        <v>2212011015</v>
      </c>
      <c r="B275" s="221" t="s">
        <v>285</v>
      </c>
      <c r="C275" s="223" t="s">
        <v>6</v>
      </c>
      <c r="D275" s="77">
        <f>SUM(PACIENTES!D275+COMEDOR!D275+JORNADA!D275+'DIETOLOGÍA(S)'!D275)</f>
        <v>0</v>
      </c>
      <c r="E275" s="77">
        <f>SUM(PACIENTES!E275+COMEDOR!E275+JORNADA!E275+'DIETOLOGÍA(S)'!E275)</f>
        <v>0</v>
      </c>
      <c r="F275" s="77">
        <f>SUM(PACIENTES!F275+COMEDOR!F275+JORNADA!F275+'DIETOLOGÍA(S)'!F275)</f>
        <v>0</v>
      </c>
      <c r="G275" s="77">
        <f>SUM(PACIENTES!G275+COMEDOR!G275+JORNADA!G275+'DIETOLOGÍA(S)'!G275)</f>
        <v>0</v>
      </c>
      <c r="H275" s="77">
        <f>SUM(PACIENTES!H275+COMEDOR!H275+JORNADA!H275+'DIETOLOGÍA(S)'!H275)</f>
        <v>0</v>
      </c>
      <c r="I275" s="77">
        <f>SUM(PACIENTES!I275+COMEDOR!I275+JORNADA!I275+'DIETOLOGÍA(S)'!I275)</f>
        <v>0</v>
      </c>
      <c r="J275" s="77">
        <f>SUM(PACIENTES!J275+COMEDOR!J275+JORNADA!J275+'DIETOLOGÍA(S)'!J275)</f>
        <v>0</v>
      </c>
      <c r="K275" s="77">
        <f>SUM(PACIENTES!K275+COMEDOR!K275+JORNADA!K275+'DIETOLOGÍA(S)'!K275)</f>
        <v>0</v>
      </c>
      <c r="L275" s="77">
        <f>SUM(PACIENTES!L275+COMEDOR!L275+JORNADA!L275+'DIETOLOGÍA(S)'!L275)</f>
        <v>0</v>
      </c>
      <c r="M275" s="77">
        <f>SUM(PACIENTES!M275+COMEDOR!M275+JORNADA!M275+'DIETOLOGÍA(S)'!M275)</f>
        <v>0</v>
      </c>
      <c r="N275" s="77">
        <f>SUM(PACIENTES!N275+COMEDOR!N275+JORNADA!N275+'DIETOLOGÍA(S)'!N275)</f>
        <v>0</v>
      </c>
      <c r="O275" s="77">
        <f>SUM(PACIENTES!O275+COMEDOR!O275+JORNADA!O275+'DIETOLOGÍA(S)'!O275)</f>
        <v>0</v>
      </c>
      <c r="P275" s="77">
        <f>SUM(PACIENTES!P275+COMEDOR!P275+JORNADA!P275+'DIETOLOGÍA(S)'!P275)</f>
        <v>0</v>
      </c>
      <c r="Q275" s="77">
        <f>SUM(PACIENTES!Q275+COMEDOR!Q275+JORNADA!Q275+'DIETOLOGÍA(S)'!Q275)</f>
        <v>0</v>
      </c>
      <c r="R275" s="77">
        <f>SUM(PACIENTES!R275+COMEDOR!R275+JORNADA!R275+'DIETOLOGÍA(S)'!R275)</f>
        <v>0</v>
      </c>
      <c r="S275" s="77">
        <f>SUM(PACIENTES!S275+COMEDOR!S275+JORNADA!S275+'DIETOLOGÍA(S)'!S275)</f>
        <v>0</v>
      </c>
      <c r="T275" s="77">
        <f>SUM(PACIENTES!T275+COMEDOR!T275+JORNADA!T275+'DIETOLOGÍA(S)'!T275)</f>
        <v>0</v>
      </c>
      <c r="U275" s="77">
        <f>SUM(PACIENTES!U275+COMEDOR!U275+JORNADA!U275+'DIETOLOGÍA(S)'!U275)</f>
        <v>0</v>
      </c>
      <c r="V275" s="77">
        <f>SUM(PACIENTES!V275+COMEDOR!V275+JORNADA!V275+'DIETOLOGÍA(S)'!V275)</f>
        <v>0</v>
      </c>
      <c r="W275" s="77">
        <f>SUM(PACIENTES!W275+COMEDOR!W275+JORNADA!W275+'DIETOLOGÍA(S)'!W275)</f>
        <v>0</v>
      </c>
      <c r="X275" s="77">
        <f>SUM(PACIENTES!X275+COMEDOR!X275+JORNADA!X275+'DIETOLOGÍA(S)'!X275)</f>
        <v>0</v>
      </c>
      <c r="Y275" s="77">
        <f>SUM(PACIENTES!Y275+COMEDOR!Y275+JORNADA!Y275+'DIETOLOGÍA(S)'!Y275)</f>
        <v>0</v>
      </c>
      <c r="Z275" s="77">
        <f>SUM(PACIENTES!Z275+COMEDOR!Z275+JORNADA!Z275+'DIETOLOGÍA(S)'!Z275)</f>
        <v>0</v>
      </c>
      <c r="AA275" s="77">
        <f>SUM(PACIENTES!AA275+COMEDOR!AA275+JORNADA!AA275+'DIETOLOGÍA(S)'!AA275)</f>
        <v>0</v>
      </c>
      <c r="AB275" s="77">
        <f>SUM(PACIENTES!AB275+COMEDOR!AB275+JORNADA!AB275+'DIETOLOGÍA(S)'!AB275)</f>
        <v>0</v>
      </c>
      <c r="AC275" s="77">
        <f>SUM(PACIENTES!AC275+COMEDOR!AC275+JORNADA!AC275+'DIETOLOGÍA(S)'!AC275)</f>
        <v>0</v>
      </c>
      <c r="AD275" s="77">
        <f>SUM(PACIENTES!AD275+COMEDOR!AD275+JORNADA!AD275+'DIETOLOGÍA(S)'!AD275)</f>
        <v>0</v>
      </c>
      <c r="AE275" s="77">
        <f>SUM(PACIENTES!AE275+COMEDOR!AE275+JORNADA!AE275+'DIETOLOGÍA(S)'!AE275)</f>
        <v>0</v>
      </c>
      <c r="AF275" s="77">
        <f>SUM(PACIENTES!AF275+COMEDOR!AF275+JORNADA!AF275+'DIETOLOGÍA(S)'!AF275)</f>
        <v>0</v>
      </c>
      <c r="AG275" s="77">
        <f>SUM(PACIENTES!AG275+COMEDOR!AG275+JORNADA!AG275+'DIETOLOGÍA(S)'!AG275)</f>
        <v>0</v>
      </c>
      <c r="AH275" s="77">
        <f>SUM(PACIENTES!AH275+COMEDOR!AH275+JORNADA!AH275+'DIETOLOGÍA(S)'!AH275)</f>
        <v>0</v>
      </c>
      <c r="AI275" s="9">
        <f t="shared" si="10"/>
        <v>0</v>
      </c>
    </row>
    <row r="276" spans="1:35" ht="15.75" customHeight="1">
      <c r="A276" s="220">
        <v>2212011016</v>
      </c>
      <c r="B276" s="221" t="s">
        <v>286</v>
      </c>
      <c r="C276" s="223" t="s">
        <v>6</v>
      </c>
      <c r="D276" s="77">
        <f>SUM(PACIENTES!D276+COMEDOR!D276+JORNADA!D276+'DIETOLOGÍA(S)'!D276)</f>
        <v>6</v>
      </c>
      <c r="E276" s="77">
        <f>SUM(PACIENTES!E276+COMEDOR!E276+JORNADA!E276+'DIETOLOGÍA(S)'!E276)</f>
        <v>20</v>
      </c>
      <c r="F276" s="77">
        <f>SUM(PACIENTES!F276+COMEDOR!F276+JORNADA!F276+'DIETOLOGÍA(S)'!F276)</f>
        <v>6</v>
      </c>
      <c r="G276" s="77">
        <f>SUM(PACIENTES!G276+COMEDOR!G276+JORNADA!G276+'DIETOLOGÍA(S)'!G276)</f>
        <v>0</v>
      </c>
      <c r="H276" s="77">
        <f>SUM(PACIENTES!H276+COMEDOR!H276+JORNADA!H276+'DIETOLOGÍA(S)'!H276)</f>
        <v>4</v>
      </c>
      <c r="I276" s="77">
        <f>SUM(PACIENTES!I276+COMEDOR!I276+JORNADA!I276+'DIETOLOGÍA(S)'!I276)</f>
        <v>0</v>
      </c>
      <c r="J276" s="77">
        <f>SUM(PACIENTES!J276+COMEDOR!J276+JORNADA!J276+'DIETOLOGÍA(S)'!J276)</f>
        <v>0</v>
      </c>
      <c r="K276" s="77">
        <f>SUM(PACIENTES!K276+COMEDOR!K276+JORNADA!K276+'DIETOLOGÍA(S)'!K276)</f>
        <v>4</v>
      </c>
      <c r="L276" s="77">
        <f>SUM(PACIENTES!L276+COMEDOR!L276+JORNADA!L276+'DIETOLOGÍA(S)'!L276)</f>
        <v>2</v>
      </c>
      <c r="M276" s="77">
        <f>SUM(PACIENTES!M276+COMEDOR!M276+JORNADA!M276+'DIETOLOGÍA(S)'!M276)</f>
        <v>0</v>
      </c>
      <c r="N276" s="77">
        <f>SUM(PACIENTES!N276+COMEDOR!N276+JORNADA!N276+'DIETOLOGÍA(S)'!N276)</f>
        <v>0</v>
      </c>
      <c r="O276" s="77">
        <f>SUM(PACIENTES!O276+COMEDOR!O276+JORNADA!O276+'DIETOLOGÍA(S)'!O276)</f>
        <v>0</v>
      </c>
      <c r="P276" s="77">
        <f>SUM(PACIENTES!P276+COMEDOR!P276+JORNADA!P276+'DIETOLOGÍA(S)'!P276)</f>
        <v>0</v>
      </c>
      <c r="Q276" s="77">
        <f>SUM(PACIENTES!Q276+COMEDOR!Q276+JORNADA!Q276+'DIETOLOGÍA(S)'!Q276)</f>
        <v>0</v>
      </c>
      <c r="R276" s="77">
        <f>SUM(PACIENTES!R276+COMEDOR!R276+JORNADA!R276+'DIETOLOGÍA(S)'!R276)</f>
        <v>0</v>
      </c>
      <c r="S276" s="77">
        <f>SUM(PACIENTES!S276+COMEDOR!S276+JORNADA!S276+'DIETOLOGÍA(S)'!S276)</f>
        <v>0</v>
      </c>
      <c r="T276" s="77">
        <f>SUM(PACIENTES!T276+COMEDOR!T276+JORNADA!T276+'DIETOLOGÍA(S)'!T276)</f>
        <v>0</v>
      </c>
      <c r="U276" s="77">
        <f>SUM(PACIENTES!U276+COMEDOR!U276+JORNADA!U276+'DIETOLOGÍA(S)'!U276)</f>
        <v>0</v>
      </c>
      <c r="V276" s="77">
        <f>SUM(PACIENTES!V276+COMEDOR!V276+JORNADA!V276+'DIETOLOGÍA(S)'!V276)</f>
        <v>0</v>
      </c>
      <c r="W276" s="77">
        <f>SUM(PACIENTES!W276+COMEDOR!W276+JORNADA!W276+'DIETOLOGÍA(S)'!W276)</f>
        <v>0</v>
      </c>
      <c r="X276" s="77">
        <f>SUM(PACIENTES!X276+COMEDOR!X276+JORNADA!X276+'DIETOLOGÍA(S)'!X276)</f>
        <v>0</v>
      </c>
      <c r="Y276" s="77">
        <f>SUM(PACIENTES!Y276+COMEDOR!Y276+JORNADA!Y276+'DIETOLOGÍA(S)'!Y276)</f>
        <v>0</v>
      </c>
      <c r="Z276" s="77">
        <f>SUM(PACIENTES!Z276+COMEDOR!Z276+JORNADA!Z276+'DIETOLOGÍA(S)'!Z276)</f>
        <v>0</v>
      </c>
      <c r="AA276" s="77">
        <f>SUM(PACIENTES!AA276+COMEDOR!AA276+JORNADA!AA276+'DIETOLOGÍA(S)'!AA276)</f>
        <v>2</v>
      </c>
      <c r="AB276" s="77">
        <f>SUM(PACIENTES!AB276+COMEDOR!AB276+JORNADA!AB276+'DIETOLOGÍA(S)'!AB276)</f>
        <v>0</v>
      </c>
      <c r="AC276" s="77">
        <f>SUM(PACIENTES!AC276+COMEDOR!AC276+JORNADA!AC276+'DIETOLOGÍA(S)'!AC276)</f>
        <v>8</v>
      </c>
      <c r="AD276" s="77">
        <f>SUM(PACIENTES!AD276+COMEDOR!AD276+JORNADA!AD276+'DIETOLOGÍA(S)'!AD276)</f>
        <v>0</v>
      </c>
      <c r="AE276" s="77">
        <f>SUM(PACIENTES!AE276+COMEDOR!AE276+JORNADA!AE276+'DIETOLOGÍA(S)'!AE276)</f>
        <v>0</v>
      </c>
      <c r="AF276" s="77">
        <f>SUM(PACIENTES!AF276+COMEDOR!AF276+JORNADA!AF276+'DIETOLOGÍA(S)'!AF276)</f>
        <v>0</v>
      </c>
      <c r="AG276" s="77">
        <f>SUM(PACIENTES!AG276+COMEDOR!AG276+JORNADA!AG276+'DIETOLOGÍA(S)'!AG276)</f>
        <v>0</v>
      </c>
      <c r="AH276" s="77">
        <f>SUM(PACIENTES!AH276+COMEDOR!AH276+JORNADA!AH276+'DIETOLOGÍA(S)'!AH276)</f>
        <v>0</v>
      </c>
      <c r="AI276" s="9">
        <f t="shared" si="10"/>
        <v>52</v>
      </c>
    </row>
    <row r="277" spans="1:35" ht="15.75" customHeight="1">
      <c r="A277" s="220">
        <v>2212011017</v>
      </c>
      <c r="B277" s="221" t="s">
        <v>287</v>
      </c>
      <c r="C277" s="223" t="s">
        <v>6</v>
      </c>
      <c r="D277" s="77">
        <f>SUM(PACIENTES!D277+COMEDOR!D277+JORNADA!D277+'DIETOLOGÍA(S)'!D277)</f>
        <v>0</v>
      </c>
      <c r="E277" s="77">
        <f>SUM(PACIENTES!E277+COMEDOR!E277+JORNADA!E277+'DIETOLOGÍA(S)'!E277)</f>
        <v>0</v>
      </c>
      <c r="F277" s="77">
        <f>SUM(PACIENTES!F277+COMEDOR!F277+JORNADA!F277+'DIETOLOGÍA(S)'!F277)</f>
        <v>0</v>
      </c>
      <c r="G277" s="77">
        <f>SUM(PACIENTES!G277+COMEDOR!G277+JORNADA!G277+'DIETOLOGÍA(S)'!G277)</f>
        <v>0</v>
      </c>
      <c r="H277" s="77">
        <f>SUM(PACIENTES!H277+COMEDOR!H277+JORNADA!H277+'DIETOLOGÍA(S)'!H277)</f>
        <v>0</v>
      </c>
      <c r="I277" s="77">
        <f>SUM(PACIENTES!I277+COMEDOR!I277+JORNADA!I277+'DIETOLOGÍA(S)'!I277)</f>
        <v>0</v>
      </c>
      <c r="J277" s="77">
        <f>SUM(PACIENTES!J277+COMEDOR!J277+JORNADA!J277+'DIETOLOGÍA(S)'!J277)</f>
        <v>0</v>
      </c>
      <c r="K277" s="77">
        <f>SUM(PACIENTES!K277+COMEDOR!K277+JORNADA!K277+'DIETOLOGÍA(S)'!K277)</f>
        <v>0</v>
      </c>
      <c r="L277" s="77">
        <f>SUM(PACIENTES!L277+COMEDOR!L277+JORNADA!L277+'DIETOLOGÍA(S)'!L277)</f>
        <v>0</v>
      </c>
      <c r="M277" s="77">
        <f>SUM(PACIENTES!M277+COMEDOR!M277+JORNADA!M277+'DIETOLOGÍA(S)'!M277)</f>
        <v>0</v>
      </c>
      <c r="N277" s="77">
        <f>SUM(PACIENTES!N277+COMEDOR!N277+JORNADA!N277+'DIETOLOGÍA(S)'!N277)</f>
        <v>0</v>
      </c>
      <c r="O277" s="77">
        <f>SUM(PACIENTES!O277+COMEDOR!O277+JORNADA!O277+'DIETOLOGÍA(S)'!O277)</f>
        <v>0</v>
      </c>
      <c r="P277" s="77">
        <f>SUM(PACIENTES!P277+COMEDOR!P277+JORNADA!P277+'DIETOLOGÍA(S)'!P277)</f>
        <v>0</v>
      </c>
      <c r="Q277" s="77">
        <f>SUM(PACIENTES!Q277+COMEDOR!Q277+JORNADA!Q277+'DIETOLOGÍA(S)'!Q277)</f>
        <v>0</v>
      </c>
      <c r="R277" s="77">
        <f>SUM(PACIENTES!R277+COMEDOR!R277+JORNADA!R277+'DIETOLOGÍA(S)'!R277)</f>
        <v>0</v>
      </c>
      <c r="S277" s="77">
        <f>SUM(PACIENTES!S277+COMEDOR!S277+JORNADA!S277+'DIETOLOGÍA(S)'!S277)</f>
        <v>0</v>
      </c>
      <c r="T277" s="77">
        <f>SUM(PACIENTES!T277+COMEDOR!T277+JORNADA!T277+'DIETOLOGÍA(S)'!T277)</f>
        <v>0</v>
      </c>
      <c r="U277" s="77">
        <f>SUM(PACIENTES!U277+COMEDOR!U277+JORNADA!U277+'DIETOLOGÍA(S)'!U277)</f>
        <v>0</v>
      </c>
      <c r="V277" s="77">
        <f>SUM(PACIENTES!V277+COMEDOR!V277+JORNADA!V277+'DIETOLOGÍA(S)'!V277)</f>
        <v>0</v>
      </c>
      <c r="W277" s="77">
        <f>SUM(PACIENTES!W277+COMEDOR!W277+JORNADA!W277+'DIETOLOGÍA(S)'!W277)</f>
        <v>0</v>
      </c>
      <c r="X277" s="77">
        <f>SUM(PACIENTES!X277+COMEDOR!X277+JORNADA!X277+'DIETOLOGÍA(S)'!X277)</f>
        <v>0</v>
      </c>
      <c r="Y277" s="77">
        <f>SUM(PACIENTES!Y277+COMEDOR!Y277+JORNADA!Y277+'DIETOLOGÍA(S)'!Y277)</f>
        <v>0</v>
      </c>
      <c r="Z277" s="77">
        <f>SUM(PACIENTES!Z277+COMEDOR!Z277+JORNADA!Z277+'DIETOLOGÍA(S)'!Z277)</f>
        <v>0</v>
      </c>
      <c r="AA277" s="77">
        <f>SUM(PACIENTES!AA277+COMEDOR!AA277+JORNADA!AA277+'DIETOLOGÍA(S)'!AA277)</f>
        <v>0</v>
      </c>
      <c r="AB277" s="77">
        <f>SUM(PACIENTES!AB277+COMEDOR!AB277+JORNADA!AB277+'DIETOLOGÍA(S)'!AB277)</f>
        <v>0</v>
      </c>
      <c r="AC277" s="77">
        <f>SUM(PACIENTES!AC277+COMEDOR!AC277+JORNADA!AC277+'DIETOLOGÍA(S)'!AC277)</f>
        <v>0</v>
      </c>
      <c r="AD277" s="77">
        <f>SUM(PACIENTES!AD277+COMEDOR!AD277+JORNADA!AD277+'DIETOLOGÍA(S)'!AD277)</f>
        <v>0</v>
      </c>
      <c r="AE277" s="77">
        <f>SUM(PACIENTES!AE277+COMEDOR!AE277+JORNADA!AE277+'DIETOLOGÍA(S)'!AE277)</f>
        <v>0</v>
      </c>
      <c r="AF277" s="77">
        <f>SUM(PACIENTES!AF277+COMEDOR!AF277+JORNADA!AF277+'DIETOLOGÍA(S)'!AF277)</f>
        <v>0</v>
      </c>
      <c r="AG277" s="77">
        <f>SUM(PACIENTES!AG277+COMEDOR!AG277+JORNADA!AG277+'DIETOLOGÍA(S)'!AG277)</f>
        <v>0</v>
      </c>
      <c r="AH277" s="77">
        <f>SUM(PACIENTES!AH277+COMEDOR!AH277+JORNADA!AH277+'DIETOLOGÍA(S)'!AH277)</f>
        <v>0</v>
      </c>
      <c r="AI277" s="9">
        <f t="shared" si="10"/>
        <v>0</v>
      </c>
    </row>
    <row r="278" spans="1:35" ht="15.75" customHeight="1">
      <c r="A278" s="220">
        <v>2212011018</v>
      </c>
      <c r="B278" s="221" t="s">
        <v>288</v>
      </c>
      <c r="C278" s="223" t="s">
        <v>6</v>
      </c>
      <c r="D278" s="77">
        <f>SUM(PACIENTES!D278+COMEDOR!D278+JORNADA!D278+'DIETOLOGÍA(S)'!D278)</f>
        <v>0</v>
      </c>
      <c r="E278" s="77">
        <f>SUM(PACIENTES!E278+COMEDOR!E278+JORNADA!E278+'DIETOLOGÍA(S)'!E278)</f>
        <v>0</v>
      </c>
      <c r="F278" s="77">
        <f>SUM(PACIENTES!F278+COMEDOR!F278+JORNADA!F278+'DIETOLOGÍA(S)'!F278)</f>
        <v>0</v>
      </c>
      <c r="G278" s="77">
        <f>SUM(PACIENTES!G278+COMEDOR!G278+JORNADA!G278+'DIETOLOGÍA(S)'!G278)</f>
        <v>0</v>
      </c>
      <c r="H278" s="77">
        <f>SUM(PACIENTES!H278+COMEDOR!H278+JORNADA!H278+'DIETOLOGÍA(S)'!H278)</f>
        <v>0</v>
      </c>
      <c r="I278" s="77">
        <f>SUM(PACIENTES!I278+COMEDOR!I278+JORNADA!I278+'DIETOLOGÍA(S)'!I278)</f>
        <v>0</v>
      </c>
      <c r="J278" s="77">
        <f>SUM(PACIENTES!J278+COMEDOR!J278+JORNADA!J278+'DIETOLOGÍA(S)'!J278)</f>
        <v>0</v>
      </c>
      <c r="K278" s="77">
        <f>SUM(PACIENTES!K278+COMEDOR!K278+JORNADA!K278+'DIETOLOGÍA(S)'!K278)</f>
        <v>0</v>
      </c>
      <c r="L278" s="77">
        <f>SUM(PACIENTES!L278+COMEDOR!L278+JORNADA!L278+'DIETOLOGÍA(S)'!L278)</f>
        <v>0</v>
      </c>
      <c r="M278" s="77">
        <f>SUM(PACIENTES!M278+COMEDOR!M278+JORNADA!M278+'DIETOLOGÍA(S)'!M278)</f>
        <v>0</v>
      </c>
      <c r="N278" s="77">
        <f>SUM(PACIENTES!N278+COMEDOR!N278+JORNADA!N278+'DIETOLOGÍA(S)'!N278)</f>
        <v>0</v>
      </c>
      <c r="O278" s="77">
        <f>SUM(PACIENTES!O278+COMEDOR!O278+JORNADA!O278+'DIETOLOGÍA(S)'!O278)</f>
        <v>0</v>
      </c>
      <c r="P278" s="77">
        <f>SUM(PACIENTES!P278+COMEDOR!P278+JORNADA!P278+'DIETOLOGÍA(S)'!P278)</f>
        <v>0</v>
      </c>
      <c r="Q278" s="77">
        <f>SUM(PACIENTES!Q278+COMEDOR!Q278+JORNADA!Q278+'DIETOLOGÍA(S)'!Q278)</f>
        <v>0</v>
      </c>
      <c r="R278" s="77">
        <f>SUM(PACIENTES!R278+COMEDOR!R278+JORNADA!R278+'DIETOLOGÍA(S)'!R278)</f>
        <v>0</v>
      </c>
      <c r="S278" s="77">
        <f>SUM(PACIENTES!S278+COMEDOR!S278+JORNADA!S278+'DIETOLOGÍA(S)'!S278)</f>
        <v>0</v>
      </c>
      <c r="T278" s="77">
        <f>SUM(PACIENTES!T278+COMEDOR!T278+JORNADA!T278+'DIETOLOGÍA(S)'!T278)</f>
        <v>0</v>
      </c>
      <c r="U278" s="77">
        <f>SUM(PACIENTES!U278+COMEDOR!U278+JORNADA!U278+'DIETOLOGÍA(S)'!U278)</f>
        <v>0</v>
      </c>
      <c r="V278" s="77">
        <f>SUM(PACIENTES!V278+COMEDOR!V278+JORNADA!V278+'DIETOLOGÍA(S)'!V278)</f>
        <v>0</v>
      </c>
      <c r="W278" s="77">
        <f>SUM(PACIENTES!W278+COMEDOR!W278+JORNADA!W278+'DIETOLOGÍA(S)'!W278)</f>
        <v>0</v>
      </c>
      <c r="X278" s="77">
        <f>SUM(PACIENTES!X278+COMEDOR!X278+JORNADA!X278+'DIETOLOGÍA(S)'!X278)</f>
        <v>0</v>
      </c>
      <c r="Y278" s="77">
        <f>SUM(PACIENTES!Y278+COMEDOR!Y278+JORNADA!Y278+'DIETOLOGÍA(S)'!Y278)</f>
        <v>0</v>
      </c>
      <c r="Z278" s="77">
        <f>SUM(PACIENTES!Z278+COMEDOR!Z278+JORNADA!Z278+'DIETOLOGÍA(S)'!Z278)</f>
        <v>0</v>
      </c>
      <c r="AA278" s="77">
        <f>SUM(PACIENTES!AA278+COMEDOR!AA278+JORNADA!AA278+'DIETOLOGÍA(S)'!AA278)</f>
        <v>0</v>
      </c>
      <c r="AB278" s="77">
        <f>SUM(PACIENTES!AB278+COMEDOR!AB278+JORNADA!AB278+'DIETOLOGÍA(S)'!AB278)</f>
        <v>0</v>
      </c>
      <c r="AC278" s="77">
        <f>SUM(PACIENTES!AC278+COMEDOR!AC278+JORNADA!AC278+'DIETOLOGÍA(S)'!AC278)</f>
        <v>0</v>
      </c>
      <c r="AD278" s="77">
        <f>SUM(PACIENTES!AD278+COMEDOR!AD278+JORNADA!AD278+'DIETOLOGÍA(S)'!AD278)</f>
        <v>0</v>
      </c>
      <c r="AE278" s="77">
        <f>SUM(PACIENTES!AE278+COMEDOR!AE278+JORNADA!AE278+'DIETOLOGÍA(S)'!AE278)</f>
        <v>0</v>
      </c>
      <c r="AF278" s="77">
        <f>SUM(PACIENTES!AF278+COMEDOR!AF278+JORNADA!AF278+'DIETOLOGÍA(S)'!AF278)</f>
        <v>0</v>
      </c>
      <c r="AG278" s="77">
        <f>SUM(PACIENTES!AG278+COMEDOR!AG278+JORNADA!AG278+'DIETOLOGÍA(S)'!AG278)</f>
        <v>0</v>
      </c>
      <c r="AH278" s="77">
        <f>SUM(PACIENTES!AH278+COMEDOR!AH278+JORNADA!AH278+'DIETOLOGÍA(S)'!AH278)</f>
        <v>0</v>
      </c>
      <c r="AI278" s="9">
        <f t="shared" si="10"/>
        <v>0</v>
      </c>
    </row>
    <row r="279" spans="1:35" ht="15.75" customHeight="1">
      <c r="A279" s="220">
        <v>2212011019</v>
      </c>
      <c r="B279" s="221" t="s">
        <v>289</v>
      </c>
      <c r="C279" s="223" t="s">
        <v>6</v>
      </c>
      <c r="D279" s="77">
        <f>SUM(PACIENTES!D279+COMEDOR!D279+JORNADA!D279+'DIETOLOGÍA(S)'!D279)</f>
        <v>0</v>
      </c>
      <c r="E279" s="77">
        <f>SUM(PACIENTES!E279+COMEDOR!E279+JORNADA!E279+'DIETOLOGÍA(S)'!E279)</f>
        <v>0</v>
      </c>
      <c r="F279" s="77">
        <f>SUM(PACIENTES!F279+COMEDOR!F279+JORNADA!F279+'DIETOLOGÍA(S)'!F279)</f>
        <v>0</v>
      </c>
      <c r="G279" s="77">
        <f>SUM(PACIENTES!G279+COMEDOR!G279+JORNADA!G279+'DIETOLOGÍA(S)'!G279)</f>
        <v>0</v>
      </c>
      <c r="H279" s="77">
        <f>SUM(PACIENTES!H279+COMEDOR!H279+JORNADA!H279+'DIETOLOGÍA(S)'!H279)</f>
        <v>0</v>
      </c>
      <c r="I279" s="77">
        <f>SUM(PACIENTES!I279+COMEDOR!I279+JORNADA!I279+'DIETOLOGÍA(S)'!I279)</f>
        <v>0</v>
      </c>
      <c r="J279" s="77">
        <f>SUM(PACIENTES!J279+COMEDOR!J279+JORNADA!J279+'DIETOLOGÍA(S)'!J279)</f>
        <v>0</v>
      </c>
      <c r="K279" s="77">
        <f>SUM(PACIENTES!K279+COMEDOR!K279+JORNADA!K279+'DIETOLOGÍA(S)'!K279)</f>
        <v>0</v>
      </c>
      <c r="L279" s="77">
        <f>SUM(PACIENTES!L279+COMEDOR!L279+JORNADA!L279+'DIETOLOGÍA(S)'!L279)</f>
        <v>0</v>
      </c>
      <c r="M279" s="77">
        <f>SUM(PACIENTES!M279+COMEDOR!M279+JORNADA!M279+'DIETOLOGÍA(S)'!M279)</f>
        <v>0</v>
      </c>
      <c r="N279" s="77">
        <f>SUM(PACIENTES!N279+COMEDOR!N279+JORNADA!N279+'DIETOLOGÍA(S)'!N279)</f>
        <v>0</v>
      </c>
      <c r="O279" s="77">
        <f>SUM(PACIENTES!O279+COMEDOR!O279+JORNADA!O279+'DIETOLOGÍA(S)'!O279)</f>
        <v>0</v>
      </c>
      <c r="P279" s="77">
        <f>SUM(PACIENTES!P279+COMEDOR!P279+JORNADA!P279+'DIETOLOGÍA(S)'!P279)</f>
        <v>0</v>
      </c>
      <c r="Q279" s="77">
        <f>SUM(PACIENTES!Q279+COMEDOR!Q279+JORNADA!Q279+'DIETOLOGÍA(S)'!Q279)</f>
        <v>0</v>
      </c>
      <c r="R279" s="77">
        <f>SUM(PACIENTES!R279+COMEDOR!R279+JORNADA!R279+'DIETOLOGÍA(S)'!R279)</f>
        <v>0</v>
      </c>
      <c r="S279" s="77">
        <f>SUM(PACIENTES!S279+COMEDOR!S279+JORNADA!S279+'DIETOLOGÍA(S)'!S279)</f>
        <v>0</v>
      </c>
      <c r="T279" s="77">
        <f>SUM(PACIENTES!T279+COMEDOR!T279+JORNADA!T279+'DIETOLOGÍA(S)'!T279)</f>
        <v>0</v>
      </c>
      <c r="U279" s="77">
        <f>SUM(PACIENTES!U279+COMEDOR!U279+JORNADA!U279+'DIETOLOGÍA(S)'!U279)</f>
        <v>0</v>
      </c>
      <c r="V279" s="77">
        <f>SUM(PACIENTES!V279+COMEDOR!V279+JORNADA!V279+'DIETOLOGÍA(S)'!V279)</f>
        <v>0</v>
      </c>
      <c r="W279" s="77">
        <f>SUM(PACIENTES!W279+COMEDOR!W279+JORNADA!W279+'DIETOLOGÍA(S)'!W279)</f>
        <v>0</v>
      </c>
      <c r="X279" s="77">
        <f>SUM(PACIENTES!X279+COMEDOR!X279+JORNADA!X279+'DIETOLOGÍA(S)'!X279)</f>
        <v>0</v>
      </c>
      <c r="Y279" s="77">
        <f>SUM(PACIENTES!Y279+COMEDOR!Y279+JORNADA!Y279+'DIETOLOGÍA(S)'!Y279)</f>
        <v>0</v>
      </c>
      <c r="Z279" s="77">
        <f>SUM(PACIENTES!Z279+COMEDOR!Z279+JORNADA!Z279+'DIETOLOGÍA(S)'!Z279)</f>
        <v>0</v>
      </c>
      <c r="AA279" s="77">
        <f>SUM(PACIENTES!AA279+COMEDOR!AA279+JORNADA!AA279+'DIETOLOGÍA(S)'!AA279)</f>
        <v>0</v>
      </c>
      <c r="AB279" s="77">
        <f>SUM(PACIENTES!AB279+COMEDOR!AB279+JORNADA!AB279+'DIETOLOGÍA(S)'!AB279)</f>
        <v>0</v>
      </c>
      <c r="AC279" s="77">
        <f>SUM(PACIENTES!AC279+COMEDOR!AC279+JORNADA!AC279+'DIETOLOGÍA(S)'!AC279)</f>
        <v>0</v>
      </c>
      <c r="AD279" s="77">
        <f>SUM(PACIENTES!AD279+COMEDOR!AD279+JORNADA!AD279+'DIETOLOGÍA(S)'!AD279)</f>
        <v>0</v>
      </c>
      <c r="AE279" s="77">
        <f>SUM(PACIENTES!AE279+COMEDOR!AE279+JORNADA!AE279+'DIETOLOGÍA(S)'!AE279)</f>
        <v>0</v>
      </c>
      <c r="AF279" s="77">
        <f>SUM(PACIENTES!AF279+COMEDOR!AF279+JORNADA!AF279+'DIETOLOGÍA(S)'!AF279)</f>
        <v>0</v>
      </c>
      <c r="AG279" s="77">
        <f>SUM(PACIENTES!AG279+COMEDOR!AG279+JORNADA!AG279+'DIETOLOGÍA(S)'!AG279)</f>
        <v>0</v>
      </c>
      <c r="AH279" s="77">
        <f>SUM(PACIENTES!AH279+COMEDOR!AH279+JORNADA!AH279+'DIETOLOGÍA(S)'!AH279)</f>
        <v>0</v>
      </c>
      <c r="AI279" s="9">
        <f t="shared" si="10"/>
        <v>0</v>
      </c>
    </row>
    <row r="280" spans="1:35" ht="15.75" customHeight="1">
      <c r="A280" s="226">
        <v>2212011026</v>
      </c>
      <c r="B280" s="227" t="s">
        <v>290</v>
      </c>
      <c r="C280" s="228" t="s">
        <v>86</v>
      </c>
      <c r="D280" s="77">
        <f>SUM(PACIENTES!D280+COMEDOR!D280+JORNADA!D280+'DIETOLOGÍA(S)'!D280)</f>
        <v>0</v>
      </c>
      <c r="E280" s="77">
        <f>SUM(PACIENTES!E280+COMEDOR!E280+JORNADA!E280+'DIETOLOGÍA(S)'!E280)</f>
        <v>6</v>
      </c>
      <c r="F280" s="77">
        <f>SUM(PACIENTES!F280+COMEDOR!F280+JORNADA!F280+'DIETOLOGÍA(S)'!F280)</f>
        <v>1</v>
      </c>
      <c r="G280" s="77">
        <f>SUM(PACIENTES!G280+COMEDOR!G280+JORNADA!G280+'DIETOLOGÍA(S)'!G280)</f>
        <v>0</v>
      </c>
      <c r="H280" s="77">
        <f>SUM(PACIENTES!H280+COMEDOR!H280+JORNADA!H280+'DIETOLOGÍA(S)'!H280)</f>
        <v>2</v>
      </c>
      <c r="I280" s="77">
        <f>SUM(PACIENTES!I280+COMEDOR!I280+JORNADA!I280+'DIETOLOGÍA(S)'!I280)</f>
        <v>1</v>
      </c>
      <c r="J280" s="77">
        <f>SUM(PACIENTES!J280+COMEDOR!J280+JORNADA!J280+'DIETOLOGÍA(S)'!J280)</f>
        <v>0</v>
      </c>
      <c r="K280" s="77">
        <f>SUM(PACIENTES!K280+COMEDOR!K280+JORNADA!K280+'DIETOLOGÍA(S)'!K280)</f>
        <v>2</v>
      </c>
      <c r="L280" s="77">
        <f>SUM(PACIENTES!L280+COMEDOR!L280+JORNADA!L280+'DIETOLOGÍA(S)'!L280)</f>
        <v>0</v>
      </c>
      <c r="M280" s="77">
        <f>SUM(PACIENTES!M280+COMEDOR!M280+JORNADA!M280+'DIETOLOGÍA(S)'!M280)</f>
        <v>0</v>
      </c>
      <c r="N280" s="77">
        <f>SUM(PACIENTES!N280+COMEDOR!N280+JORNADA!N280+'DIETOLOGÍA(S)'!N280)</f>
        <v>0</v>
      </c>
      <c r="O280" s="77">
        <f>SUM(PACIENTES!O280+COMEDOR!O280+JORNADA!O280+'DIETOLOGÍA(S)'!O280)</f>
        <v>0</v>
      </c>
      <c r="P280" s="77">
        <f>SUM(PACIENTES!P280+COMEDOR!P280+JORNADA!P280+'DIETOLOGÍA(S)'!P280)</f>
        <v>2</v>
      </c>
      <c r="Q280" s="77">
        <f>SUM(PACIENTES!Q280+COMEDOR!Q280+JORNADA!Q280+'DIETOLOGÍA(S)'!Q280)</f>
        <v>1</v>
      </c>
      <c r="R280" s="77">
        <f>SUM(PACIENTES!R280+COMEDOR!R280+JORNADA!R280+'DIETOLOGÍA(S)'!R280)</f>
        <v>0</v>
      </c>
      <c r="S280" s="77">
        <f>SUM(PACIENTES!S280+COMEDOR!S280+JORNADA!S280+'DIETOLOGÍA(S)'!S280)</f>
        <v>0</v>
      </c>
      <c r="T280" s="77">
        <f>SUM(PACIENTES!T280+COMEDOR!T280+JORNADA!T280+'DIETOLOGÍA(S)'!T280)</f>
        <v>0</v>
      </c>
      <c r="U280" s="77">
        <f>SUM(PACIENTES!U280+COMEDOR!U280+JORNADA!U280+'DIETOLOGÍA(S)'!U280)</f>
        <v>1</v>
      </c>
      <c r="V280" s="77">
        <f>SUM(PACIENTES!V280+COMEDOR!V280+JORNADA!V280+'DIETOLOGÍA(S)'!V280)</f>
        <v>0</v>
      </c>
      <c r="W280" s="77">
        <f>SUM(PACIENTES!W280+COMEDOR!W280+JORNADA!W280+'DIETOLOGÍA(S)'!W280)</f>
        <v>0</v>
      </c>
      <c r="X280" s="77">
        <f>SUM(PACIENTES!X280+COMEDOR!X280+JORNADA!X280+'DIETOLOGÍA(S)'!X280)</f>
        <v>0</v>
      </c>
      <c r="Y280" s="77">
        <f>SUM(PACIENTES!Y280+COMEDOR!Y280+JORNADA!Y280+'DIETOLOGÍA(S)'!Y280)</f>
        <v>0</v>
      </c>
      <c r="Z280" s="77">
        <f>SUM(PACIENTES!Z280+COMEDOR!Z280+JORNADA!Z280+'DIETOLOGÍA(S)'!Z280)</f>
        <v>0</v>
      </c>
      <c r="AA280" s="77">
        <f>SUM(PACIENTES!AA280+COMEDOR!AA280+JORNADA!AA280+'DIETOLOGÍA(S)'!AA280)</f>
        <v>2</v>
      </c>
      <c r="AB280" s="77">
        <f>SUM(PACIENTES!AB280+COMEDOR!AB280+JORNADA!AB280+'DIETOLOGÍA(S)'!AB280)</f>
        <v>0</v>
      </c>
      <c r="AC280" s="77">
        <f>SUM(PACIENTES!AC280+COMEDOR!AC280+JORNADA!AC280+'DIETOLOGÍA(S)'!AC280)</f>
        <v>1</v>
      </c>
      <c r="AD280" s="77">
        <f>SUM(PACIENTES!AD280+COMEDOR!AD280+JORNADA!AD280+'DIETOLOGÍA(S)'!AD280)</f>
        <v>14</v>
      </c>
      <c r="AE280" s="77">
        <f>SUM(PACIENTES!AE280+COMEDOR!AE280+JORNADA!AE280+'DIETOLOGÍA(S)'!AE280)</f>
        <v>0</v>
      </c>
      <c r="AF280" s="77">
        <f>SUM(PACIENTES!AF280+COMEDOR!AF280+JORNADA!AF280+'DIETOLOGÍA(S)'!AF280)</f>
        <v>0</v>
      </c>
      <c r="AG280" s="77">
        <f>SUM(PACIENTES!AG280+COMEDOR!AG280+JORNADA!AG280+'DIETOLOGÍA(S)'!AG280)</f>
        <v>0</v>
      </c>
      <c r="AH280" s="77">
        <f>SUM(PACIENTES!AH280+COMEDOR!AH280+JORNADA!AH280+'DIETOLOGÍA(S)'!AH280)</f>
        <v>0</v>
      </c>
      <c r="AI280" s="40">
        <f t="shared" si="10"/>
        <v>33</v>
      </c>
    </row>
    <row r="281" spans="1:35" ht="18.75" customHeight="1">
      <c r="A281" s="611" t="s">
        <v>291</v>
      </c>
      <c r="B281" s="606"/>
      <c r="C281" s="606"/>
      <c r="D281" s="606"/>
      <c r="E281" s="606"/>
      <c r="F281" s="606"/>
      <c r="G281" s="606"/>
      <c r="H281" s="606"/>
      <c r="I281" s="606"/>
      <c r="J281" s="606"/>
      <c r="K281" s="606"/>
      <c r="L281" s="606"/>
      <c r="M281" s="606"/>
      <c r="N281" s="606"/>
      <c r="O281" s="606"/>
      <c r="P281" s="606"/>
      <c r="Q281" s="606"/>
      <c r="R281" s="606"/>
      <c r="S281" s="606"/>
      <c r="T281" s="606"/>
      <c r="U281" s="606"/>
      <c r="V281" s="606"/>
      <c r="W281" s="606"/>
      <c r="X281" s="606"/>
      <c r="Y281" s="606"/>
      <c r="Z281" s="606"/>
      <c r="AA281" s="606"/>
      <c r="AB281" s="606"/>
      <c r="AC281" s="606"/>
      <c r="AD281" s="606"/>
      <c r="AE281" s="606"/>
      <c r="AF281" s="606"/>
      <c r="AG281" s="606"/>
      <c r="AH281" s="607"/>
      <c r="AI281" s="44"/>
    </row>
    <row r="282" spans="1:35" ht="15.75" customHeight="1">
      <c r="A282" s="233">
        <v>2212001001</v>
      </c>
      <c r="B282" s="313" t="s">
        <v>292</v>
      </c>
      <c r="C282" s="236" t="s">
        <v>293</v>
      </c>
      <c r="D282" s="6">
        <f>SUM(PACIENTES!D282+COMEDOR!D282+JORNADA!D282+'DIETOLOGÍA(S)'!D282+'NUTRICIÓN CLÍNICA'!D8)</f>
        <v>1</v>
      </c>
      <c r="E282" s="6">
        <f>SUM(PACIENTES!E282+COMEDOR!E282+JORNADA!E282+'DIETOLOGÍA(S)'!E282+'NUTRICIÓN CLÍNICA'!E8)</f>
        <v>1</v>
      </c>
      <c r="F282" s="6">
        <f>SUM(PACIENTES!F282+COMEDOR!F282+JORNADA!F282+'DIETOLOGÍA(S)'!F282+'NUTRICIÓN CLÍNICA'!F8)</f>
        <v>2</v>
      </c>
      <c r="G282" s="6">
        <f>SUM(PACIENTES!G282+COMEDOR!G282+JORNADA!G282+'DIETOLOGÍA(S)'!G282+'NUTRICIÓN CLÍNICA'!G8)</f>
        <v>1</v>
      </c>
      <c r="H282" s="6">
        <f>SUM(PACIENTES!H282+COMEDOR!H282+JORNADA!H282+'DIETOLOGÍA(S)'!H282+'NUTRICIÓN CLÍNICA'!H8)</f>
        <v>1</v>
      </c>
      <c r="I282" s="6">
        <f>SUM(PACIENTES!I282+COMEDOR!I282+JORNADA!I282+'DIETOLOGÍA(S)'!I282+'NUTRICIÓN CLÍNICA'!I8)</f>
        <v>2</v>
      </c>
      <c r="J282" s="6">
        <f>SUM(PACIENTES!J282+COMEDOR!J282+JORNADA!J282+'DIETOLOGÍA(S)'!J282+'NUTRICIÓN CLÍNICA'!J8)</f>
        <v>1</v>
      </c>
      <c r="K282" s="6">
        <f>SUM(PACIENTES!K282+COMEDOR!K282+JORNADA!K282+'DIETOLOGÍA(S)'!K282+'NUTRICIÓN CLÍNICA'!K8)</f>
        <v>1</v>
      </c>
      <c r="L282" s="6">
        <f>SUM(PACIENTES!L282+COMEDOR!L282+JORNADA!L282+'DIETOLOGÍA(S)'!L282+'NUTRICIÓN CLÍNICA'!L8)</f>
        <v>1</v>
      </c>
      <c r="M282" s="6">
        <f>SUM(PACIENTES!M282+COMEDOR!M282+JORNADA!M282+'DIETOLOGÍA(S)'!M282+'NUTRICIÓN CLÍNICA'!M8)</f>
        <v>2</v>
      </c>
      <c r="N282" s="6">
        <f>SUM(PACIENTES!N282+COMEDOR!N282+JORNADA!N282+'DIETOLOGÍA(S)'!N282+'NUTRICIÓN CLÍNICA'!N8)</f>
        <v>1</v>
      </c>
      <c r="O282" s="6">
        <f>SUM(PACIENTES!O282+COMEDOR!O282+JORNADA!O282+'DIETOLOGÍA(S)'!O282+'NUTRICIÓN CLÍNICA'!O8)</f>
        <v>1</v>
      </c>
      <c r="P282" s="6">
        <f>SUM(PACIENTES!P282+COMEDOR!P282+JORNADA!P282+'DIETOLOGÍA(S)'!P282+'NUTRICIÓN CLÍNICA'!P8)</f>
        <v>1</v>
      </c>
      <c r="Q282" s="6">
        <f>SUM(PACIENTES!Q282+COMEDOR!Q282+JORNADA!Q282+'DIETOLOGÍA(S)'!Q282+'NUTRICIÓN CLÍNICA'!Q8)</f>
        <v>1</v>
      </c>
      <c r="R282" s="6">
        <f>SUM(PACIENTES!R282+COMEDOR!R282+JORNADA!R282+'DIETOLOGÍA(S)'!R282+'NUTRICIÓN CLÍNICA'!R8)</f>
        <v>1</v>
      </c>
      <c r="S282" s="6">
        <f>SUM(PACIENTES!S282+COMEDOR!S282+JORNADA!S282+'DIETOLOGÍA(S)'!S282+'NUTRICIÓN CLÍNICA'!S8)</f>
        <v>1</v>
      </c>
      <c r="T282" s="6">
        <f>SUM(PACIENTES!T282+COMEDOR!T282+JORNADA!T282+'DIETOLOGÍA(S)'!T282+'NUTRICIÓN CLÍNICA'!T8)</f>
        <v>2</v>
      </c>
      <c r="U282" s="6">
        <f>SUM(PACIENTES!U282+COMEDOR!U282+JORNADA!U282+'DIETOLOGÍA(S)'!U282+'NUTRICIÓN CLÍNICA'!U8)</f>
        <v>1</v>
      </c>
      <c r="V282" s="6">
        <f>SUM(PACIENTES!V282+COMEDOR!V282+JORNADA!V282+'DIETOLOGÍA(S)'!V282+'NUTRICIÓN CLÍNICA'!V8)</f>
        <v>1</v>
      </c>
      <c r="W282" s="6">
        <f>SUM(PACIENTES!W282+COMEDOR!W282+JORNADA!W282+'DIETOLOGÍA(S)'!W282+'NUTRICIÓN CLÍNICA'!W8)</f>
        <v>2</v>
      </c>
      <c r="X282" s="6">
        <f>SUM(PACIENTES!X282+COMEDOR!X282+JORNADA!X282+'DIETOLOGÍA(S)'!X282+'NUTRICIÓN CLÍNICA'!X8)</f>
        <v>1</v>
      </c>
      <c r="Y282" s="6">
        <f>SUM(PACIENTES!Y282+COMEDOR!Y282+JORNADA!Y282+'DIETOLOGÍA(S)'!Y282+'NUTRICIÓN CLÍNICA'!Y8)</f>
        <v>1</v>
      </c>
      <c r="Z282" s="6">
        <f>SUM(PACIENTES!Z282+COMEDOR!Z282+JORNADA!Z282+'DIETOLOGÍA(S)'!Z282+'NUTRICIÓN CLÍNICA'!Z8)</f>
        <v>1</v>
      </c>
      <c r="AA282" s="6">
        <f>SUM(PACIENTES!AA282+COMEDOR!AA282+JORNADA!AA282+'DIETOLOGÍA(S)'!AA282+'NUTRICIÓN CLÍNICA'!AA8)</f>
        <v>2</v>
      </c>
      <c r="AB282" s="6">
        <f>SUM(PACIENTES!AB282+COMEDOR!AB282+JORNADA!AB282+'DIETOLOGÍA(S)'!AB282+'NUTRICIÓN CLÍNICA'!AB8)</f>
        <v>1</v>
      </c>
      <c r="AC282" s="6">
        <f>SUM(PACIENTES!AC282+COMEDOR!AC282+JORNADA!AC282+'DIETOLOGÍA(S)'!AC282+'NUTRICIÓN CLÍNICA'!AC8)</f>
        <v>1</v>
      </c>
      <c r="AD282" s="6">
        <f>SUM(PACIENTES!AD282+COMEDOR!AD282+JORNADA!AD282+'DIETOLOGÍA(S)'!AD282+'NUTRICIÓN CLÍNICA'!AD8)</f>
        <v>1</v>
      </c>
      <c r="AE282" s="6">
        <f>SUM(PACIENTES!AE282+COMEDOR!AE282+JORNADA!AE282+'DIETOLOGÍA(S)'!AE282+'NUTRICIÓN CLÍNICA'!AE8)</f>
        <v>1</v>
      </c>
      <c r="AF282" s="6">
        <f>SUM(PACIENTES!AF282+COMEDOR!AF282+JORNADA!AF282+'DIETOLOGÍA(S)'!AF282+'NUTRICIÓN CLÍNICA'!AF8)</f>
        <v>1</v>
      </c>
      <c r="AG282" s="6">
        <f>SUM(PACIENTES!AG282+COMEDOR!AG282+JORNADA!AG282+'DIETOLOGÍA(S)'!AG282+'NUTRICIÓN CLÍNICA'!AG8)</f>
        <v>1</v>
      </c>
      <c r="AH282" s="6">
        <f>SUM(PACIENTES!AH282+COMEDOR!AH282+JORNADA!AH282+'DIETOLOGÍA(S)'!AH282+'NUTRICIÓN CLÍNICA'!AH8)</f>
        <v>2</v>
      </c>
      <c r="AI282" s="48">
        <f t="shared" ref="AI282:AI384" si="11">SUM(D282:AH282)</f>
        <v>38</v>
      </c>
    </row>
    <row r="283" spans="1:35" ht="15.75" customHeight="1">
      <c r="A283" s="238">
        <v>2212001002</v>
      </c>
      <c r="B283" s="239" t="s">
        <v>294</v>
      </c>
      <c r="C283" s="240" t="s">
        <v>175</v>
      </c>
      <c r="D283" s="6">
        <f>SUM(PACIENTES!D283+COMEDOR!D283+JORNADA!D283+'DIETOLOGÍA(S)'!D283)</f>
        <v>0</v>
      </c>
      <c r="E283" s="6">
        <f>SUM(PACIENTES!E283+COMEDOR!E283+JORNADA!E283+'DIETOLOGÍA(S)'!E283)</f>
        <v>0</v>
      </c>
      <c r="F283" s="6">
        <f>SUM(PACIENTES!F283+COMEDOR!F283+JORNADA!F283+'DIETOLOGÍA(S)'!F283)</f>
        <v>0</v>
      </c>
      <c r="G283" s="6">
        <f>SUM(PACIENTES!G283+COMEDOR!G283+JORNADA!G283+'DIETOLOGÍA(S)'!G283)</f>
        <v>1</v>
      </c>
      <c r="H283" s="6">
        <f>SUM(PACIENTES!H283+COMEDOR!H283+JORNADA!H283+'DIETOLOGÍA(S)'!H283)</f>
        <v>0</v>
      </c>
      <c r="I283" s="6">
        <f>SUM(PACIENTES!I283+COMEDOR!I283+JORNADA!I283+'DIETOLOGÍA(S)'!I283)</f>
        <v>1</v>
      </c>
      <c r="J283" s="6">
        <f>SUM(PACIENTES!J283+COMEDOR!J283+JORNADA!J283+'DIETOLOGÍA(S)'!J283)</f>
        <v>1</v>
      </c>
      <c r="K283" s="6">
        <f>SUM(PACIENTES!K283+COMEDOR!K283+JORNADA!K283+'DIETOLOGÍA(S)'!K283)</f>
        <v>0</v>
      </c>
      <c r="L283" s="6">
        <f>SUM(PACIENTES!L283+COMEDOR!L283+JORNADA!L283+'DIETOLOGÍA(S)'!L283)</f>
        <v>0</v>
      </c>
      <c r="M283" s="6">
        <f>SUM(PACIENTES!M283+COMEDOR!M283+JORNADA!M283+'DIETOLOGÍA(S)'!M283)</f>
        <v>0</v>
      </c>
      <c r="N283" s="6">
        <f>SUM(PACIENTES!N283+COMEDOR!N283+JORNADA!N283+'DIETOLOGÍA(S)'!N283)</f>
        <v>0</v>
      </c>
      <c r="O283" s="6">
        <f>SUM(PACIENTES!O283+COMEDOR!O283+JORNADA!O283+'DIETOLOGÍA(S)'!O283)</f>
        <v>0</v>
      </c>
      <c r="P283" s="6">
        <f>SUM(PACIENTES!P283+COMEDOR!P283+JORNADA!P283+'DIETOLOGÍA(S)'!P283)</f>
        <v>2</v>
      </c>
      <c r="Q283" s="6">
        <f>SUM(PACIENTES!Q283+COMEDOR!Q283+JORNADA!Q283+'DIETOLOGÍA(S)'!Q283)</f>
        <v>1</v>
      </c>
      <c r="R283" s="6">
        <f>SUM(PACIENTES!R283+COMEDOR!R283+JORNADA!R283+'DIETOLOGÍA(S)'!R283)</f>
        <v>0</v>
      </c>
      <c r="S283" s="6">
        <f>SUM(PACIENTES!S283+COMEDOR!S283+JORNADA!S283+'DIETOLOGÍA(S)'!S283)</f>
        <v>0</v>
      </c>
      <c r="T283" s="6">
        <f>SUM(PACIENTES!T283+COMEDOR!T283+JORNADA!T283+'DIETOLOGÍA(S)'!T283)</f>
        <v>0</v>
      </c>
      <c r="U283" s="6">
        <f>SUM(PACIENTES!U283+COMEDOR!U283+JORNADA!U283+'DIETOLOGÍA(S)'!U283)</f>
        <v>0</v>
      </c>
      <c r="V283" s="6">
        <f>SUM(PACIENTES!V283+COMEDOR!V283+JORNADA!V283+'DIETOLOGÍA(S)'!V283)</f>
        <v>0</v>
      </c>
      <c r="W283" s="6">
        <f>SUM(PACIENTES!W283+COMEDOR!W283+JORNADA!W283+'DIETOLOGÍA(S)'!W283)</f>
        <v>1</v>
      </c>
      <c r="X283" s="6">
        <f>SUM(PACIENTES!X283+COMEDOR!X283+JORNADA!X283+'DIETOLOGÍA(S)'!X283)</f>
        <v>2</v>
      </c>
      <c r="Y283" s="6">
        <f>SUM(PACIENTES!Y283+COMEDOR!Y283+JORNADA!Y283+'DIETOLOGÍA(S)'!Y283)</f>
        <v>0</v>
      </c>
      <c r="Z283" s="6">
        <f>SUM(PACIENTES!Z283+COMEDOR!Z283+JORNADA!Z283+'DIETOLOGÍA(S)'!Z283)</f>
        <v>0</v>
      </c>
      <c r="AA283" s="6">
        <f>SUM(PACIENTES!AA283+COMEDOR!AA283+JORNADA!AA283+'DIETOLOGÍA(S)'!AA283)</f>
        <v>0</v>
      </c>
      <c r="AB283" s="6">
        <f>SUM(PACIENTES!AB283+COMEDOR!AB283+JORNADA!AB283+'DIETOLOGÍA(S)'!AB283)</f>
        <v>0</v>
      </c>
      <c r="AC283" s="6">
        <f>SUM(PACIENTES!AC283+COMEDOR!AC283+JORNADA!AC283+'DIETOLOGÍA(S)'!AC283)</f>
        <v>0</v>
      </c>
      <c r="AD283" s="6">
        <f>SUM(PACIENTES!AD283+COMEDOR!AD283+JORNADA!AD283+'DIETOLOGÍA(S)'!AD283)</f>
        <v>2</v>
      </c>
      <c r="AE283" s="6">
        <f>SUM(PACIENTES!AE283+COMEDOR!AE283+JORNADA!AE283+'DIETOLOGÍA(S)'!AE283)</f>
        <v>1</v>
      </c>
      <c r="AF283" s="6">
        <f>SUM(PACIENTES!AF283+COMEDOR!AF283+JORNADA!AF283+'DIETOLOGÍA(S)'!AF283)</f>
        <v>0</v>
      </c>
      <c r="AG283" s="6">
        <f>SUM(PACIENTES!AG283+COMEDOR!AG283+JORNADA!AG283+'DIETOLOGÍA(S)'!AG283)</f>
        <v>0</v>
      </c>
      <c r="AH283" s="6">
        <f>SUM(PACIENTES!AH283+COMEDOR!AH283+JORNADA!AH283+'DIETOLOGÍA(S)'!AH283)</f>
        <v>0</v>
      </c>
      <c r="AI283" s="9">
        <f t="shared" si="11"/>
        <v>12</v>
      </c>
    </row>
    <row r="284" spans="1:35" ht="15.75" customHeight="1">
      <c r="A284" s="238">
        <v>2212001006</v>
      </c>
      <c r="B284" s="239" t="s">
        <v>295</v>
      </c>
      <c r="C284" s="240" t="s">
        <v>296</v>
      </c>
      <c r="D284" s="6">
        <f>SUM(PACIENTES!D284+COMEDOR!D284+JORNADA!D284+'DIETOLOGÍA(S)'!D284)</f>
        <v>0</v>
      </c>
      <c r="E284" s="6">
        <f>SUM(PACIENTES!E284+COMEDOR!E284+JORNADA!E284+'DIETOLOGÍA(S)'!E284)</f>
        <v>15</v>
      </c>
      <c r="F284" s="6">
        <f>SUM(PACIENTES!F284+COMEDOR!F284+JORNADA!F284+'DIETOLOGÍA(S)'!F284)</f>
        <v>0</v>
      </c>
      <c r="G284" s="6">
        <f>SUM(PACIENTES!G284+COMEDOR!G284+JORNADA!G284+'DIETOLOGÍA(S)'!G284)</f>
        <v>0</v>
      </c>
      <c r="H284" s="6">
        <f>SUM(PACIENTES!H284+COMEDOR!H284+JORNADA!H284+'DIETOLOGÍA(S)'!H284)</f>
        <v>0</v>
      </c>
      <c r="I284" s="6">
        <f>SUM(PACIENTES!I284+COMEDOR!I284+JORNADA!I284+'DIETOLOGÍA(S)'!I284)</f>
        <v>0</v>
      </c>
      <c r="J284" s="6">
        <f>SUM(PACIENTES!J284+COMEDOR!J284+JORNADA!J284+'DIETOLOGÍA(S)'!J284)</f>
        <v>0</v>
      </c>
      <c r="K284" s="6">
        <f>SUM(PACIENTES!K284+COMEDOR!K284+JORNADA!K284+'DIETOLOGÍA(S)'!K284)</f>
        <v>0</v>
      </c>
      <c r="L284" s="6">
        <f>SUM(PACIENTES!L284+COMEDOR!L284+JORNADA!L284+'DIETOLOGÍA(S)'!L284)</f>
        <v>0</v>
      </c>
      <c r="M284" s="6">
        <f>SUM(PACIENTES!M284+COMEDOR!M284+JORNADA!M284+'DIETOLOGÍA(S)'!M284)</f>
        <v>0</v>
      </c>
      <c r="N284" s="6">
        <f>SUM(PACIENTES!N284+COMEDOR!N284+JORNADA!N284+'DIETOLOGÍA(S)'!N284)</f>
        <v>0</v>
      </c>
      <c r="O284" s="6">
        <f>SUM(PACIENTES!O284+COMEDOR!O284+JORNADA!O284+'DIETOLOGÍA(S)'!O284)</f>
        <v>0</v>
      </c>
      <c r="P284" s="6">
        <f>SUM(PACIENTES!P284+COMEDOR!P284+JORNADA!P284+'DIETOLOGÍA(S)'!P284)</f>
        <v>0</v>
      </c>
      <c r="Q284" s="6">
        <f>SUM(PACIENTES!Q284+COMEDOR!Q284+JORNADA!Q284+'DIETOLOGÍA(S)'!Q284)</f>
        <v>0</v>
      </c>
      <c r="R284" s="6">
        <f>SUM(PACIENTES!R284+COMEDOR!R284+JORNADA!R284+'DIETOLOGÍA(S)'!R284)</f>
        <v>0</v>
      </c>
      <c r="S284" s="6">
        <f>SUM(PACIENTES!S284+COMEDOR!S284+JORNADA!S284+'DIETOLOGÍA(S)'!S284)</f>
        <v>0</v>
      </c>
      <c r="T284" s="6">
        <f>SUM(PACIENTES!T284+COMEDOR!T284+JORNADA!T284+'DIETOLOGÍA(S)'!T284)</f>
        <v>0</v>
      </c>
      <c r="U284" s="6">
        <f>SUM(PACIENTES!U284+COMEDOR!U284+JORNADA!U284+'DIETOLOGÍA(S)'!U284)</f>
        <v>0</v>
      </c>
      <c r="V284" s="6">
        <f>SUM(PACIENTES!V284+COMEDOR!V284+JORNADA!V284+'DIETOLOGÍA(S)'!V284)</f>
        <v>0</v>
      </c>
      <c r="W284" s="6">
        <f>SUM(PACIENTES!W284+COMEDOR!W284+JORNADA!W284+'DIETOLOGÍA(S)'!W284)</f>
        <v>0</v>
      </c>
      <c r="X284" s="6">
        <f>SUM(PACIENTES!X284+COMEDOR!X284+JORNADA!X284+'DIETOLOGÍA(S)'!X284)</f>
        <v>0</v>
      </c>
      <c r="Y284" s="6">
        <f>SUM(PACIENTES!Y284+COMEDOR!Y284+JORNADA!Y284+'DIETOLOGÍA(S)'!Y284)</f>
        <v>0</v>
      </c>
      <c r="Z284" s="6">
        <f>SUM(PACIENTES!Z284+COMEDOR!Z284+JORNADA!Z284+'DIETOLOGÍA(S)'!Z284)</f>
        <v>0</v>
      </c>
      <c r="AA284" s="6">
        <f>SUM(PACIENTES!AA284+COMEDOR!AA284+JORNADA!AA284+'DIETOLOGÍA(S)'!AA284)</f>
        <v>0</v>
      </c>
      <c r="AB284" s="6">
        <f>SUM(PACIENTES!AB284+COMEDOR!AB284+JORNADA!AB284+'DIETOLOGÍA(S)'!AB284)</f>
        <v>0</v>
      </c>
      <c r="AC284" s="6">
        <f>SUM(PACIENTES!AC284+COMEDOR!AC284+JORNADA!AC284+'DIETOLOGÍA(S)'!AC284)</f>
        <v>0</v>
      </c>
      <c r="AD284" s="6">
        <f>SUM(PACIENTES!AD284+COMEDOR!AD284+JORNADA!AD284+'DIETOLOGÍA(S)'!AD284)</f>
        <v>0</v>
      </c>
      <c r="AE284" s="6">
        <f>SUM(PACIENTES!AE284+COMEDOR!AE284+JORNADA!AE284+'DIETOLOGÍA(S)'!AE284)</f>
        <v>0</v>
      </c>
      <c r="AF284" s="6">
        <f>SUM(PACIENTES!AF284+COMEDOR!AF284+JORNADA!AF284+'DIETOLOGÍA(S)'!AF284)</f>
        <v>0</v>
      </c>
      <c r="AG284" s="6">
        <f>SUM(PACIENTES!AG284+COMEDOR!AG284+JORNADA!AG284+'DIETOLOGÍA(S)'!AG284)</f>
        <v>0</v>
      </c>
      <c r="AH284" s="6">
        <f>SUM(PACIENTES!AH284+COMEDOR!AH284+JORNADA!AH284+'DIETOLOGÍA(S)'!AH284)</f>
        <v>0</v>
      </c>
      <c r="AI284" s="9">
        <f t="shared" si="11"/>
        <v>15</v>
      </c>
    </row>
    <row r="285" spans="1:35" ht="15.75" customHeight="1">
      <c r="A285" s="238">
        <v>2212001007</v>
      </c>
      <c r="B285" s="239" t="s">
        <v>297</v>
      </c>
      <c r="C285" s="240" t="s">
        <v>6</v>
      </c>
      <c r="D285" s="6">
        <f>SUM(PACIENTES!D285+COMEDOR!D285+JORNADA!D285+'DIETOLOGÍA(S)'!D285+'NUTRICIÓN CLÍNICA'!D9)</f>
        <v>23</v>
      </c>
      <c r="E285" s="6">
        <f>SUM(PACIENTES!E285+COMEDOR!E285+JORNADA!E285+'DIETOLOGÍA(S)'!E285+'NUTRICIÓN CLÍNICA'!E9)</f>
        <v>28</v>
      </c>
      <c r="F285" s="6">
        <f>SUM(PACIENTES!F285+COMEDOR!F285+JORNADA!F285+'DIETOLOGÍA(S)'!F285+'NUTRICIÓN CLÍNICA'!F9)</f>
        <v>28</v>
      </c>
      <c r="G285" s="6">
        <f>SUM(PACIENTES!G285+COMEDOR!G285+JORNADA!G285+'DIETOLOGÍA(S)'!G285+'NUTRICIÓN CLÍNICA'!G9)</f>
        <v>26</v>
      </c>
      <c r="H285" s="6">
        <f>SUM(PACIENTES!H285+COMEDOR!H285+JORNADA!H285+'DIETOLOGÍA(S)'!H285+'NUTRICIÓN CLÍNICA'!H9)</f>
        <v>25</v>
      </c>
      <c r="I285" s="6">
        <f>SUM(PACIENTES!I285+COMEDOR!I285+JORNADA!I285+'DIETOLOGÍA(S)'!I285+'NUTRICIÓN CLÍNICA'!I9)</f>
        <v>34</v>
      </c>
      <c r="J285" s="6">
        <f>SUM(PACIENTES!J285+COMEDOR!J285+JORNADA!J285+'DIETOLOGÍA(S)'!J285+'NUTRICIÓN CLÍNICA'!J9)</f>
        <v>28</v>
      </c>
      <c r="K285" s="6">
        <f>SUM(PACIENTES!K285+COMEDOR!K285+JORNADA!K285+'DIETOLOGÍA(S)'!K285+'NUTRICIÓN CLÍNICA'!K9)</f>
        <v>25</v>
      </c>
      <c r="L285" s="6">
        <f>SUM(PACIENTES!L285+COMEDOR!L285+JORNADA!L285+'DIETOLOGÍA(S)'!L285+'NUTRICIÓN CLÍNICA'!L9)</f>
        <v>29</v>
      </c>
      <c r="M285" s="6">
        <f>SUM(PACIENTES!M285+COMEDOR!M285+JORNADA!M285+'DIETOLOGÍA(S)'!M285+'NUTRICIÓN CLÍNICA'!M9)</f>
        <v>28</v>
      </c>
      <c r="N285" s="6">
        <f>SUM(PACIENTES!N285+COMEDOR!N285+JORNADA!N285+'DIETOLOGÍA(S)'!N285+'NUTRICIÓN CLÍNICA'!N9)</f>
        <v>26</v>
      </c>
      <c r="O285" s="6">
        <f>SUM(PACIENTES!O285+COMEDOR!O285+JORNADA!O285+'DIETOLOGÍA(S)'!O285+'NUTRICIÓN CLÍNICA'!O9)</f>
        <v>26</v>
      </c>
      <c r="P285" s="6">
        <f>SUM(PACIENTES!P285+COMEDOR!P285+JORNADA!P285+'DIETOLOGÍA(S)'!P285+'NUTRICIÓN CLÍNICA'!P9)</f>
        <v>24</v>
      </c>
      <c r="Q285" s="6">
        <f>SUM(PACIENTES!Q285+COMEDOR!Q285+JORNADA!Q285+'DIETOLOGÍA(S)'!Q285+'NUTRICIÓN CLÍNICA'!Q9)</f>
        <v>30</v>
      </c>
      <c r="R285" s="6">
        <f>SUM(PACIENTES!R285+COMEDOR!R285+JORNADA!R285+'DIETOLOGÍA(S)'!R285+'NUTRICIÓN CLÍNICA'!R9)</f>
        <v>25</v>
      </c>
      <c r="S285" s="6">
        <f>SUM(PACIENTES!S285+COMEDOR!S285+JORNADA!S285+'DIETOLOGÍA(S)'!S285+'NUTRICIÓN CLÍNICA'!S9)</f>
        <v>25</v>
      </c>
      <c r="T285" s="6">
        <f>SUM(PACIENTES!T285+COMEDOR!T285+JORNADA!T285+'DIETOLOGÍA(S)'!T285+'NUTRICIÓN CLÍNICA'!T9)</f>
        <v>26</v>
      </c>
      <c r="U285" s="6">
        <f>SUM(PACIENTES!U285+COMEDOR!U285+JORNADA!U285+'DIETOLOGÍA(S)'!U285+'NUTRICIÓN CLÍNICA'!U9)</f>
        <v>25</v>
      </c>
      <c r="V285" s="6">
        <f>SUM(PACIENTES!V285+COMEDOR!V285+JORNADA!V285+'DIETOLOGÍA(S)'!V285+'NUTRICIÓN CLÍNICA'!V9)</f>
        <v>25</v>
      </c>
      <c r="W285" s="6">
        <f>SUM(PACIENTES!W285+COMEDOR!W285+JORNADA!W285+'DIETOLOGÍA(S)'!W285+'NUTRICIÓN CLÍNICA'!W9)</f>
        <v>36</v>
      </c>
      <c r="X285" s="6">
        <f>SUM(PACIENTES!X285+COMEDOR!X285+JORNADA!X285+'DIETOLOGÍA(S)'!X285+'NUTRICIÓN CLÍNICA'!X9)</f>
        <v>28</v>
      </c>
      <c r="Y285" s="6">
        <f>SUM(PACIENTES!Y285+COMEDOR!Y285+JORNADA!Y285+'DIETOLOGÍA(S)'!Y285+'NUTRICIÓN CLÍNICA'!Y9)</f>
        <v>23</v>
      </c>
      <c r="Z285" s="6">
        <f>SUM(PACIENTES!Z285+COMEDOR!Z285+JORNADA!Z285+'DIETOLOGÍA(S)'!Z285+'NUTRICIÓN CLÍNICA'!Z9)</f>
        <v>25</v>
      </c>
      <c r="AA285" s="6">
        <f>SUM(PACIENTES!AA285+COMEDOR!AA285+JORNADA!AA285+'DIETOLOGÍA(S)'!AA285+'NUTRICIÓN CLÍNICA'!AA9)</f>
        <v>28</v>
      </c>
      <c r="AB285" s="6">
        <f>SUM(PACIENTES!AB285+COMEDOR!AB285+JORNADA!AB285+'DIETOLOGÍA(S)'!AB285+'NUTRICIÓN CLÍNICA'!AB9)</f>
        <v>26</v>
      </c>
      <c r="AC285" s="6">
        <f>SUM(PACIENTES!AC285+COMEDOR!AC285+JORNADA!AC285+'DIETOLOGÍA(S)'!AC285+'NUTRICIÓN CLÍNICA'!AC9)</f>
        <v>27</v>
      </c>
      <c r="AD285" s="6">
        <f>SUM(PACIENTES!AD285+COMEDOR!AD285+JORNADA!AD285+'DIETOLOGÍA(S)'!AD285+'NUTRICIÓN CLÍNICA'!AD9)</f>
        <v>26</v>
      </c>
      <c r="AE285" s="6">
        <f>SUM(PACIENTES!AE285+COMEDOR!AE285+JORNADA!AE285+'DIETOLOGÍA(S)'!AE285+'NUTRICIÓN CLÍNICA'!AE9)</f>
        <v>28</v>
      </c>
      <c r="AF285" s="6">
        <f>SUM(PACIENTES!AF285+COMEDOR!AF285+JORNADA!AF285+'DIETOLOGÍA(S)'!AF285+'NUTRICIÓN CLÍNICA'!AF9)</f>
        <v>27</v>
      </c>
      <c r="AG285" s="6">
        <f>SUM(PACIENTES!AG285+COMEDOR!AG285+JORNADA!AG285+'DIETOLOGÍA(S)'!AG285+'NUTRICIÓN CLÍNICA'!AG9)</f>
        <v>25</v>
      </c>
      <c r="AH285" s="6">
        <f>SUM(PACIENTES!AH285+COMEDOR!AH285+JORNADA!AH285+'DIETOLOGÍA(S)'!AH285+'NUTRICIÓN CLÍNICA'!AH9)</f>
        <v>26</v>
      </c>
      <c r="AI285" s="9">
        <f t="shared" si="11"/>
        <v>831</v>
      </c>
    </row>
    <row r="286" spans="1:35" ht="15.75" customHeight="1">
      <c r="A286" s="241">
        <v>2212007011</v>
      </c>
      <c r="B286" s="242" t="s">
        <v>298</v>
      </c>
      <c r="C286" s="241" t="s">
        <v>86</v>
      </c>
      <c r="D286" s="6">
        <f>SUM(PACIENTES!D286+COMEDOR!D286+JORNADA!D286+'DIETOLOGÍA(S)'!D286)</f>
        <v>4</v>
      </c>
      <c r="E286" s="6">
        <f>SUM(PACIENTES!E286+COMEDOR!E286+JORNADA!E286+'DIETOLOGÍA(S)'!E286)</f>
        <v>9</v>
      </c>
      <c r="F286" s="6">
        <f>SUM(PACIENTES!F286+COMEDOR!F286+JORNADA!F286+'DIETOLOGÍA(S)'!F286)</f>
        <v>4</v>
      </c>
      <c r="G286" s="6">
        <f>SUM(PACIENTES!G286+COMEDOR!G286+JORNADA!G286+'DIETOLOGÍA(S)'!G286)</f>
        <v>4</v>
      </c>
      <c r="H286" s="6">
        <f>SUM(PACIENTES!H286+COMEDOR!H286+JORNADA!H286+'DIETOLOGÍA(S)'!H286)</f>
        <v>4</v>
      </c>
      <c r="I286" s="6">
        <f>SUM(PACIENTES!I286+COMEDOR!I286+JORNADA!I286+'DIETOLOGÍA(S)'!I286)</f>
        <v>5</v>
      </c>
      <c r="J286" s="6">
        <f>SUM(PACIENTES!J286+COMEDOR!J286+JORNADA!J286+'DIETOLOGÍA(S)'!J286)</f>
        <v>5</v>
      </c>
      <c r="K286" s="6">
        <f>SUM(PACIENTES!K286+COMEDOR!K286+JORNADA!K286+'DIETOLOGÍA(S)'!K286)</f>
        <v>4</v>
      </c>
      <c r="L286" s="6">
        <f>SUM(PACIENTES!L286+COMEDOR!L286+JORNADA!L286+'DIETOLOGÍA(S)'!L286)</f>
        <v>4</v>
      </c>
      <c r="M286" s="6">
        <f>SUM(PACIENTES!M286+COMEDOR!M286+JORNADA!M286+'DIETOLOGÍA(S)'!M286)</f>
        <v>4</v>
      </c>
      <c r="N286" s="6">
        <f>SUM(PACIENTES!N286+COMEDOR!N286+JORNADA!N286+'DIETOLOGÍA(S)'!N286)</f>
        <v>4</v>
      </c>
      <c r="O286" s="6">
        <f>SUM(PACIENTES!O286+COMEDOR!O286+JORNADA!O286+'DIETOLOGÍA(S)'!O286)</f>
        <v>4</v>
      </c>
      <c r="P286" s="6">
        <f>SUM(PACIENTES!P286+COMEDOR!P286+JORNADA!P286+'DIETOLOGÍA(S)'!P286)</f>
        <v>5</v>
      </c>
      <c r="Q286" s="6">
        <f>SUM(PACIENTES!Q286+COMEDOR!Q286+JORNADA!Q286+'DIETOLOGÍA(S)'!Q286)</f>
        <v>5</v>
      </c>
      <c r="R286" s="6">
        <f>SUM(PACIENTES!R286+COMEDOR!R286+JORNADA!R286+'DIETOLOGÍA(S)'!R286)</f>
        <v>4</v>
      </c>
      <c r="S286" s="6">
        <f>SUM(PACIENTES!S286+COMEDOR!S286+JORNADA!S286+'DIETOLOGÍA(S)'!S286)</f>
        <v>4</v>
      </c>
      <c r="T286" s="6">
        <f>SUM(PACIENTES!T286+COMEDOR!T286+JORNADA!T286+'DIETOLOGÍA(S)'!T286)</f>
        <v>4</v>
      </c>
      <c r="U286" s="6">
        <f>SUM(PACIENTES!U286+COMEDOR!U286+JORNADA!U286+'DIETOLOGÍA(S)'!U286)</f>
        <v>4</v>
      </c>
      <c r="V286" s="6">
        <f>SUM(PACIENTES!V286+COMEDOR!V286+JORNADA!V286+'DIETOLOGÍA(S)'!V286)</f>
        <v>4</v>
      </c>
      <c r="W286" s="6">
        <f>SUM(PACIENTES!W286+COMEDOR!W286+JORNADA!W286+'DIETOLOGÍA(S)'!W286)</f>
        <v>5</v>
      </c>
      <c r="X286" s="6">
        <f>SUM(PACIENTES!X286+COMEDOR!X286+JORNADA!X286+'DIETOLOGÍA(S)'!X286)</f>
        <v>5</v>
      </c>
      <c r="Y286" s="6">
        <f>SUM(PACIENTES!Y286+COMEDOR!Y286+JORNADA!Y286+'DIETOLOGÍA(S)'!Y286)</f>
        <v>4</v>
      </c>
      <c r="Z286" s="6">
        <f>SUM(PACIENTES!Z286+COMEDOR!Z286+JORNADA!Z286+'DIETOLOGÍA(S)'!Z286)</f>
        <v>4</v>
      </c>
      <c r="AA286" s="6">
        <f>SUM(PACIENTES!AA286+COMEDOR!AA286+JORNADA!AA286+'DIETOLOGÍA(S)'!AA286)</f>
        <v>4</v>
      </c>
      <c r="AB286" s="6">
        <f>SUM(PACIENTES!AB286+COMEDOR!AB286+JORNADA!AB286+'DIETOLOGÍA(S)'!AB286)</f>
        <v>4</v>
      </c>
      <c r="AC286" s="6">
        <f>SUM(PACIENTES!AC286+COMEDOR!AC286+JORNADA!AC286+'DIETOLOGÍA(S)'!AC286)</f>
        <v>4</v>
      </c>
      <c r="AD286" s="6">
        <f>SUM(PACIENTES!AD286+COMEDOR!AD286+JORNADA!AD286+'DIETOLOGÍA(S)'!AD286)</f>
        <v>5</v>
      </c>
      <c r="AE286" s="6">
        <f>SUM(PACIENTES!AE286+COMEDOR!AE286+JORNADA!AE286+'DIETOLOGÍA(S)'!AE286)</f>
        <v>5</v>
      </c>
      <c r="AF286" s="6">
        <f>SUM(PACIENTES!AF286+COMEDOR!AF286+JORNADA!AF286+'DIETOLOGÍA(S)'!AF286)</f>
        <v>4</v>
      </c>
      <c r="AG286" s="6">
        <f>SUM(PACIENTES!AG286+COMEDOR!AG286+JORNADA!AG286+'DIETOLOGÍA(S)'!AG286)</f>
        <v>4</v>
      </c>
      <c r="AH286" s="6">
        <f>SUM(PACIENTES!AH286+COMEDOR!AH286+JORNADA!AH286+'DIETOLOGÍA(S)'!AH286)</f>
        <v>4</v>
      </c>
      <c r="AI286" s="9">
        <f t="shared" si="11"/>
        <v>137</v>
      </c>
    </row>
    <row r="287" spans="1:35" ht="15.75" customHeight="1">
      <c r="A287" s="238">
        <v>2212001010</v>
      </c>
      <c r="B287" s="239" t="s">
        <v>299</v>
      </c>
      <c r="C287" s="240" t="s">
        <v>267</v>
      </c>
      <c r="D287" s="6">
        <f>SUM(PACIENTES!D287+COMEDOR!D287+JORNADA!D287+'DIETOLOGÍA(S)'!D287)</f>
        <v>0</v>
      </c>
      <c r="E287" s="6">
        <f>SUM(PACIENTES!E287+COMEDOR!E287+JORNADA!E287+'DIETOLOGÍA(S)'!E287)</f>
        <v>5</v>
      </c>
      <c r="F287" s="6">
        <f>SUM(PACIENTES!F287+COMEDOR!F287+JORNADA!F287+'DIETOLOGÍA(S)'!F287)</f>
        <v>0</v>
      </c>
      <c r="G287" s="6">
        <f>SUM(PACIENTES!G287+COMEDOR!G287+JORNADA!G287+'DIETOLOGÍA(S)'!G287)</f>
        <v>2</v>
      </c>
      <c r="H287" s="6">
        <f>SUM(PACIENTES!H287+COMEDOR!H287+JORNADA!H287+'DIETOLOGÍA(S)'!H287)</f>
        <v>0</v>
      </c>
      <c r="I287" s="6">
        <f>SUM(PACIENTES!I287+COMEDOR!I287+JORNADA!I287+'DIETOLOGÍA(S)'!I287)</f>
        <v>0</v>
      </c>
      <c r="J287" s="6">
        <f>SUM(PACIENTES!J287+COMEDOR!J287+JORNADA!J287+'DIETOLOGÍA(S)'!J287)</f>
        <v>1</v>
      </c>
      <c r="K287" s="6">
        <f>SUM(PACIENTES!K287+COMEDOR!K287+JORNADA!K287+'DIETOLOGÍA(S)'!K287)</f>
        <v>0</v>
      </c>
      <c r="L287" s="6">
        <f>SUM(PACIENTES!L287+COMEDOR!L287+JORNADA!L287+'DIETOLOGÍA(S)'!L287)</f>
        <v>0</v>
      </c>
      <c r="M287" s="6">
        <f>SUM(PACIENTES!M287+COMEDOR!M287+JORNADA!M287+'DIETOLOGÍA(S)'!M287)</f>
        <v>0</v>
      </c>
      <c r="N287" s="6">
        <f>SUM(PACIENTES!N287+COMEDOR!N287+JORNADA!N287+'DIETOLOGÍA(S)'!N287)</f>
        <v>0</v>
      </c>
      <c r="O287" s="6">
        <f>SUM(PACIENTES!O287+COMEDOR!O287+JORNADA!O287+'DIETOLOGÍA(S)'!O287)</f>
        <v>0</v>
      </c>
      <c r="P287" s="6">
        <f>SUM(PACIENTES!P287+COMEDOR!P287+JORNADA!P287+'DIETOLOGÍA(S)'!P287)</f>
        <v>0</v>
      </c>
      <c r="Q287" s="6">
        <f>SUM(PACIENTES!Q287+COMEDOR!Q287+JORNADA!Q287+'DIETOLOGÍA(S)'!Q287)</f>
        <v>1</v>
      </c>
      <c r="R287" s="6">
        <f>SUM(PACIENTES!R287+COMEDOR!R287+JORNADA!R287+'DIETOLOGÍA(S)'!R287)</f>
        <v>0</v>
      </c>
      <c r="S287" s="6">
        <f>SUM(PACIENTES!S287+COMEDOR!S287+JORNADA!S287+'DIETOLOGÍA(S)'!S287)</f>
        <v>0</v>
      </c>
      <c r="T287" s="6">
        <f>SUM(PACIENTES!T287+COMEDOR!T287+JORNADA!T287+'DIETOLOGÍA(S)'!T287)</f>
        <v>0</v>
      </c>
      <c r="U287" s="6">
        <f>SUM(PACIENTES!U287+COMEDOR!U287+JORNADA!U287+'DIETOLOGÍA(S)'!U287)</f>
        <v>0</v>
      </c>
      <c r="V287" s="6">
        <f>SUM(PACIENTES!V287+COMEDOR!V287+JORNADA!V287+'DIETOLOGÍA(S)'!V287)</f>
        <v>0</v>
      </c>
      <c r="W287" s="6">
        <f>SUM(PACIENTES!W287+COMEDOR!W287+JORNADA!W287+'DIETOLOGÍA(S)'!W287)</f>
        <v>0</v>
      </c>
      <c r="X287" s="6">
        <f>SUM(PACIENTES!X287+COMEDOR!X287+JORNADA!X287+'DIETOLOGÍA(S)'!X287)</f>
        <v>1</v>
      </c>
      <c r="Y287" s="6">
        <f>SUM(PACIENTES!Y287+COMEDOR!Y287+JORNADA!Y287+'DIETOLOGÍA(S)'!Y287)</f>
        <v>0</v>
      </c>
      <c r="Z287" s="6">
        <f>SUM(PACIENTES!Z287+COMEDOR!Z287+JORNADA!Z287+'DIETOLOGÍA(S)'!Z287)</f>
        <v>0</v>
      </c>
      <c r="AA287" s="6">
        <f>SUM(PACIENTES!AA287+COMEDOR!AA287+JORNADA!AA287+'DIETOLOGÍA(S)'!AA287)</f>
        <v>0</v>
      </c>
      <c r="AB287" s="6">
        <f>SUM(PACIENTES!AB287+COMEDOR!AB287+JORNADA!AB287+'DIETOLOGÍA(S)'!AB287)</f>
        <v>0</v>
      </c>
      <c r="AC287" s="6">
        <f>SUM(PACIENTES!AC287+COMEDOR!AC287+JORNADA!AC287+'DIETOLOGÍA(S)'!AC287)</f>
        <v>0</v>
      </c>
      <c r="AD287" s="6">
        <f>SUM(PACIENTES!AD287+COMEDOR!AD287+JORNADA!AD287+'DIETOLOGÍA(S)'!AD287)</f>
        <v>0</v>
      </c>
      <c r="AE287" s="6">
        <f>SUM(PACIENTES!AE287+COMEDOR!AE287+JORNADA!AE287+'DIETOLOGÍA(S)'!AE287)</f>
        <v>1</v>
      </c>
      <c r="AF287" s="6">
        <f>SUM(PACIENTES!AF287+COMEDOR!AF287+JORNADA!AF287+'DIETOLOGÍA(S)'!AF287)</f>
        <v>0</v>
      </c>
      <c r="AG287" s="6">
        <f>SUM(PACIENTES!AG287+COMEDOR!AG287+JORNADA!AG287+'DIETOLOGÍA(S)'!AG287)</f>
        <v>0</v>
      </c>
      <c r="AH287" s="6">
        <f>SUM(PACIENTES!AH287+COMEDOR!AH287+JORNADA!AH287+'DIETOLOGÍA(S)'!AH287)</f>
        <v>0</v>
      </c>
      <c r="AI287" s="9">
        <f t="shared" si="11"/>
        <v>11</v>
      </c>
    </row>
    <row r="288" spans="1:35" ht="15.75" customHeight="1">
      <c r="A288" s="238">
        <v>2212001013</v>
      </c>
      <c r="B288" s="239" t="s">
        <v>300</v>
      </c>
      <c r="C288" s="240" t="s">
        <v>86</v>
      </c>
      <c r="D288" s="6">
        <f>SUM(PACIENTES!D288+COMEDOR!D288+JORNADA!D288+'DIETOLOGÍA(S)'!D288)</f>
        <v>0</v>
      </c>
      <c r="E288" s="6">
        <f>SUM(PACIENTES!E288+COMEDOR!E288+JORNADA!E288+'DIETOLOGÍA(S)'!E288)</f>
        <v>0</v>
      </c>
      <c r="F288" s="6">
        <f>SUM(PACIENTES!F288+COMEDOR!F288+JORNADA!F288+'DIETOLOGÍA(S)'!F288)</f>
        <v>0</v>
      </c>
      <c r="G288" s="6">
        <f>SUM(PACIENTES!G288+COMEDOR!G288+JORNADA!G288+'DIETOLOGÍA(S)'!G288)</f>
        <v>0</v>
      </c>
      <c r="H288" s="6">
        <f>SUM(PACIENTES!H288+COMEDOR!H288+JORNADA!H288+'DIETOLOGÍA(S)'!H288)</f>
        <v>0</v>
      </c>
      <c r="I288" s="6">
        <f>SUM(PACIENTES!I288+COMEDOR!I288+JORNADA!I288+'DIETOLOGÍA(S)'!I288)</f>
        <v>0</v>
      </c>
      <c r="J288" s="6">
        <f>SUM(PACIENTES!J288+COMEDOR!J288+JORNADA!J288+'DIETOLOGÍA(S)'!J288)</f>
        <v>0</v>
      </c>
      <c r="K288" s="6">
        <f>SUM(PACIENTES!K288+COMEDOR!K288+JORNADA!K288+'DIETOLOGÍA(S)'!K288)</f>
        <v>0</v>
      </c>
      <c r="L288" s="6">
        <f>SUM(PACIENTES!L288+COMEDOR!L288+JORNADA!L288+'DIETOLOGÍA(S)'!L288)</f>
        <v>0</v>
      </c>
      <c r="M288" s="6">
        <f>SUM(PACIENTES!M288+COMEDOR!M288+JORNADA!M288+'DIETOLOGÍA(S)'!M288)</f>
        <v>0</v>
      </c>
      <c r="N288" s="6">
        <f>SUM(PACIENTES!N288+COMEDOR!N288+JORNADA!N288+'DIETOLOGÍA(S)'!N288)</f>
        <v>0</v>
      </c>
      <c r="O288" s="6">
        <f>SUM(PACIENTES!O288+COMEDOR!O288+JORNADA!O288+'DIETOLOGÍA(S)'!O288)</f>
        <v>0</v>
      </c>
      <c r="P288" s="6">
        <f>SUM(PACIENTES!P288+COMEDOR!P288+JORNADA!P288+'DIETOLOGÍA(S)'!P288)</f>
        <v>0</v>
      </c>
      <c r="Q288" s="6">
        <f>SUM(PACIENTES!Q288+COMEDOR!Q288+JORNADA!Q288+'DIETOLOGÍA(S)'!Q288)</f>
        <v>0</v>
      </c>
      <c r="R288" s="6">
        <f>SUM(PACIENTES!R288+COMEDOR!R288+JORNADA!R288+'DIETOLOGÍA(S)'!R288)</f>
        <v>0</v>
      </c>
      <c r="S288" s="6">
        <f>SUM(PACIENTES!S288+COMEDOR!S288+JORNADA!S288+'DIETOLOGÍA(S)'!S288)</f>
        <v>0</v>
      </c>
      <c r="T288" s="6">
        <f>SUM(PACIENTES!T288+COMEDOR!T288+JORNADA!T288+'DIETOLOGÍA(S)'!T288)</f>
        <v>0</v>
      </c>
      <c r="U288" s="6">
        <f>SUM(PACIENTES!U288+COMEDOR!U288+JORNADA!U288+'DIETOLOGÍA(S)'!U288)</f>
        <v>0</v>
      </c>
      <c r="V288" s="6">
        <f>SUM(PACIENTES!V288+COMEDOR!V288+JORNADA!V288+'DIETOLOGÍA(S)'!V288)</f>
        <v>0</v>
      </c>
      <c r="W288" s="6">
        <f>SUM(PACIENTES!W288+COMEDOR!W288+JORNADA!W288+'DIETOLOGÍA(S)'!W288)</f>
        <v>0</v>
      </c>
      <c r="X288" s="6">
        <f>SUM(PACIENTES!X288+COMEDOR!X288+JORNADA!X288+'DIETOLOGÍA(S)'!X288)</f>
        <v>0</v>
      </c>
      <c r="Y288" s="6">
        <f>SUM(PACIENTES!Y288+COMEDOR!Y288+JORNADA!Y288+'DIETOLOGÍA(S)'!Y288)</f>
        <v>0</v>
      </c>
      <c r="Z288" s="6">
        <f>SUM(PACIENTES!Z288+COMEDOR!Z288+JORNADA!Z288+'DIETOLOGÍA(S)'!Z288)</f>
        <v>0</v>
      </c>
      <c r="AA288" s="6">
        <f>SUM(PACIENTES!AA288+COMEDOR!AA288+JORNADA!AA288+'DIETOLOGÍA(S)'!AA288)</f>
        <v>0</v>
      </c>
      <c r="AB288" s="6">
        <f>SUM(PACIENTES!AB288+COMEDOR!AB288+JORNADA!AB288+'DIETOLOGÍA(S)'!AB288)</f>
        <v>0</v>
      </c>
      <c r="AC288" s="6">
        <f>SUM(PACIENTES!AC288+COMEDOR!AC288+JORNADA!AC288+'DIETOLOGÍA(S)'!AC288)</f>
        <v>0</v>
      </c>
      <c r="AD288" s="6">
        <f>SUM(PACIENTES!AD288+COMEDOR!AD288+JORNADA!AD288+'DIETOLOGÍA(S)'!AD288)</f>
        <v>0</v>
      </c>
      <c r="AE288" s="6">
        <f>SUM(PACIENTES!AE288+COMEDOR!AE288+JORNADA!AE288+'DIETOLOGÍA(S)'!AE288)</f>
        <v>0</v>
      </c>
      <c r="AF288" s="6">
        <f>SUM(PACIENTES!AF288+COMEDOR!AF288+JORNADA!AF288+'DIETOLOGÍA(S)'!AF288)</f>
        <v>0</v>
      </c>
      <c r="AG288" s="6">
        <f>SUM(PACIENTES!AG288+COMEDOR!AG288+JORNADA!AG288+'DIETOLOGÍA(S)'!AG288)</f>
        <v>0</v>
      </c>
      <c r="AH288" s="6">
        <f>SUM(PACIENTES!AH288+COMEDOR!AH288+JORNADA!AH288+'DIETOLOGÍA(S)'!AH288)</f>
        <v>0</v>
      </c>
      <c r="AI288" s="9">
        <f t="shared" si="11"/>
        <v>0</v>
      </c>
    </row>
    <row r="289" spans="1:35" ht="15.75" customHeight="1">
      <c r="A289" s="238">
        <v>2212001014</v>
      </c>
      <c r="B289" s="239" t="s">
        <v>301</v>
      </c>
      <c r="C289" s="240" t="s">
        <v>86</v>
      </c>
      <c r="D289" s="6">
        <f>SUM(PACIENTES!D289+COMEDOR!D289+JORNADA!D289+'DIETOLOGÍA(S)'!D289)</f>
        <v>0</v>
      </c>
      <c r="E289" s="6">
        <f>SUM(PACIENTES!E289+COMEDOR!E289+JORNADA!E289+'DIETOLOGÍA(S)'!E289)</f>
        <v>0</v>
      </c>
      <c r="F289" s="6">
        <f>SUM(PACIENTES!F289+COMEDOR!F289+JORNADA!F289+'DIETOLOGÍA(S)'!F289)</f>
        <v>0</v>
      </c>
      <c r="G289" s="6">
        <f>SUM(PACIENTES!G289+COMEDOR!G289+JORNADA!G289+'DIETOLOGÍA(S)'!G289)</f>
        <v>0</v>
      </c>
      <c r="H289" s="6">
        <f>SUM(PACIENTES!H289+COMEDOR!H289+JORNADA!H289+'DIETOLOGÍA(S)'!H289)</f>
        <v>0</v>
      </c>
      <c r="I289" s="6">
        <f>SUM(PACIENTES!I289+COMEDOR!I289+JORNADA!I289+'DIETOLOGÍA(S)'!I289)</f>
        <v>0</v>
      </c>
      <c r="J289" s="6">
        <f>SUM(PACIENTES!J289+COMEDOR!J289+JORNADA!J289+'DIETOLOGÍA(S)'!J289)</f>
        <v>0</v>
      </c>
      <c r="K289" s="6">
        <f>SUM(PACIENTES!K289+COMEDOR!K289+JORNADA!K289+'DIETOLOGÍA(S)'!K289)</f>
        <v>0</v>
      </c>
      <c r="L289" s="6">
        <f>SUM(PACIENTES!L289+COMEDOR!L289+JORNADA!L289+'DIETOLOGÍA(S)'!L289)</f>
        <v>0</v>
      </c>
      <c r="M289" s="6">
        <f>SUM(PACIENTES!M289+COMEDOR!M289+JORNADA!M289+'DIETOLOGÍA(S)'!M289)</f>
        <v>0</v>
      </c>
      <c r="N289" s="6">
        <f>SUM(PACIENTES!N289+COMEDOR!N289+JORNADA!N289+'DIETOLOGÍA(S)'!N289)</f>
        <v>0</v>
      </c>
      <c r="O289" s="6">
        <f>SUM(PACIENTES!O289+COMEDOR!O289+JORNADA!O289+'DIETOLOGÍA(S)'!O289)</f>
        <v>0</v>
      </c>
      <c r="P289" s="6">
        <f>SUM(PACIENTES!P289+COMEDOR!P289+JORNADA!P289+'DIETOLOGÍA(S)'!P289)</f>
        <v>0</v>
      </c>
      <c r="Q289" s="6">
        <f>SUM(PACIENTES!Q289+COMEDOR!Q289+JORNADA!Q289+'DIETOLOGÍA(S)'!Q289)</f>
        <v>0</v>
      </c>
      <c r="R289" s="6">
        <f>SUM(PACIENTES!R289+COMEDOR!R289+JORNADA!R289+'DIETOLOGÍA(S)'!R289)</f>
        <v>0</v>
      </c>
      <c r="S289" s="6">
        <f>SUM(PACIENTES!S289+COMEDOR!S289+JORNADA!S289+'DIETOLOGÍA(S)'!S289)</f>
        <v>0</v>
      </c>
      <c r="T289" s="6">
        <f>SUM(PACIENTES!T289+COMEDOR!T289+JORNADA!T289+'DIETOLOGÍA(S)'!T289)</f>
        <v>0</v>
      </c>
      <c r="U289" s="6">
        <f>SUM(PACIENTES!U289+COMEDOR!U289+JORNADA!U289+'DIETOLOGÍA(S)'!U289)</f>
        <v>0</v>
      </c>
      <c r="V289" s="6">
        <f>SUM(PACIENTES!V289+COMEDOR!V289+JORNADA!V289+'DIETOLOGÍA(S)'!V289)</f>
        <v>0</v>
      </c>
      <c r="W289" s="6">
        <f>SUM(PACIENTES!W289+COMEDOR!W289+JORNADA!W289+'DIETOLOGÍA(S)'!W289)</f>
        <v>0</v>
      </c>
      <c r="X289" s="6">
        <f>SUM(PACIENTES!X289+COMEDOR!X289+JORNADA!X289+'DIETOLOGÍA(S)'!X289)</f>
        <v>0</v>
      </c>
      <c r="Y289" s="6">
        <f>SUM(PACIENTES!Y289+COMEDOR!Y289+JORNADA!Y289+'DIETOLOGÍA(S)'!Y289)</f>
        <v>0</v>
      </c>
      <c r="Z289" s="6">
        <f>SUM(PACIENTES!Z289+COMEDOR!Z289+JORNADA!Z289+'DIETOLOGÍA(S)'!Z289)</f>
        <v>0</v>
      </c>
      <c r="AA289" s="6">
        <f>SUM(PACIENTES!AA289+COMEDOR!AA289+JORNADA!AA289+'DIETOLOGÍA(S)'!AA289)</f>
        <v>0</v>
      </c>
      <c r="AB289" s="6">
        <f>SUM(PACIENTES!AB289+COMEDOR!AB289+JORNADA!AB289+'DIETOLOGÍA(S)'!AB289)</f>
        <v>0</v>
      </c>
      <c r="AC289" s="6">
        <f>SUM(PACIENTES!AC289+COMEDOR!AC289+JORNADA!AC289+'DIETOLOGÍA(S)'!AC289)</f>
        <v>0</v>
      </c>
      <c r="AD289" s="6">
        <f>SUM(PACIENTES!AD289+COMEDOR!AD289+JORNADA!AD289+'DIETOLOGÍA(S)'!AD289)</f>
        <v>0</v>
      </c>
      <c r="AE289" s="6">
        <f>SUM(PACIENTES!AE289+COMEDOR!AE289+JORNADA!AE289+'DIETOLOGÍA(S)'!AE289)</f>
        <v>0</v>
      </c>
      <c r="AF289" s="6">
        <f>SUM(PACIENTES!AF289+COMEDOR!AF289+JORNADA!AF289+'DIETOLOGÍA(S)'!AF289)</f>
        <v>0</v>
      </c>
      <c r="AG289" s="6">
        <f>SUM(PACIENTES!AG289+COMEDOR!AG289+JORNADA!AG289+'DIETOLOGÍA(S)'!AG289)</f>
        <v>0</v>
      </c>
      <c r="AH289" s="6">
        <f>SUM(PACIENTES!AH289+COMEDOR!AH289+JORNADA!AH289+'DIETOLOGÍA(S)'!AH289)</f>
        <v>0</v>
      </c>
      <c r="AI289" s="9">
        <f t="shared" si="11"/>
        <v>0</v>
      </c>
    </row>
    <row r="290" spans="1:35" ht="15.75" customHeight="1">
      <c r="A290" s="238">
        <v>2212001015</v>
      </c>
      <c r="B290" s="239" t="s">
        <v>302</v>
      </c>
      <c r="C290" s="240" t="s">
        <v>86</v>
      </c>
      <c r="D290" s="6">
        <f>SUM(PACIENTES!D290+COMEDOR!D290+JORNADA!D290+'DIETOLOGÍA(S)'!D290)</f>
        <v>0</v>
      </c>
      <c r="E290" s="6">
        <f>SUM(PACIENTES!E290+COMEDOR!E290+JORNADA!E290+'DIETOLOGÍA(S)'!E290)</f>
        <v>0</v>
      </c>
      <c r="F290" s="6">
        <f>SUM(PACIENTES!F290+COMEDOR!F290+JORNADA!F290+'DIETOLOGÍA(S)'!F290)</f>
        <v>0</v>
      </c>
      <c r="G290" s="6">
        <f>SUM(PACIENTES!G290+COMEDOR!G290+JORNADA!G290+'DIETOLOGÍA(S)'!G290)</f>
        <v>0</v>
      </c>
      <c r="H290" s="6">
        <f>SUM(PACIENTES!H290+COMEDOR!H290+JORNADA!H290+'DIETOLOGÍA(S)'!H290)</f>
        <v>0</v>
      </c>
      <c r="I290" s="6">
        <f>SUM(PACIENTES!I290+COMEDOR!I290+JORNADA!I290+'DIETOLOGÍA(S)'!I290)</f>
        <v>0</v>
      </c>
      <c r="J290" s="6">
        <f>SUM(PACIENTES!J290+COMEDOR!J290+JORNADA!J290+'DIETOLOGÍA(S)'!J290)</f>
        <v>0</v>
      </c>
      <c r="K290" s="6">
        <f>SUM(PACIENTES!K290+COMEDOR!K290+JORNADA!K290+'DIETOLOGÍA(S)'!K290)</f>
        <v>0</v>
      </c>
      <c r="L290" s="6">
        <f>SUM(PACIENTES!L290+COMEDOR!L290+JORNADA!L290+'DIETOLOGÍA(S)'!L290)</f>
        <v>0</v>
      </c>
      <c r="M290" s="6">
        <f>SUM(PACIENTES!M290+COMEDOR!M290+JORNADA!M290+'DIETOLOGÍA(S)'!M290)</f>
        <v>0</v>
      </c>
      <c r="N290" s="6">
        <f>SUM(PACIENTES!N290+COMEDOR!N290+JORNADA!N290+'DIETOLOGÍA(S)'!N290)</f>
        <v>0</v>
      </c>
      <c r="O290" s="6">
        <f>SUM(PACIENTES!O290+COMEDOR!O290+JORNADA!O290+'DIETOLOGÍA(S)'!O290)</f>
        <v>0</v>
      </c>
      <c r="P290" s="6">
        <f>SUM(PACIENTES!P290+COMEDOR!P290+JORNADA!P290+'DIETOLOGÍA(S)'!P290)</f>
        <v>0</v>
      </c>
      <c r="Q290" s="6">
        <f>SUM(PACIENTES!Q290+COMEDOR!Q290+JORNADA!Q290+'DIETOLOGÍA(S)'!Q290)</f>
        <v>0</v>
      </c>
      <c r="R290" s="6">
        <f>SUM(PACIENTES!R290+COMEDOR!R290+JORNADA!R290+'DIETOLOGÍA(S)'!R290)</f>
        <v>0</v>
      </c>
      <c r="S290" s="6">
        <f>SUM(PACIENTES!S290+COMEDOR!S290+JORNADA!S290+'DIETOLOGÍA(S)'!S290)</f>
        <v>0</v>
      </c>
      <c r="T290" s="6">
        <f>SUM(PACIENTES!T290+COMEDOR!T290+JORNADA!T290+'DIETOLOGÍA(S)'!T290)</f>
        <v>0</v>
      </c>
      <c r="U290" s="6">
        <f>SUM(PACIENTES!U290+COMEDOR!U290+JORNADA!U290+'DIETOLOGÍA(S)'!U290)</f>
        <v>0</v>
      </c>
      <c r="V290" s="6">
        <f>SUM(PACIENTES!V290+COMEDOR!V290+JORNADA!V290+'DIETOLOGÍA(S)'!V290)</f>
        <v>0</v>
      </c>
      <c r="W290" s="6">
        <f>SUM(PACIENTES!W290+COMEDOR!W290+JORNADA!W290+'DIETOLOGÍA(S)'!W290)</f>
        <v>0</v>
      </c>
      <c r="X290" s="6">
        <f>SUM(PACIENTES!X290+COMEDOR!X290+JORNADA!X290+'DIETOLOGÍA(S)'!X290)</f>
        <v>0</v>
      </c>
      <c r="Y290" s="6">
        <f>SUM(PACIENTES!Y290+COMEDOR!Y290+JORNADA!Y290+'DIETOLOGÍA(S)'!Y290)</f>
        <v>0</v>
      </c>
      <c r="Z290" s="6">
        <f>SUM(PACIENTES!Z290+COMEDOR!Z290+JORNADA!Z290+'DIETOLOGÍA(S)'!Z290)</f>
        <v>0</v>
      </c>
      <c r="AA290" s="6">
        <f>SUM(PACIENTES!AA290+COMEDOR!AA290+JORNADA!AA290+'DIETOLOGÍA(S)'!AA290)</f>
        <v>0</v>
      </c>
      <c r="AB290" s="6">
        <f>SUM(PACIENTES!AB290+COMEDOR!AB290+JORNADA!AB290+'DIETOLOGÍA(S)'!AB290)</f>
        <v>0</v>
      </c>
      <c r="AC290" s="6">
        <f>SUM(PACIENTES!AC290+COMEDOR!AC290+JORNADA!AC290+'DIETOLOGÍA(S)'!AC290)</f>
        <v>0</v>
      </c>
      <c r="AD290" s="6">
        <f>SUM(PACIENTES!AD290+COMEDOR!AD290+JORNADA!AD290+'DIETOLOGÍA(S)'!AD290)</f>
        <v>0</v>
      </c>
      <c r="AE290" s="6">
        <f>SUM(PACIENTES!AE290+COMEDOR!AE290+JORNADA!AE290+'DIETOLOGÍA(S)'!AE290)</f>
        <v>0</v>
      </c>
      <c r="AF290" s="6">
        <f>SUM(PACIENTES!AF290+COMEDOR!AF290+JORNADA!AF290+'DIETOLOGÍA(S)'!AF290)</f>
        <v>0</v>
      </c>
      <c r="AG290" s="6">
        <f>SUM(PACIENTES!AG290+COMEDOR!AG290+JORNADA!AG290+'DIETOLOGÍA(S)'!AG290)</f>
        <v>0</v>
      </c>
      <c r="AH290" s="6">
        <f>SUM(PACIENTES!AH290+COMEDOR!AH290+JORNADA!AH290+'DIETOLOGÍA(S)'!AH290)</f>
        <v>0</v>
      </c>
      <c r="AI290" s="9">
        <f t="shared" si="11"/>
        <v>0</v>
      </c>
    </row>
    <row r="291" spans="1:35" ht="15.75" customHeight="1">
      <c r="A291" s="238">
        <v>2212001016</v>
      </c>
      <c r="B291" s="239" t="s">
        <v>303</v>
      </c>
      <c r="C291" s="240" t="s">
        <v>296</v>
      </c>
      <c r="D291" s="6">
        <f>SUM(PACIENTES!D291+COMEDOR!D291+JORNADA!D291+'DIETOLOGÍA(S)'!D291)</f>
        <v>4</v>
      </c>
      <c r="E291" s="6">
        <f>SUM(PACIENTES!E291+COMEDOR!E291+JORNADA!E291+'DIETOLOGÍA(S)'!E291)</f>
        <v>0</v>
      </c>
      <c r="F291" s="6">
        <f>SUM(PACIENTES!F291+COMEDOR!F291+JORNADA!F291+'DIETOLOGÍA(S)'!F291)</f>
        <v>0</v>
      </c>
      <c r="G291" s="6">
        <f>SUM(PACIENTES!G291+COMEDOR!G291+JORNADA!G291+'DIETOLOGÍA(S)'!G291)</f>
        <v>3</v>
      </c>
      <c r="H291" s="6">
        <f>SUM(PACIENTES!H291+COMEDOR!H291+JORNADA!H291+'DIETOLOGÍA(S)'!H291)</f>
        <v>0</v>
      </c>
      <c r="I291" s="6">
        <f>SUM(PACIENTES!I291+COMEDOR!I291+JORNADA!I291+'DIETOLOGÍA(S)'!I291)</f>
        <v>0</v>
      </c>
      <c r="J291" s="6">
        <f>SUM(PACIENTES!J291+COMEDOR!J291+JORNADA!J291+'DIETOLOGÍA(S)'!J291)</f>
        <v>4</v>
      </c>
      <c r="K291" s="6">
        <f>SUM(PACIENTES!K291+COMEDOR!K291+JORNADA!K291+'DIETOLOGÍA(S)'!K291)</f>
        <v>4</v>
      </c>
      <c r="L291" s="6">
        <f>SUM(PACIENTES!L291+COMEDOR!L291+JORNADA!L291+'DIETOLOGÍA(S)'!L291)</f>
        <v>5</v>
      </c>
      <c r="M291" s="6">
        <f>SUM(PACIENTES!M291+COMEDOR!M291+JORNADA!M291+'DIETOLOGÍA(S)'!M291)</f>
        <v>0</v>
      </c>
      <c r="N291" s="6">
        <f>SUM(PACIENTES!N291+COMEDOR!N291+JORNADA!N291+'DIETOLOGÍA(S)'!N291)</f>
        <v>5</v>
      </c>
      <c r="O291" s="6">
        <f>SUM(PACIENTES!O291+COMEDOR!O291+JORNADA!O291+'DIETOLOGÍA(S)'!O291)</f>
        <v>0</v>
      </c>
      <c r="P291" s="6">
        <f>SUM(PACIENTES!P291+COMEDOR!P291+JORNADA!P291+'DIETOLOGÍA(S)'!P291)</f>
        <v>0</v>
      </c>
      <c r="Q291" s="6">
        <f>SUM(PACIENTES!Q291+COMEDOR!Q291+JORNADA!Q291+'DIETOLOGÍA(S)'!Q291)</f>
        <v>0</v>
      </c>
      <c r="R291" s="6">
        <f>SUM(PACIENTES!R291+COMEDOR!R291+JORNADA!R291+'DIETOLOGÍA(S)'!R291)</f>
        <v>0</v>
      </c>
      <c r="S291" s="6">
        <f>SUM(PACIENTES!S291+COMEDOR!S291+JORNADA!S291+'DIETOLOGÍA(S)'!S291)</f>
        <v>0</v>
      </c>
      <c r="T291" s="6">
        <f>SUM(PACIENTES!T291+COMEDOR!T291+JORNADA!T291+'DIETOLOGÍA(S)'!T291)</f>
        <v>0</v>
      </c>
      <c r="U291" s="6">
        <f>SUM(PACIENTES!U291+COMEDOR!U291+JORNADA!U291+'DIETOLOGÍA(S)'!U291)</f>
        <v>5</v>
      </c>
      <c r="V291" s="6">
        <f>SUM(PACIENTES!V291+COMEDOR!V291+JORNADA!V291+'DIETOLOGÍA(S)'!V291)</f>
        <v>5</v>
      </c>
      <c r="W291" s="6">
        <f>SUM(PACIENTES!W291+COMEDOR!W291+JORNADA!W291+'DIETOLOGÍA(S)'!W291)</f>
        <v>0</v>
      </c>
      <c r="X291" s="6">
        <f>SUM(PACIENTES!X291+COMEDOR!X291+JORNADA!X291+'DIETOLOGÍA(S)'!X291)</f>
        <v>3</v>
      </c>
      <c r="Y291" s="6">
        <f>SUM(PACIENTES!Y291+COMEDOR!Y291+JORNADA!Y291+'DIETOLOGÍA(S)'!Y291)</f>
        <v>0</v>
      </c>
      <c r="Z291" s="6">
        <f>SUM(PACIENTES!Z291+COMEDOR!Z291+JORNADA!Z291+'DIETOLOGÍA(S)'!Z291)</f>
        <v>0</v>
      </c>
      <c r="AA291" s="6">
        <f>SUM(PACIENTES!AA291+COMEDOR!AA291+JORNADA!AA291+'DIETOLOGÍA(S)'!AA291)</f>
        <v>0</v>
      </c>
      <c r="AB291" s="6">
        <f>SUM(PACIENTES!AB291+COMEDOR!AB291+JORNADA!AB291+'DIETOLOGÍA(S)'!AB291)</f>
        <v>5</v>
      </c>
      <c r="AC291" s="6">
        <f>SUM(PACIENTES!AC291+COMEDOR!AC291+JORNADA!AC291+'DIETOLOGÍA(S)'!AC291)</f>
        <v>0</v>
      </c>
      <c r="AD291" s="6">
        <f>SUM(PACIENTES!AD291+COMEDOR!AD291+JORNADA!AD291+'DIETOLOGÍA(S)'!AD291)</f>
        <v>1</v>
      </c>
      <c r="AE291" s="6">
        <f>SUM(PACIENTES!AE291+COMEDOR!AE291+JORNADA!AE291+'DIETOLOGÍA(S)'!AE291)</f>
        <v>0</v>
      </c>
      <c r="AF291" s="6">
        <f>SUM(PACIENTES!AF291+COMEDOR!AF291+JORNADA!AF291+'DIETOLOGÍA(S)'!AF291)</f>
        <v>0</v>
      </c>
      <c r="AG291" s="6">
        <f>SUM(PACIENTES!AG291+COMEDOR!AG291+JORNADA!AG291+'DIETOLOGÍA(S)'!AG291)</f>
        <v>0</v>
      </c>
      <c r="AH291" s="6">
        <f>SUM(PACIENTES!AH291+COMEDOR!AH291+JORNADA!AH291+'DIETOLOGÍA(S)'!AH291)</f>
        <v>0</v>
      </c>
      <c r="AI291" s="9">
        <f t="shared" si="11"/>
        <v>44</v>
      </c>
    </row>
    <row r="292" spans="1:35" ht="15.75" customHeight="1">
      <c r="A292" s="238">
        <v>2212001018</v>
      </c>
      <c r="B292" s="239" t="s">
        <v>304</v>
      </c>
      <c r="C292" s="240" t="s">
        <v>296</v>
      </c>
      <c r="D292" s="6">
        <f>SUM(PACIENTES!D292+COMEDOR!D292+JORNADA!D292+'DIETOLOGÍA(S)'!D292)</f>
        <v>0</v>
      </c>
      <c r="E292" s="6">
        <f>SUM(PACIENTES!E292+COMEDOR!E292+JORNADA!E292+'DIETOLOGÍA(S)'!E292)</f>
        <v>0</v>
      </c>
      <c r="F292" s="6">
        <f>SUM(PACIENTES!F292+COMEDOR!F292+JORNADA!F292+'DIETOLOGÍA(S)'!F292)</f>
        <v>0</v>
      </c>
      <c r="G292" s="6">
        <f>SUM(PACIENTES!G292+COMEDOR!G292+JORNADA!G292+'DIETOLOGÍA(S)'!G292)</f>
        <v>0</v>
      </c>
      <c r="H292" s="6">
        <f>SUM(PACIENTES!H292+COMEDOR!H292+JORNADA!H292+'DIETOLOGÍA(S)'!H292)</f>
        <v>2</v>
      </c>
      <c r="I292" s="6">
        <f>SUM(PACIENTES!I292+COMEDOR!I292+JORNADA!I292+'DIETOLOGÍA(S)'!I292)</f>
        <v>0</v>
      </c>
      <c r="J292" s="6">
        <f>SUM(PACIENTES!J292+COMEDOR!J292+JORNADA!J292+'DIETOLOGÍA(S)'!J292)</f>
        <v>1</v>
      </c>
      <c r="K292" s="6">
        <f>SUM(PACIENTES!K292+COMEDOR!K292+JORNADA!K292+'DIETOLOGÍA(S)'!K292)</f>
        <v>0</v>
      </c>
      <c r="L292" s="6">
        <f>SUM(PACIENTES!L292+COMEDOR!L292+JORNADA!L292+'DIETOLOGÍA(S)'!L292)</f>
        <v>1</v>
      </c>
      <c r="M292" s="6">
        <f>SUM(PACIENTES!M292+COMEDOR!M292+JORNADA!M292+'DIETOLOGÍA(S)'!M292)</f>
        <v>0</v>
      </c>
      <c r="N292" s="6">
        <f>SUM(PACIENTES!N292+COMEDOR!N292+JORNADA!N292+'DIETOLOGÍA(S)'!N292)</f>
        <v>0</v>
      </c>
      <c r="O292" s="6">
        <f>SUM(PACIENTES!O292+COMEDOR!O292+JORNADA!O292+'DIETOLOGÍA(S)'!O292)</f>
        <v>0</v>
      </c>
      <c r="P292" s="6">
        <f>SUM(PACIENTES!P292+COMEDOR!P292+JORNADA!P292+'DIETOLOGÍA(S)'!P292)</f>
        <v>1</v>
      </c>
      <c r="Q292" s="6">
        <f>SUM(PACIENTES!Q292+COMEDOR!Q292+JORNADA!Q292+'DIETOLOGÍA(S)'!Q292)</f>
        <v>1</v>
      </c>
      <c r="R292" s="6">
        <f>SUM(PACIENTES!R292+COMEDOR!R292+JORNADA!R292+'DIETOLOGÍA(S)'!R292)</f>
        <v>0</v>
      </c>
      <c r="S292" s="6">
        <f>SUM(PACIENTES!S292+COMEDOR!S292+JORNADA!S292+'DIETOLOGÍA(S)'!S292)</f>
        <v>0</v>
      </c>
      <c r="T292" s="6">
        <f>SUM(PACIENTES!T292+COMEDOR!T292+JORNADA!T292+'DIETOLOGÍA(S)'!T292)</f>
        <v>0</v>
      </c>
      <c r="U292" s="6">
        <f>SUM(PACIENTES!U292+COMEDOR!U292+JORNADA!U292+'DIETOLOGÍA(S)'!U292)</f>
        <v>0</v>
      </c>
      <c r="V292" s="6">
        <f>SUM(PACIENTES!V292+COMEDOR!V292+JORNADA!V292+'DIETOLOGÍA(S)'!V292)</f>
        <v>0</v>
      </c>
      <c r="W292" s="6">
        <f>SUM(PACIENTES!W292+COMEDOR!W292+JORNADA!W292+'DIETOLOGÍA(S)'!W292)</f>
        <v>0</v>
      </c>
      <c r="X292" s="6">
        <f>SUM(PACIENTES!X292+COMEDOR!X292+JORNADA!X292+'DIETOLOGÍA(S)'!X292)</f>
        <v>0</v>
      </c>
      <c r="Y292" s="6">
        <f>SUM(PACIENTES!Y292+COMEDOR!Y292+JORNADA!Y292+'DIETOLOGÍA(S)'!Y292)</f>
        <v>0</v>
      </c>
      <c r="Z292" s="6">
        <f>SUM(PACIENTES!Z292+COMEDOR!Z292+JORNADA!Z292+'DIETOLOGÍA(S)'!Z292)</f>
        <v>1</v>
      </c>
      <c r="AA292" s="6">
        <f>SUM(PACIENTES!AA292+COMEDOR!AA292+JORNADA!AA292+'DIETOLOGÍA(S)'!AA292)</f>
        <v>0</v>
      </c>
      <c r="AB292" s="6">
        <f>SUM(PACIENTES!AB292+COMEDOR!AB292+JORNADA!AB292+'DIETOLOGÍA(S)'!AB292)</f>
        <v>0</v>
      </c>
      <c r="AC292" s="6">
        <f>SUM(PACIENTES!AC292+COMEDOR!AC292+JORNADA!AC292+'DIETOLOGÍA(S)'!AC292)</f>
        <v>1</v>
      </c>
      <c r="AD292" s="6">
        <f>SUM(PACIENTES!AD292+COMEDOR!AD292+JORNADA!AD292+'DIETOLOGÍA(S)'!AD292)</f>
        <v>0</v>
      </c>
      <c r="AE292" s="6">
        <f>SUM(PACIENTES!AE292+COMEDOR!AE292+JORNADA!AE292+'DIETOLOGÍA(S)'!AE292)</f>
        <v>0</v>
      </c>
      <c r="AF292" s="6">
        <f>SUM(PACIENTES!AF292+COMEDOR!AF292+JORNADA!AF292+'DIETOLOGÍA(S)'!AF292)</f>
        <v>0</v>
      </c>
      <c r="AG292" s="6">
        <f>SUM(PACIENTES!AG292+COMEDOR!AG292+JORNADA!AG292+'DIETOLOGÍA(S)'!AG292)</f>
        <v>0</v>
      </c>
      <c r="AH292" s="6">
        <f>SUM(PACIENTES!AH292+COMEDOR!AH292+JORNADA!AH292+'DIETOLOGÍA(S)'!AH292)</f>
        <v>0</v>
      </c>
      <c r="AI292" s="9">
        <f t="shared" si="11"/>
        <v>8</v>
      </c>
    </row>
    <row r="293" spans="1:35" ht="15.75" customHeight="1">
      <c r="A293" s="238">
        <v>2212001020</v>
      </c>
      <c r="B293" s="239" t="s">
        <v>305</v>
      </c>
      <c r="C293" s="240" t="s">
        <v>6</v>
      </c>
      <c r="D293" s="6">
        <f>SUM(PACIENTES!D293+COMEDOR!D293+JORNADA!D293+'DIETOLOGÍA(S)'!D293)</f>
        <v>0</v>
      </c>
      <c r="E293" s="6">
        <f>SUM(PACIENTES!E293+COMEDOR!E293+JORNADA!E293+'DIETOLOGÍA(S)'!E293)</f>
        <v>0</v>
      </c>
      <c r="F293" s="6">
        <f>SUM(PACIENTES!F293+COMEDOR!F293+JORNADA!F293+'DIETOLOGÍA(S)'!F293)</f>
        <v>0</v>
      </c>
      <c r="G293" s="6">
        <f>SUM(PACIENTES!G293+COMEDOR!G293+JORNADA!G293+'DIETOLOGÍA(S)'!G293)</f>
        <v>0</v>
      </c>
      <c r="H293" s="6">
        <f>SUM(PACIENTES!H293+COMEDOR!H293+JORNADA!H293+'DIETOLOGÍA(S)'!H293)</f>
        <v>0</v>
      </c>
      <c r="I293" s="6">
        <f>SUM(PACIENTES!I293+COMEDOR!I293+JORNADA!I293+'DIETOLOGÍA(S)'!I293)</f>
        <v>0</v>
      </c>
      <c r="J293" s="6">
        <f>SUM(PACIENTES!J293+COMEDOR!J293+JORNADA!J293+'DIETOLOGÍA(S)'!J293)</f>
        <v>1</v>
      </c>
      <c r="K293" s="6">
        <f>SUM(PACIENTES!K293+COMEDOR!K293+JORNADA!K293+'DIETOLOGÍA(S)'!K293)</f>
        <v>0</v>
      </c>
      <c r="L293" s="6">
        <f>SUM(PACIENTES!L293+COMEDOR!L293+JORNADA!L293+'DIETOLOGÍA(S)'!L293)</f>
        <v>0</v>
      </c>
      <c r="M293" s="6">
        <f>SUM(PACIENTES!M293+COMEDOR!M293+JORNADA!M293+'DIETOLOGÍA(S)'!M293)</f>
        <v>0</v>
      </c>
      <c r="N293" s="6">
        <f>SUM(PACIENTES!N293+COMEDOR!N293+JORNADA!N293+'DIETOLOGÍA(S)'!N293)</f>
        <v>0</v>
      </c>
      <c r="O293" s="6">
        <f>SUM(PACIENTES!O293+COMEDOR!O293+JORNADA!O293+'DIETOLOGÍA(S)'!O293)</f>
        <v>0</v>
      </c>
      <c r="P293" s="6">
        <f>SUM(PACIENTES!P293+COMEDOR!P293+JORNADA!P293+'DIETOLOGÍA(S)'!P293)</f>
        <v>0</v>
      </c>
      <c r="Q293" s="6">
        <f>SUM(PACIENTES!Q293+COMEDOR!Q293+JORNADA!Q293+'DIETOLOGÍA(S)'!Q293)</f>
        <v>0</v>
      </c>
      <c r="R293" s="6">
        <f>SUM(PACIENTES!R293+COMEDOR!R293+JORNADA!R293+'DIETOLOGÍA(S)'!R293)</f>
        <v>0</v>
      </c>
      <c r="S293" s="6">
        <f>SUM(PACIENTES!S293+COMEDOR!S293+JORNADA!S293+'DIETOLOGÍA(S)'!S293)</f>
        <v>0</v>
      </c>
      <c r="T293" s="6">
        <f>SUM(PACIENTES!T293+COMEDOR!T293+JORNADA!T293+'DIETOLOGÍA(S)'!T293)</f>
        <v>0</v>
      </c>
      <c r="U293" s="6">
        <f>SUM(PACIENTES!U293+COMEDOR!U293+JORNADA!U293+'DIETOLOGÍA(S)'!U293)</f>
        <v>0</v>
      </c>
      <c r="V293" s="6">
        <f>SUM(PACIENTES!V293+COMEDOR!V293+JORNADA!V293+'DIETOLOGÍA(S)'!V293)</f>
        <v>0</v>
      </c>
      <c r="W293" s="6">
        <f>SUM(PACIENTES!W293+COMEDOR!W293+JORNADA!W293+'DIETOLOGÍA(S)'!W293)</f>
        <v>0</v>
      </c>
      <c r="X293" s="6">
        <f>SUM(PACIENTES!X293+COMEDOR!X293+JORNADA!X293+'DIETOLOGÍA(S)'!X293)</f>
        <v>0</v>
      </c>
      <c r="Y293" s="6">
        <f>SUM(PACIENTES!Y293+COMEDOR!Y293+JORNADA!Y293+'DIETOLOGÍA(S)'!Y293)</f>
        <v>0</v>
      </c>
      <c r="Z293" s="6">
        <f>SUM(PACIENTES!Z293+COMEDOR!Z293+JORNADA!Z293+'DIETOLOGÍA(S)'!Z293)</f>
        <v>0</v>
      </c>
      <c r="AA293" s="6">
        <f>SUM(PACIENTES!AA293+COMEDOR!AA293+JORNADA!AA293+'DIETOLOGÍA(S)'!AA293)</f>
        <v>0</v>
      </c>
      <c r="AB293" s="6">
        <f>SUM(PACIENTES!AB293+COMEDOR!AB293+JORNADA!AB293+'DIETOLOGÍA(S)'!AB293)</f>
        <v>0</v>
      </c>
      <c r="AC293" s="6">
        <f>SUM(PACIENTES!AC293+COMEDOR!AC293+JORNADA!AC293+'DIETOLOGÍA(S)'!AC293)</f>
        <v>0</v>
      </c>
      <c r="AD293" s="6">
        <f>SUM(PACIENTES!AD293+COMEDOR!AD293+JORNADA!AD293+'DIETOLOGÍA(S)'!AD293)</f>
        <v>0</v>
      </c>
      <c r="AE293" s="6">
        <f>SUM(PACIENTES!AE293+COMEDOR!AE293+JORNADA!AE293+'DIETOLOGÍA(S)'!AE293)</f>
        <v>0</v>
      </c>
      <c r="AF293" s="6">
        <f>SUM(PACIENTES!AF293+COMEDOR!AF293+JORNADA!AF293+'DIETOLOGÍA(S)'!AF293)</f>
        <v>0</v>
      </c>
      <c r="AG293" s="6">
        <f>SUM(PACIENTES!AG293+COMEDOR!AG293+JORNADA!AG293+'DIETOLOGÍA(S)'!AG293)</f>
        <v>0</v>
      </c>
      <c r="AH293" s="6">
        <f>SUM(PACIENTES!AH293+COMEDOR!AH293+JORNADA!AH293+'DIETOLOGÍA(S)'!AH293)</f>
        <v>0</v>
      </c>
      <c r="AI293" s="9">
        <f t="shared" si="11"/>
        <v>1</v>
      </c>
    </row>
    <row r="294" spans="1:35" ht="15.75" customHeight="1">
      <c r="A294" s="238">
        <v>2212001022</v>
      </c>
      <c r="B294" s="239" t="s">
        <v>306</v>
      </c>
      <c r="C294" s="240" t="s">
        <v>307</v>
      </c>
      <c r="D294" s="6">
        <f>SUM(PACIENTES!D294+COMEDOR!D294+JORNADA!D294+'DIETOLOGÍA(S)'!D294)</f>
        <v>3</v>
      </c>
      <c r="E294" s="6">
        <f>SUM(PACIENTES!E294+COMEDOR!E294+JORNADA!E294+'DIETOLOGÍA(S)'!E294)</f>
        <v>0</v>
      </c>
      <c r="F294" s="6">
        <f>SUM(PACIENTES!F294+COMEDOR!F294+JORNADA!F294+'DIETOLOGÍA(S)'!F294)</f>
        <v>3</v>
      </c>
      <c r="G294" s="6">
        <f>SUM(PACIENTES!G294+COMEDOR!G294+JORNADA!G294+'DIETOLOGÍA(S)'!G294)</f>
        <v>0</v>
      </c>
      <c r="H294" s="6">
        <f>SUM(PACIENTES!H294+COMEDOR!H294+JORNADA!H294+'DIETOLOGÍA(S)'!H294)</f>
        <v>3</v>
      </c>
      <c r="I294" s="6">
        <f>SUM(PACIENTES!I294+COMEDOR!I294+JORNADA!I294+'DIETOLOGÍA(S)'!I294)</f>
        <v>0</v>
      </c>
      <c r="J294" s="6">
        <f>SUM(PACIENTES!J294+COMEDOR!J294+JORNADA!J294+'DIETOLOGÍA(S)'!J294)</f>
        <v>0</v>
      </c>
      <c r="K294" s="6">
        <f>SUM(PACIENTES!K294+COMEDOR!K294+JORNADA!K294+'DIETOLOGÍA(S)'!K294)</f>
        <v>3</v>
      </c>
      <c r="L294" s="6">
        <f>SUM(PACIENTES!L294+COMEDOR!L294+JORNADA!L294+'DIETOLOGÍA(S)'!L294)</f>
        <v>3</v>
      </c>
      <c r="M294" s="6">
        <f>SUM(PACIENTES!M294+COMEDOR!M294+JORNADA!M294+'DIETOLOGÍA(S)'!M294)</f>
        <v>0</v>
      </c>
      <c r="N294" s="6">
        <f>SUM(PACIENTES!N294+COMEDOR!N294+JORNADA!N294+'DIETOLOGÍA(S)'!N294)</f>
        <v>0</v>
      </c>
      <c r="O294" s="6">
        <f>SUM(PACIENTES!O294+COMEDOR!O294+JORNADA!O294+'DIETOLOGÍA(S)'!O294)</f>
        <v>0</v>
      </c>
      <c r="P294" s="6">
        <f>SUM(PACIENTES!P294+COMEDOR!P294+JORNADA!P294+'DIETOLOGÍA(S)'!P294)</f>
        <v>3</v>
      </c>
      <c r="Q294" s="6">
        <f>SUM(PACIENTES!Q294+COMEDOR!Q294+JORNADA!Q294+'DIETOLOGÍA(S)'!Q294)</f>
        <v>0</v>
      </c>
      <c r="R294" s="6">
        <f>SUM(PACIENTES!R294+COMEDOR!R294+JORNADA!R294+'DIETOLOGÍA(S)'!R294)</f>
        <v>0</v>
      </c>
      <c r="S294" s="6">
        <f>SUM(PACIENTES!S294+COMEDOR!S294+JORNADA!S294+'DIETOLOGÍA(S)'!S294)</f>
        <v>0</v>
      </c>
      <c r="T294" s="6">
        <f>SUM(PACIENTES!T294+COMEDOR!T294+JORNADA!T294+'DIETOLOGÍA(S)'!T294)</f>
        <v>0</v>
      </c>
      <c r="U294" s="6">
        <f>SUM(PACIENTES!U294+COMEDOR!U294+JORNADA!U294+'DIETOLOGÍA(S)'!U294)</f>
        <v>3</v>
      </c>
      <c r="V294" s="6">
        <f>SUM(PACIENTES!V294+COMEDOR!V294+JORNADA!V294+'DIETOLOGÍA(S)'!V294)</f>
        <v>0</v>
      </c>
      <c r="W294" s="6">
        <f>SUM(PACIENTES!W294+COMEDOR!W294+JORNADA!W294+'DIETOLOGÍA(S)'!W294)</f>
        <v>3</v>
      </c>
      <c r="X294" s="6">
        <f>SUM(PACIENTES!X294+COMEDOR!X294+JORNADA!X294+'DIETOLOGÍA(S)'!X294)</f>
        <v>0</v>
      </c>
      <c r="Y294" s="6">
        <f>SUM(PACIENTES!Y294+COMEDOR!Y294+JORNADA!Y294+'DIETOLOGÍA(S)'!Y294)</f>
        <v>3</v>
      </c>
      <c r="Z294" s="6">
        <f>SUM(PACIENTES!Z294+COMEDOR!Z294+JORNADA!Z294+'DIETOLOGÍA(S)'!Z294)</f>
        <v>0</v>
      </c>
      <c r="AA294" s="6">
        <f>SUM(PACIENTES!AA294+COMEDOR!AA294+JORNADA!AA294+'DIETOLOGÍA(S)'!AA294)</f>
        <v>0</v>
      </c>
      <c r="AB294" s="6">
        <f>SUM(PACIENTES!AB294+COMEDOR!AB294+JORNADA!AB294+'DIETOLOGÍA(S)'!AB294)</f>
        <v>0</v>
      </c>
      <c r="AC294" s="6">
        <f>SUM(PACIENTES!AC294+COMEDOR!AC294+JORNADA!AC294+'DIETOLOGÍA(S)'!AC294)</f>
        <v>0</v>
      </c>
      <c r="AD294" s="6">
        <f>SUM(PACIENTES!AD294+COMEDOR!AD294+JORNADA!AD294+'DIETOLOGÍA(S)'!AD294)</f>
        <v>0</v>
      </c>
      <c r="AE294" s="6">
        <f>SUM(PACIENTES!AE294+COMEDOR!AE294+JORNADA!AE294+'DIETOLOGÍA(S)'!AE294)</f>
        <v>0</v>
      </c>
      <c r="AF294" s="6">
        <f>SUM(PACIENTES!AF294+COMEDOR!AF294+JORNADA!AF294+'DIETOLOGÍA(S)'!AF294)</f>
        <v>0</v>
      </c>
      <c r="AG294" s="6">
        <f>SUM(PACIENTES!AG294+COMEDOR!AG294+JORNADA!AG294+'DIETOLOGÍA(S)'!AG294)</f>
        <v>0</v>
      </c>
      <c r="AH294" s="6">
        <f>SUM(PACIENTES!AH294+COMEDOR!AH294+JORNADA!AH294+'DIETOLOGÍA(S)'!AH294)</f>
        <v>3</v>
      </c>
      <c r="AI294" s="9">
        <f t="shared" si="11"/>
        <v>30</v>
      </c>
    </row>
    <row r="295" spans="1:35" ht="15.75" customHeight="1">
      <c r="A295" s="241">
        <v>2212007018</v>
      </c>
      <c r="B295" s="242" t="s">
        <v>308</v>
      </c>
      <c r="C295" s="241" t="s">
        <v>86</v>
      </c>
      <c r="D295" s="6">
        <f>SUM(PACIENTES!D295+COMEDOR!D295+JORNADA!D295+'DIETOLOGÍA(S)'!D295)</f>
        <v>0</v>
      </c>
      <c r="E295" s="6">
        <f>SUM(PACIENTES!E295+COMEDOR!E295+JORNADA!E295+'DIETOLOGÍA(S)'!E295)</f>
        <v>0</v>
      </c>
      <c r="F295" s="6">
        <f>SUM(PACIENTES!F295+COMEDOR!F295+JORNADA!F295+'DIETOLOGÍA(S)'!F295)</f>
        <v>3</v>
      </c>
      <c r="G295" s="6">
        <f>SUM(PACIENTES!G295+COMEDOR!G295+JORNADA!G295+'DIETOLOGÍA(S)'!G295)</f>
        <v>0</v>
      </c>
      <c r="H295" s="6">
        <f>SUM(PACIENTES!H295+COMEDOR!H295+JORNADA!H295+'DIETOLOGÍA(S)'!H295)</f>
        <v>0</v>
      </c>
      <c r="I295" s="6">
        <f>SUM(PACIENTES!I295+COMEDOR!I295+JORNADA!I295+'DIETOLOGÍA(S)'!I295)</f>
        <v>0</v>
      </c>
      <c r="J295" s="6">
        <f>SUM(PACIENTES!J295+COMEDOR!J295+JORNADA!J295+'DIETOLOGÍA(S)'!J295)</f>
        <v>0</v>
      </c>
      <c r="K295" s="6">
        <f>SUM(PACIENTES!K295+COMEDOR!K295+JORNADA!K295+'DIETOLOGÍA(S)'!K295)</f>
        <v>0</v>
      </c>
      <c r="L295" s="6">
        <f>SUM(PACIENTES!L295+COMEDOR!L295+JORNADA!L295+'DIETOLOGÍA(S)'!L295)</f>
        <v>0</v>
      </c>
      <c r="M295" s="6">
        <f>SUM(PACIENTES!M295+COMEDOR!M295+JORNADA!M295+'DIETOLOGÍA(S)'!M295)</f>
        <v>0</v>
      </c>
      <c r="N295" s="6">
        <f>SUM(PACIENTES!N295+COMEDOR!N295+JORNADA!N295+'DIETOLOGÍA(S)'!N295)</f>
        <v>0</v>
      </c>
      <c r="O295" s="6">
        <f>SUM(PACIENTES!O295+COMEDOR!O295+JORNADA!O295+'DIETOLOGÍA(S)'!O295)</f>
        <v>3</v>
      </c>
      <c r="P295" s="6">
        <f>SUM(PACIENTES!P295+COMEDOR!P295+JORNADA!P295+'DIETOLOGÍA(S)'!P295)</f>
        <v>0</v>
      </c>
      <c r="Q295" s="6">
        <f>SUM(PACIENTES!Q295+COMEDOR!Q295+JORNADA!Q295+'DIETOLOGÍA(S)'!Q295)</f>
        <v>0</v>
      </c>
      <c r="R295" s="6">
        <f>SUM(PACIENTES!R295+COMEDOR!R295+JORNADA!R295+'DIETOLOGÍA(S)'!R295)</f>
        <v>2</v>
      </c>
      <c r="S295" s="6">
        <f>SUM(PACIENTES!S295+COMEDOR!S295+JORNADA!S295+'DIETOLOGÍA(S)'!S295)</f>
        <v>0</v>
      </c>
      <c r="T295" s="6">
        <f>SUM(PACIENTES!T295+COMEDOR!T295+JORNADA!T295+'DIETOLOGÍA(S)'!T295)</f>
        <v>0</v>
      </c>
      <c r="U295" s="6">
        <f>SUM(PACIENTES!U295+COMEDOR!U295+JORNADA!U295+'DIETOLOGÍA(S)'!U295)</f>
        <v>0</v>
      </c>
      <c r="V295" s="6">
        <f>SUM(PACIENTES!V295+COMEDOR!V295+JORNADA!V295+'DIETOLOGÍA(S)'!V295)</f>
        <v>0</v>
      </c>
      <c r="W295" s="6">
        <f>SUM(PACIENTES!W295+COMEDOR!W295+JORNADA!W295+'DIETOLOGÍA(S)'!W295)</f>
        <v>0</v>
      </c>
      <c r="X295" s="6">
        <f>SUM(PACIENTES!X295+COMEDOR!X295+JORNADA!X295+'DIETOLOGÍA(S)'!X295)</f>
        <v>0</v>
      </c>
      <c r="Y295" s="6">
        <f>SUM(PACIENTES!Y295+COMEDOR!Y295+JORNADA!Y295+'DIETOLOGÍA(S)'!Y295)</f>
        <v>0</v>
      </c>
      <c r="Z295" s="6">
        <f>SUM(PACIENTES!Z295+COMEDOR!Z295+JORNADA!Z295+'DIETOLOGÍA(S)'!Z295)</f>
        <v>0</v>
      </c>
      <c r="AA295" s="6">
        <f>SUM(PACIENTES!AA295+COMEDOR!AA295+JORNADA!AA295+'DIETOLOGÍA(S)'!AA295)</f>
        <v>0</v>
      </c>
      <c r="AB295" s="6">
        <f>SUM(PACIENTES!AB295+COMEDOR!AB295+JORNADA!AB295+'DIETOLOGÍA(S)'!AB295)</f>
        <v>0</v>
      </c>
      <c r="AC295" s="6">
        <f>SUM(PACIENTES!AC295+COMEDOR!AC295+JORNADA!AC295+'DIETOLOGÍA(S)'!AC295)</f>
        <v>0</v>
      </c>
      <c r="AD295" s="6">
        <f>SUM(PACIENTES!AD295+COMEDOR!AD295+JORNADA!AD295+'DIETOLOGÍA(S)'!AD295)</f>
        <v>0</v>
      </c>
      <c r="AE295" s="6">
        <f>SUM(PACIENTES!AE295+COMEDOR!AE295+JORNADA!AE295+'DIETOLOGÍA(S)'!AE295)</f>
        <v>0</v>
      </c>
      <c r="AF295" s="6">
        <f>SUM(PACIENTES!AF295+COMEDOR!AF295+JORNADA!AF295+'DIETOLOGÍA(S)'!AF295)</f>
        <v>0</v>
      </c>
      <c r="AG295" s="6">
        <f>SUM(PACIENTES!AG295+COMEDOR!AG295+JORNADA!AG295+'DIETOLOGÍA(S)'!AG295)</f>
        <v>3</v>
      </c>
      <c r="AH295" s="6">
        <f>SUM(PACIENTES!AH295+COMEDOR!AH295+JORNADA!AH295+'DIETOLOGÍA(S)'!AH295)</f>
        <v>0</v>
      </c>
      <c r="AI295" s="9">
        <f t="shared" si="11"/>
        <v>11</v>
      </c>
    </row>
    <row r="296" spans="1:35" ht="15.75" customHeight="1">
      <c r="A296" s="238">
        <v>2212001026</v>
      </c>
      <c r="B296" s="239" t="s">
        <v>309</v>
      </c>
      <c r="C296" s="240" t="s">
        <v>6</v>
      </c>
      <c r="D296" s="6">
        <f>SUM(PACIENTES!D296+COMEDOR!D296+JORNADA!D296+'DIETOLOGÍA(S)'!D296)</f>
        <v>2</v>
      </c>
      <c r="E296" s="6">
        <f>SUM(PACIENTES!E296+COMEDOR!E296+JORNADA!E296+'DIETOLOGÍA(S)'!E296)</f>
        <v>2</v>
      </c>
      <c r="F296" s="6">
        <f>SUM(PACIENTES!F296+COMEDOR!F296+JORNADA!F296+'DIETOLOGÍA(S)'!F296)</f>
        <v>2</v>
      </c>
      <c r="G296" s="6">
        <f>SUM(PACIENTES!G296+COMEDOR!G296+JORNADA!G296+'DIETOLOGÍA(S)'!G296)</f>
        <v>2</v>
      </c>
      <c r="H296" s="6">
        <f>SUM(PACIENTES!H296+COMEDOR!H296+JORNADA!H296+'DIETOLOGÍA(S)'!H296)</f>
        <v>3</v>
      </c>
      <c r="I296" s="6">
        <f>SUM(PACIENTES!I296+COMEDOR!I296+JORNADA!I296+'DIETOLOGÍA(S)'!I296)</f>
        <v>3</v>
      </c>
      <c r="J296" s="6">
        <f>SUM(PACIENTES!J296+COMEDOR!J296+JORNADA!J296+'DIETOLOGÍA(S)'!J296)</f>
        <v>3</v>
      </c>
      <c r="K296" s="6">
        <f>SUM(PACIENTES!K296+COMEDOR!K296+JORNADA!K296+'DIETOLOGÍA(S)'!K296)</f>
        <v>1</v>
      </c>
      <c r="L296" s="6">
        <f>SUM(PACIENTES!L296+COMEDOR!L296+JORNADA!L296+'DIETOLOGÍA(S)'!L296)</f>
        <v>2</v>
      </c>
      <c r="M296" s="6">
        <f>SUM(PACIENTES!M296+COMEDOR!M296+JORNADA!M296+'DIETOLOGÍA(S)'!M296)</f>
        <v>3</v>
      </c>
      <c r="N296" s="6">
        <f>SUM(PACIENTES!N296+COMEDOR!N296+JORNADA!N296+'DIETOLOGÍA(S)'!N296)</f>
        <v>2</v>
      </c>
      <c r="O296" s="6">
        <f>SUM(PACIENTES!O296+COMEDOR!O296+JORNADA!O296+'DIETOLOGÍA(S)'!O296)</f>
        <v>3</v>
      </c>
      <c r="P296" s="6">
        <f>SUM(PACIENTES!P296+COMEDOR!P296+JORNADA!P296+'DIETOLOGÍA(S)'!P296)</f>
        <v>2</v>
      </c>
      <c r="Q296" s="6">
        <f>SUM(PACIENTES!Q296+COMEDOR!Q296+JORNADA!Q296+'DIETOLOGÍA(S)'!Q296)</f>
        <v>5</v>
      </c>
      <c r="R296" s="6">
        <f>SUM(PACIENTES!R296+COMEDOR!R296+JORNADA!R296+'DIETOLOGÍA(S)'!R296)</f>
        <v>2</v>
      </c>
      <c r="S296" s="6">
        <f>SUM(PACIENTES!S296+COMEDOR!S296+JORNADA!S296+'DIETOLOGÍA(S)'!S296)</f>
        <v>3</v>
      </c>
      <c r="T296" s="6">
        <f>SUM(PACIENTES!T296+COMEDOR!T296+JORNADA!T296+'DIETOLOGÍA(S)'!T296)</f>
        <v>3</v>
      </c>
      <c r="U296" s="6">
        <f>SUM(PACIENTES!U296+COMEDOR!U296+JORNADA!U296+'DIETOLOGÍA(S)'!U296)</f>
        <v>3</v>
      </c>
      <c r="V296" s="6">
        <f>SUM(PACIENTES!V296+COMEDOR!V296+JORNADA!V296+'DIETOLOGÍA(S)'!V296)</f>
        <v>1</v>
      </c>
      <c r="W296" s="6">
        <f>SUM(PACIENTES!W296+COMEDOR!W296+JORNADA!W296+'DIETOLOGÍA(S)'!W296)</f>
        <v>4</v>
      </c>
      <c r="X296" s="6">
        <f>SUM(PACIENTES!X296+COMEDOR!X296+JORNADA!X296+'DIETOLOGÍA(S)'!X296)</f>
        <v>2</v>
      </c>
      <c r="Y296" s="6">
        <f>SUM(PACIENTES!Y296+COMEDOR!Y296+JORNADA!Y296+'DIETOLOGÍA(S)'!Y296)</f>
        <v>4</v>
      </c>
      <c r="Z296" s="6">
        <f>SUM(PACIENTES!Z296+COMEDOR!Z296+JORNADA!Z296+'DIETOLOGÍA(S)'!Z296)</f>
        <v>2</v>
      </c>
      <c r="AA296" s="6">
        <f>SUM(PACIENTES!AA296+COMEDOR!AA296+JORNADA!AA296+'DIETOLOGÍA(S)'!AA296)</f>
        <v>3</v>
      </c>
      <c r="AB296" s="6">
        <f>SUM(PACIENTES!AB296+COMEDOR!AB296+JORNADA!AB296+'DIETOLOGÍA(S)'!AB296)</f>
        <v>3</v>
      </c>
      <c r="AC296" s="6">
        <f>SUM(PACIENTES!AC296+COMEDOR!AC296+JORNADA!AC296+'DIETOLOGÍA(S)'!AC296)</f>
        <v>2</v>
      </c>
      <c r="AD296" s="6">
        <f>SUM(PACIENTES!AD296+COMEDOR!AD296+JORNADA!AD296+'DIETOLOGÍA(S)'!AD296)</f>
        <v>2</v>
      </c>
      <c r="AE296" s="6">
        <f>SUM(PACIENTES!AE296+COMEDOR!AE296+JORNADA!AE296+'DIETOLOGÍA(S)'!AE296)</f>
        <v>2</v>
      </c>
      <c r="AF296" s="6">
        <f>SUM(PACIENTES!AF296+COMEDOR!AF296+JORNADA!AF296+'DIETOLOGÍA(S)'!AF296)</f>
        <v>2</v>
      </c>
      <c r="AG296" s="6">
        <f>SUM(PACIENTES!AG296+COMEDOR!AG296+JORNADA!AG296+'DIETOLOGÍA(S)'!AG296)</f>
        <v>3</v>
      </c>
      <c r="AH296" s="6">
        <f>SUM(PACIENTES!AH296+COMEDOR!AH296+JORNADA!AH296+'DIETOLOGÍA(S)'!AH296)</f>
        <v>2</v>
      </c>
      <c r="AI296" s="9">
        <f t="shared" si="11"/>
        <v>78</v>
      </c>
    </row>
    <row r="297" spans="1:35" ht="15.75" customHeight="1">
      <c r="A297" s="238">
        <v>2212001027</v>
      </c>
      <c r="B297" s="239" t="s">
        <v>310</v>
      </c>
      <c r="C297" s="240" t="s">
        <v>171</v>
      </c>
      <c r="D297" s="6">
        <f>SUM(PACIENTES!D297+COMEDOR!D297+JORNADA!D297+'DIETOLOGÍA(S)'!D297)</f>
        <v>0</v>
      </c>
      <c r="E297" s="6">
        <f>SUM(PACIENTES!E297+COMEDOR!E297+JORNADA!E297+'DIETOLOGÍA(S)'!E297)</f>
        <v>0</v>
      </c>
      <c r="F297" s="6">
        <f>SUM(PACIENTES!F297+COMEDOR!F297+JORNADA!F297+'DIETOLOGÍA(S)'!F297)</f>
        <v>0</v>
      </c>
      <c r="G297" s="6">
        <f>SUM(PACIENTES!G297+COMEDOR!G297+JORNADA!G297+'DIETOLOGÍA(S)'!G297)</f>
        <v>0</v>
      </c>
      <c r="H297" s="6">
        <f>SUM(PACIENTES!H297+COMEDOR!H297+JORNADA!H297+'DIETOLOGÍA(S)'!H297)</f>
        <v>0</v>
      </c>
      <c r="I297" s="6">
        <f>SUM(PACIENTES!I297+COMEDOR!I297+JORNADA!I297+'DIETOLOGÍA(S)'!I297)</f>
        <v>0</v>
      </c>
      <c r="J297" s="6">
        <f>SUM(PACIENTES!J297+COMEDOR!J297+JORNADA!J297+'DIETOLOGÍA(S)'!J297)</f>
        <v>0</v>
      </c>
      <c r="K297" s="6">
        <f>SUM(PACIENTES!K297+COMEDOR!K297+JORNADA!K297+'DIETOLOGÍA(S)'!K297)</f>
        <v>0</v>
      </c>
      <c r="L297" s="6">
        <f>SUM(PACIENTES!L297+COMEDOR!L297+JORNADA!L297+'DIETOLOGÍA(S)'!L297)</f>
        <v>2</v>
      </c>
      <c r="M297" s="6">
        <f>SUM(PACIENTES!M297+COMEDOR!M297+JORNADA!M297+'DIETOLOGÍA(S)'!M297)</f>
        <v>1</v>
      </c>
      <c r="N297" s="6">
        <f>SUM(PACIENTES!N297+COMEDOR!N297+JORNADA!N297+'DIETOLOGÍA(S)'!N297)</f>
        <v>0</v>
      </c>
      <c r="O297" s="6">
        <f>SUM(PACIENTES!O297+COMEDOR!O297+JORNADA!O297+'DIETOLOGÍA(S)'!O297)</f>
        <v>0</v>
      </c>
      <c r="P297" s="6">
        <f>SUM(PACIENTES!P297+COMEDOR!P297+JORNADA!P297+'DIETOLOGÍA(S)'!P297)</f>
        <v>0</v>
      </c>
      <c r="Q297" s="6">
        <f>SUM(PACIENTES!Q297+COMEDOR!Q297+JORNADA!Q297+'DIETOLOGÍA(S)'!Q297)</f>
        <v>1</v>
      </c>
      <c r="R297" s="6">
        <f>SUM(PACIENTES!R297+COMEDOR!R297+JORNADA!R297+'DIETOLOGÍA(S)'!R297)</f>
        <v>0</v>
      </c>
      <c r="S297" s="6">
        <f>SUM(PACIENTES!S297+COMEDOR!S297+JORNADA!S297+'DIETOLOGÍA(S)'!S297)</f>
        <v>0</v>
      </c>
      <c r="T297" s="6">
        <f>SUM(PACIENTES!T297+COMEDOR!T297+JORNADA!T297+'DIETOLOGÍA(S)'!T297)</f>
        <v>0</v>
      </c>
      <c r="U297" s="6">
        <f>SUM(PACIENTES!U297+COMEDOR!U297+JORNADA!U297+'DIETOLOGÍA(S)'!U297)</f>
        <v>0</v>
      </c>
      <c r="V297" s="6">
        <f>SUM(PACIENTES!V297+COMEDOR!V297+JORNADA!V297+'DIETOLOGÍA(S)'!V297)</f>
        <v>0</v>
      </c>
      <c r="W297" s="6">
        <f>SUM(PACIENTES!W297+COMEDOR!W297+JORNADA!W297+'DIETOLOGÍA(S)'!W297)</f>
        <v>0</v>
      </c>
      <c r="X297" s="6">
        <f>SUM(PACIENTES!X297+COMEDOR!X297+JORNADA!X297+'DIETOLOGÍA(S)'!X297)</f>
        <v>0</v>
      </c>
      <c r="Y297" s="6">
        <f>SUM(PACIENTES!Y297+COMEDOR!Y297+JORNADA!Y297+'DIETOLOGÍA(S)'!Y297)</f>
        <v>0</v>
      </c>
      <c r="Z297" s="6">
        <f>SUM(PACIENTES!Z297+COMEDOR!Z297+JORNADA!Z297+'DIETOLOGÍA(S)'!Z297)</f>
        <v>0</v>
      </c>
      <c r="AA297" s="6">
        <f>SUM(PACIENTES!AA297+COMEDOR!AA297+JORNADA!AA297+'DIETOLOGÍA(S)'!AA297)</f>
        <v>0</v>
      </c>
      <c r="AB297" s="6">
        <f>SUM(PACIENTES!AB297+COMEDOR!AB297+JORNADA!AB297+'DIETOLOGÍA(S)'!AB297)</f>
        <v>0</v>
      </c>
      <c r="AC297" s="6">
        <f>SUM(PACIENTES!AC297+COMEDOR!AC297+JORNADA!AC297+'DIETOLOGÍA(S)'!AC297)</f>
        <v>0</v>
      </c>
      <c r="AD297" s="6">
        <f>SUM(PACIENTES!AD297+COMEDOR!AD297+JORNADA!AD297+'DIETOLOGÍA(S)'!AD297)</f>
        <v>0</v>
      </c>
      <c r="AE297" s="6">
        <f>SUM(PACIENTES!AE297+COMEDOR!AE297+JORNADA!AE297+'DIETOLOGÍA(S)'!AE297)</f>
        <v>1</v>
      </c>
      <c r="AF297" s="6">
        <f>SUM(PACIENTES!AF297+COMEDOR!AF297+JORNADA!AF297+'DIETOLOGÍA(S)'!AF297)</f>
        <v>0</v>
      </c>
      <c r="AG297" s="6">
        <f>SUM(PACIENTES!AG297+COMEDOR!AG297+JORNADA!AG297+'DIETOLOGÍA(S)'!AG297)</f>
        <v>0</v>
      </c>
      <c r="AH297" s="6">
        <f>SUM(PACIENTES!AH297+COMEDOR!AH297+JORNADA!AH297+'DIETOLOGÍA(S)'!AH297)</f>
        <v>1</v>
      </c>
      <c r="AI297" s="9">
        <f t="shared" si="11"/>
        <v>6</v>
      </c>
    </row>
    <row r="298" spans="1:35" ht="15.75" customHeight="1">
      <c r="A298" s="238">
        <v>2212001028</v>
      </c>
      <c r="B298" s="239" t="s">
        <v>311</v>
      </c>
      <c r="C298" s="240" t="s">
        <v>296</v>
      </c>
      <c r="D298" s="6">
        <f>SUM(PACIENTES!D298+COMEDOR!D298+JORNADA!D298+'DIETOLOGÍA(S)'!D298)</f>
        <v>24</v>
      </c>
      <c r="E298" s="6">
        <f>SUM(PACIENTES!E298+COMEDOR!E298+JORNADA!E298+'DIETOLOGÍA(S)'!E298)</f>
        <v>0</v>
      </c>
      <c r="F298" s="6">
        <f>SUM(PACIENTES!F298+COMEDOR!F298+JORNADA!F298+'DIETOLOGÍA(S)'!F298)</f>
        <v>0</v>
      </c>
      <c r="G298" s="6">
        <f>SUM(PACIENTES!G298+COMEDOR!G298+JORNADA!G298+'DIETOLOGÍA(S)'!G298)</f>
        <v>0</v>
      </c>
      <c r="H298" s="6">
        <f>SUM(PACIENTES!H298+COMEDOR!H298+JORNADA!H298+'DIETOLOGÍA(S)'!H298)</f>
        <v>0</v>
      </c>
      <c r="I298" s="6">
        <f>SUM(PACIENTES!I298+COMEDOR!I298+JORNADA!I298+'DIETOLOGÍA(S)'!I298)</f>
        <v>24</v>
      </c>
      <c r="J298" s="6">
        <f>SUM(PACIENTES!J298+COMEDOR!J298+JORNADA!J298+'DIETOLOGÍA(S)'!J298)</f>
        <v>25</v>
      </c>
      <c r="K298" s="6">
        <f>SUM(PACIENTES!K298+COMEDOR!K298+JORNADA!K298+'DIETOLOGÍA(S)'!K298)</f>
        <v>0</v>
      </c>
      <c r="L298" s="6">
        <f>SUM(PACIENTES!L298+COMEDOR!L298+JORNADA!L298+'DIETOLOGÍA(S)'!L298)</f>
        <v>0</v>
      </c>
      <c r="M298" s="6">
        <f>SUM(PACIENTES!M298+COMEDOR!M298+JORNADA!M298+'DIETOLOGÍA(S)'!M298)</f>
        <v>20</v>
      </c>
      <c r="N298" s="6">
        <f>SUM(PACIENTES!N298+COMEDOR!N298+JORNADA!N298+'DIETOLOGÍA(S)'!N298)</f>
        <v>0</v>
      </c>
      <c r="O298" s="6">
        <f>SUM(PACIENTES!O298+COMEDOR!O298+JORNADA!O298+'DIETOLOGÍA(S)'!O298)</f>
        <v>0</v>
      </c>
      <c r="P298" s="6">
        <f>SUM(PACIENTES!P298+COMEDOR!P298+JORNADA!P298+'DIETOLOGÍA(S)'!P298)</f>
        <v>0</v>
      </c>
      <c r="Q298" s="6">
        <f>SUM(PACIENTES!Q298+COMEDOR!Q298+JORNADA!Q298+'DIETOLOGÍA(S)'!Q298)</f>
        <v>0</v>
      </c>
      <c r="R298" s="6">
        <f>SUM(PACIENTES!R298+COMEDOR!R298+JORNADA!R298+'DIETOLOGÍA(S)'!R298)</f>
        <v>0</v>
      </c>
      <c r="S298" s="6">
        <f>SUM(PACIENTES!S298+COMEDOR!S298+JORNADA!S298+'DIETOLOGÍA(S)'!S298)</f>
        <v>24</v>
      </c>
      <c r="T298" s="6">
        <f>SUM(PACIENTES!T298+COMEDOR!T298+JORNADA!T298+'DIETOLOGÍA(S)'!T298)</f>
        <v>0</v>
      </c>
      <c r="U298" s="6">
        <f>SUM(PACIENTES!U298+COMEDOR!U298+JORNADA!U298+'DIETOLOGÍA(S)'!U298)</f>
        <v>0</v>
      </c>
      <c r="V298" s="6">
        <f>SUM(PACIENTES!V298+COMEDOR!V298+JORNADA!V298+'DIETOLOGÍA(S)'!V298)</f>
        <v>0</v>
      </c>
      <c r="W298" s="6">
        <f>SUM(PACIENTES!W298+COMEDOR!W298+JORNADA!W298+'DIETOLOGÍA(S)'!W298)</f>
        <v>0</v>
      </c>
      <c r="X298" s="6">
        <f>SUM(PACIENTES!X298+COMEDOR!X298+JORNADA!X298+'DIETOLOGÍA(S)'!X298)</f>
        <v>24</v>
      </c>
      <c r="Y298" s="6">
        <f>SUM(PACIENTES!Y298+COMEDOR!Y298+JORNADA!Y298+'DIETOLOGÍA(S)'!Y298)</f>
        <v>24</v>
      </c>
      <c r="Z298" s="6">
        <f>SUM(PACIENTES!Z298+COMEDOR!Z298+JORNADA!Z298+'DIETOLOGÍA(S)'!Z298)</f>
        <v>0</v>
      </c>
      <c r="AA298" s="6">
        <f>SUM(PACIENTES!AA298+COMEDOR!AA298+JORNADA!AA298+'DIETOLOGÍA(S)'!AA298)</f>
        <v>0</v>
      </c>
      <c r="AB298" s="6">
        <f>SUM(PACIENTES!AB298+COMEDOR!AB298+JORNADA!AB298+'DIETOLOGÍA(S)'!AB298)</f>
        <v>0</v>
      </c>
      <c r="AC298" s="6">
        <f>SUM(PACIENTES!AC298+COMEDOR!AC298+JORNADA!AC298+'DIETOLOGÍA(S)'!AC298)</f>
        <v>0</v>
      </c>
      <c r="AD298" s="6">
        <f>SUM(PACIENTES!AD298+COMEDOR!AD298+JORNADA!AD298+'DIETOLOGÍA(S)'!AD298)</f>
        <v>0</v>
      </c>
      <c r="AE298" s="6">
        <f>SUM(PACIENTES!AE298+COMEDOR!AE298+JORNADA!AE298+'DIETOLOGÍA(S)'!AE298)</f>
        <v>0</v>
      </c>
      <c r="AF298" s="6">
        <f>SUM(PACIENTES!AF298+COMEDOR!AF298+JORNADA!AF298+'DIETOLOGÍA(S)'!AF298)</f>
        <v>0</v>
      </c>
      <c r="AG298" s="6">
        <f>SUM(PACIENTES!AG298+COMEDOR!AG298+JORNADA!AG298+'DIETOLOGÍA(S)'!AG298)</f>
        <v>0</v>
      </c>
      <c r="AH298" s="6">
        <f>SUM(PACIENTES!AH298+COMEDOR!AH298+JORNADA!AH298+'DIETOLOGÍA(S)'!AH298)</f>
        <v>0</v>
      </c>
      <c r="AI298" s="9">
        <f t="shared" si="11"/>
        <v>165</v>
      </c>
    </row>
    <row r="299" spans="1:35" ht="15.75" customHeight="1">
      <c r="A299" s="238">
        <v>2212001029</v>
      </c>
      <c r="B299" s="243" t="s">
        <v>312</v>
      </c>
      <c r="C299" s="240" t="s">
        <v>313</v>
      </c>
      <c r="D299" s="6">
        <f>SUM(PACIENTES!D299+COMEDOR!D299+JORNADA!D299+'DIETOLOGÍA(S)'!D299)</f>
        <v>0</v>
      </c>
      <c r="E299" s="6">
        <f>SUM(PACIENTES!E299+COMEDOR!E299+JORNADA!E299+'DIETOLOGÍA(S)'!E299)</f>
        <v>0</v>
      </c>
      <c r="F299" s="6">
        <f>SUM(PACIENTES!F299+COMEDOR!F299+JORNADA!F299+'DIETOLOGÍA(S)'!F299)</f>
        <v>0</v>
      </c>
      <c r="G299" s="6">
        <f>SUM(PACIENTES!G299+COMEDOR!G299+JORNADA!G299+'DIETOLOGÍA(S)'!G299)</f>
        <v>0</v>
      </c>
      <c r="H299" s="6">
        <f>SUM(PACIENTES!H299+COMEDOR!H299+JORNADA!H299+'DIETOLOGÍA(S)'!H299)</f>
        <v>0</v>
      </c>
      <c r="I299" s="6">
        <f>SUM(PACIENTES!I299+COMEDOR!I299+JORNADA!I299+'DIETOLOGÍA(S)'!I299)</f>
        <v>0</v>
      </c>
      <c r="J299" s="6">
        <f>SUM(PACIENTES!J299+COMEDOR!J299+JORNADA!J299+'DIETOLOGÍA(S)'!J299)</f>
        <v>0</v>
      </c>
      <c r="K299" s="6">
        <f>SUM(PACIENTES!K299+COMEDOR!K299+JORNADA!K299+'DIETOLOGÍA(S)'!K299)</f>
        <v>0</v>
      </c>
      <c r="L299" s="6">
        <f>SUM(PACIENTES!L299+COMEDOR!L299+JORNADA!L299+'DIETOLOGÍA(S)'!L299)</f>
        <v>0</v>
      </c>
      <c r="M299" s="6">
        <f>SUM(PACIENTES!M299+COMEDOR!M299+JORNADA!M299+'DIETOLOGÍA(S)'!M299)</f>
        <v>0</v>
      </c>
      <c r="N299" s="6">
        <f>SUM(PACIENTES!N299+COMEDOR!N299+JORNADA!N299+'DIETOLOGÍA(S)'!N299)</f>
        <v>0</v>
      </c>
      <c r="O299" s="6">
        <f>SUM(PACIENTES!O299+COMEDOR!O299+JORNADA!O299+'DIETOLOGÍA(S)'!O299)</f>
        <v>0</v>
      </c>
      <c r="P299" s="6">
        <f>SUM(PACIENTES!P299+COMEDOR!P299+JORNADA!P299+'DIETOLOGÍA(S)'!P299)</f>
        <v>0</v>
      </c>
      <c r="Q299" s="6">
        <f>SUM(PACIENTES!Q299+COMEDOR!Q299+JORNADA!Q299+'DIETOLOGÍA(S)'!Q299)</f>
        <v>0</v>
      </c>
      <c r="R299" s="6">
        <f>SUM(PACIENTES!R299+COMEDOR!R299+JORNADA!R299+'DIETOLOGÍA(S)'!R299)</f>
        <v>0</v>
      </c>
      <c r="S299" s="6">
        <f>SUM(PACIENTES!S299+COMEDOR!S299+JORNADA!S299+'DIETOLOGÍA(S)'!S299)</f>
        <v>0</v>
      </c>
      <c r="T299" s="6">
        <f>SUM(PACIENTES!T299+COMEDOR!T299+JORNADA!T299+'DIETOLOGÍA(S)'!T299)</f>
        <v>0</v>
      </c>
      <c r="U299" s="6">
        <f>SUM(PACIENTES!U299+COMEDOR!U299+JORNADA!U299+'DIETOLOGÍA(S)'!U299)</f>
        <v>0</v>
      </c>
      <c r="V299" s="6">
        <f>SUM(PACIENTES!V299+COMEDOR!V299+JORNADA!V299+'DIETOLOGÍA(S)'!V299)</f>
        <v>0</v>
      </c>
      <c r="W299" s="6">
        <f>SUM(PACIENTES!W299+COMEDOR!W299+JORNADA!W299+'DIETOLOGÍA(S)'!W299)</f>
        <v>0</v>
      </c>
      <c r="X299" s="6">
        <f>SUM(PACIENTES!X299+COMEDOR!X299+JORNADA!X299+'DIETOLOGÍA(S)'!X299)</f>
        <v>0</v>
      </c>
      <c r="Y299" s="6">
        <f>SUM(PACIENTES!Y299+COMEDOR!Y299+JORNADA!Y299+'DIETOLOGÍA(S)'!Y299)</f>
        <v>0</v>
      </c>
      <c r="Z299" s="6">
        <f>SUM(PACIENTES!Z299+COMEDOR!Z299+JORNADA!Z299+'DIETOLOGÍA(S)'!Z299)</f>
        <v>0</v>
      </c>
      <c r="AA299" s="6">
        <f>SUM(PACIENTES!AA299+COMEDOR!AA299+JORNADA!AA299+'DIETOLOGÍA(S)'!AA299)</f>
        <v>0</v>
      </c>
      <c r="AB299" s="6">
        <f>SUM(PACIENTES!AB299+COMEDOR!AB299+JORNADA!AB299+'DIETOLOGÍA(S)'!AB299)</f>
        <v>0</v>
      </c>
      <c r="AC299" s="6">
        <f>SUM(PACIENTES!AC299+COMEDOR!AC299+JORNADA!AC299+'DIETOLOGÍA(S)'!AC299)</f>
        <v>0</v>
      </c>
      <c r="AD299" s="6">
        <f>SUM(PACIENTES!AD299+COMEDOR!AD299+JORNADA!AD299+'DIETOLOGÍA(S)'!AD299)</f>
        <v>0</v>
      </c>
      <c r="AE299" s="6">
        <f>SUM(PACIENTES!AE299+COMEDOR!AE299+JORNADA!AE299+'DIETOLOGÍA(S)'!AE299)</f>
        <v>1</v>
      </c>
      <c r="AF299" s="6">
        <f>SUM(PACIENTES!AF299+COMEDOR!AF299+JORNADA!AF299+'DIETOLOGÍA(S)'!AF299)</f>
        <v>0</v>
      </c>
      <c r="AG299" s="6">
        <f>SUM(PACIENTES!AG299+COMEDOR!AG299+JORNADA!AG299+'DIETOLOGÍA(S)'!AG299)</f>
        <v>0</v>
      </c>
      <c r="AH299" s="6">
        <f>SUM(PACIENTES!AH299+COMEDOR!AH299+JORNADA!AH299+'DIETOLOGÍA(S)'!AH299)</f>
        <v>0</v>
      </c>
      <c r="AI299" s="9">
        <f t="shared" si="11"/>
        <v>1</v>
      </c>
    </row>
    <row r="300" spans="1:35" ht="15.75" customHeight="1">
      <c r="A300" s="238">
        <v>2212001030</v>
      </c>
      <c r="B300" s="239" t="s">
        <v>314</v>
      </c>
      <c r="C300" s="240" t="s">
        <v>86</v>
      </c>
      <c r="D300" s="6">
        <f>SUM(PACIENTES!D300+COMEDOR!D300+JORNADA!D300+'DIETOLOGÍA(S)'!D300)</f>
        <v>0</v>
      </c>
      <c r="E300" s="6">
        <f>SUM(PACIENTES!E300+COMEDOR!E300+JORNADA!E300+'DIETOLOGÍA(S)'!E300)</f>
        <v>0</v>
      </c>
      <c r="F300" s="6">
        <f>SUM(PACIENTES!F300+COMEDOR!F300+JORNADA!F300+'DIETOLOGÍA(S)'!F300)</f>
        <v>0</v>
      </c>
      <c r="G300" s="6">
        <f>SUM(PACIENTES!G300+COMEDOR!G300+JORNADA!G300+'DIETOLOGÍA(S)'!G300)</f>
        <v>0</v>
      </c>
      <c r="H300" s="6">
        <f>SUM(PACIENTES!H300+COMEDOR!H300+JORNADA!H300+'DIETOLOGÍA(S)'!H300)</f>
        <v>0</v>
      </c>
      <c r="I300" s="6">
        <f>SUM(PACIENTES!I300+COMEDOR!I300+JORNADA!I300+'DIETOLOGÍA(S)'!I300)</f>
        <v>0</v>
      </c>
      <c r="J300" s="6">
        <f>SUM(PACIENTES!J300+COMEDOR!J300+JORNADA!J300+'DIETOLOGÍA(S)'!J300)</f>
        <v>1</v>
      </c>
      <c r="K300" s="6">
        <f>SUM(PACIENTES!K300+COMEDOR!K300+JORNADA!K300+'DIETOLOGÍA(S)'!K300)</f>
        <v>0</v>
      </c>
      <c r="L300" s="6">
        <f>SUM(PACIENTES!L300+COMEDOR!L300+JORNADA!L300+'DIETOLOGÍA(S)'!L300)</f>
        <v>0</v>
      </c>
      <c r="M300" s="6">
        <f>SUM(PACIENTES!M300+COMEDOR!M300+JORNADA!M300+'DIETOLOGÍA(S)'!M300)</f>
        <v>0</v>
      </c>
      <c r="N300" s="6">
        <f>SUM(PACIENTES!N300+COMEDOR!N300+JORNADA!N300+'DIETOLOGÍA(S)'!N300)</f>
        <v>0</v>
      </c>
      <c r="O300" s="6">
        <f>SUM(PACIENTES!O300+COMEDOR!O300+JORNADA!O300+'DIETOLOGÍA(S)'!O300)</f>
        <v>0</v>
      </c>
      <c r="P300" s="6">
        <f>SUM(PACIENTES!P300+COMEDOR!P300+JORNADA!P300+'DIETOLOGÍA(S)'!P300)</f>
        <v>0</v>
      </c>
      <c r="Q300" s="6">
        <f>SUM(PACIENTES!Q300+COMEDOR!Q300+JORNADA!Q300+'DIETOLOGÍA(S)'!Q300)</f>
        <v>0</v>
      </c>
      <c r="R300" s="6">
        <f>SUM(PACIENTES!R300+COMEDOR!R300+JORNADA!R300+'DIETOLOGÍA(S)'!R300)</f>
        <v>0</v>
      </c>
      <c r="S300" s="6">
        <f>SUM(PACIENTES!S300+COMEDOR!S300+JORNADA!S300+'DIETOLOGÍA(S)'!S300)</f>
        <v>0</v>
      </c>
      <c r="T300" s="6">
        <f>SUM(PACIENTES!T300+COMEDOR!T300+JORNADA!T300+'DIETOLOGÍA(S)'!T300)</f>
        <v>0</v>
      </c>
      <c r="U300" s="6">
        <f>SUM(PACIENTES!U300+COMEDOR!U300+JORNADA!U300+'DIETOLOGÍA(S)'!U300)</f>
        <v>0</v>
      </c>
      <c r="V300" s="6">
        <f>SUM(PACIENTES!V300+COMEDOR!V300+JORNADA!V300+'DIETOLOGÍA(S)'!V300)</f>
        <v>0</v>
      </c>
      <c r="W300" s="6">
        <f>SUM(PACIENTES!W300+COMEDOR!W300+JORNADA!W300+'DIETOLOGÍA(S)'!W300)</f>
        <v>0</v>
      </c>
      <c r="X300" s="6">
        <f>SUM(PACIENTES!X300+COMEDOR!X300+JORNADA!X300+'DIETOLOGÍA(S)'!X300)</f>
        <v>1</v>
      </c>
      <c r="Y300" s="6">
        <f>SUM(PACIENTES!Y300+COMEDOR!Y300+JORNADA!Y300+'DIETOLOGÍA(S)'!Y300)</f>
        <v>0</v>
      </c>
      <c r="Z300" s="6">
        <f>SUM(PACIENTES!Z300+COMEDOR!Z300+JORNADA!Z300+'DIETOLOGÍA(S)'!Z300)</f>
        <v>0</v>
      </c>
      <c r="AA300" s="6">
        <f>SUM(PACIENTES!AA300+COMEDOR!AA300+JORNADA!AA300+'DIETOLOGÍA(S)'!AA300)</f>
        <v>0</v>
      </c>
      <c r="AB300" s="6">
        <f>SUM(PACIENTES!AB300+COMEDOR!AB300+JORNADA!AB300+'DIETOLOGÍA(S)'!AB300)</f>
        <v>0</v>
      </c>
      <c r="AC300" s="6">
        <f>SUM(PACIENTES!AC300+COMEDOR!AC300+JORNADA!AC300+'DIETOLOGÍA(S)'!AC300)</f>
        <v>0</v>
      </c>
      <c r="AD300" s="6">
        <f>SUM(PACIENTES!AD300+COMEDOR!AD300+JORNADA!AD300+'DIETOLOGÍA(S)'!AD300)</f>
        <v>0</v>
      </c>
      <c r="AE300" s="6">
        <f>SUM(PACIENTES!AE300+COMEDOR!AE300+JORNADA!AE300+'DIETOLOGÍA(S)'!AE300)</f>
        <v>0</v>
      </c>
      <c r="AF300" s="6">
        <f>SUM(PACIENTES!AF300+COMEDOR!AF300+JORNADA!AF300+'DIETOLOGÍA(S)'!AF300)</f>
        <v>0</v>
      </c>
      <c r="AG300" s="6">
        <f>SUM(PACIENTES!AG300+COMEDOR!AG300+JORNADA!AG300+'DIETOLOGÍA(S)'!AG300)</f>
        <v>0</v>
      </c>
      <c r="AH300" s="6">
        <f>SUM(PACIENTES!AH300+COMEDOR!AH300+JORNADA!AH300+'DIETOLOGÍA(S)'!AH300)</f>
        <v>0</v>
      </c>
      <c r="AI300" s="9">
        <f t="shared" si="11"/>
        <v>2</v>
      </c>
    </row>
    <row r="301" spans="1:35" ht="15.75" customHeight="1">
      <c r="A301" s="238">
        <v>2212001031</v>
      </c>
      <c r="B301" s="239" t="s">
        <v>315</v>
      </c>
      <c r="C301" s="240" t="s">
        <v>6</v>
      </c>
      <c r="D301" s="6">
        <f>SUM(PACIENTES!D301+COMEDOR!D301+JORNADA!D301+'DIETOLOGÍA(S)'!D301)</f>
        <v>0</v>
      </c>
      <c r="E301" s="6">
        <f>SUM(PACIENTES!E301+COMEDOR!E301+JORNADA!E301+'DIETOLOGÍA(S)'!E301)</f>
        <v>0</v>
      </c>
      <c r="F301" s="6">
        <f>SUM(PACIENTES!F301+COMEDOR!F301+JORNADA!F301+'DIETOLOGÍA(S)'!F301)</f>
        <v>0</v>
      </c>
      <c r="G301" s="6">
        <f>SUM(PACIENTES!G301+COMEDOR!G301+JORNADA!G301+'DIETOLOGÍA(S)'!G301)</f>
        <v>0</v>
      </c>
      <c r="H301" s="6">
        <f>SUM(PACIENTES!H301+COMEDOR!H301+JORNADA!H301+'DIETOLOGÍA(S)'!H301)</f>
        <v>0</v>
      </c>
      <c r="I301" s="6">
        <f>SUM(PACIENTES!I301+COMEDOR!I301+JORNADA!I301+'DIETOLOGÍA(S)'!I301)</f>
        <v>0</v>
      </c>
      <c r="J301" s="6">
        <f>SUM(PACIENTES!J301+COMEDOR!J301+JORNADA!J301+'DIETOLOGÍA(S)'!J301)</f>
        <v>0</v>
      </c>
      <c r="K301" s="6">
        <f>SUM(PACIENTES!K301+COMEDOR!K301+JORNADA!K301+'DIETOLOGÍA(S)'!K301)</f>
        <v>0</v>
      </c>
      <c r="L301" s="6">
        <f>SUM(PACIENTES!L301+COMEDOR!L301+JORNADA!L301+'DIETOLOGÍA(S)'!L301)</f>
        <v>0</v>
      </c>
      <c r="M301" s="6">
        <f>SUM(PACIENTES!M301+COMEDOR!M301+JORNADA!M301+'DIETOLOGÍA(S)'!M301)</f>
        <v>0</v>
      </c>
      <c r="N301" s="6">
        <f>SUM(PACIENTES!N301+COMEDOR!N301+JORNADA!N301+'DIETOLOGÍA(S)'!N301)</f>
        <v>0</v>
      </c>
      <c r="O301" s="6">
        <f>SUM(PACIENTES!O301+COMEDOR!O301+JORNADA!O301+'DIETOLOGÍA(S)'!O301)</f>
        <v>0</v>
      </c>
      <c r="P301" s="6">
        <f>SUM(PACIENTES!P301+COMEDOR!P301+JORNADA!P301+'DIETOLOGÍA(S)'!P301)</f>
        <v>0</v>
      </c>
      <c r="Q301" s="6">
        <f>SUM(PACIENTES!Q301+COMEDOR!Q301+JORNADA!Q301+'DIETOLOGÍA(S)'!Q301)</f>
        <v>0</v>
      </c>
      <c r="R301" s="6">
        <f>SUM(PACIENTES!R301+COMEDOR!R301+JORNADA!R301+'DIETOLOGÍA(S)'!R301)</f>
        <v>0</v>
      </c>
      <c r="S301" s="6">
        <f>SUM(PACIENTES!S301+COMEDOR!S301+JORNADA!S301+'DIETOLOGÍA(S)'!S301)</f>
        <v>2</v>
      </c>
      <c r="T301" s="6">
        <f>SUM(PACIENTES!T301+COMEDOR!T301+JORNADA!T301+'DIETOLOGÍA(S)'!T301)</f>
        <v>0</v>
      </c>
      <c r="U301" s="6">
        <f>SUM(PACIENTES!U301+COMEDOR!U301+JORNADA!U301+'DIETOLOGÍA(S)'!U301)</f>
        <v>0</v>
      </c>
      <c r="V301" s="6">
        <f>SUM(PACIENTES!V301+COMEDOR!V301+JORNADA!V301+'DIETOLOGÍA(S)'!V301)</f>
        <v>0</v>
      </c>
      <c r="W301" s="6">
        <f>SUM(PACIENTES!W301+COMEDOR!W301+JORNADA!W301+'DIETOLOGÍA(S)'!W301)</f>
        <v>0</v>
      </c>
      <c r="X301" s="6">
        <f>SUM(PACIENTES!X301+COMEDOR!X301+JORNADA!X301+'DIETOLOGÍA(S)'!X301)</f>
        <v>1</v>
      </c>
      <c r="Y301" s="6">
        <f>SUM(PACIENTES!Y301+COMEDOR!Y301+JORNADA!Y301+'DIETOLOGÍA(S)'!Y301)</f>
        <v>0</v>
      </c>
      <c r="Z301" s="6">
        <f>SUM(PACIENTES!Z301+COMEDOR!Z301+JORNADA!Z301+'DIETOLOGÍA(S)'!Z301)</f>
        <v>0</v>
      </c>
      <c r="AA301" s="6">
        <f>SUM(PACIENTES!AA301+COMEDOR!AA301+JORNADA!AA301+'DIETOLOGÍA(S)'!AA301)</f>
        <v>0</v>
      </c>
      <c r="AB301" s="6">
        <f>SUM(PACIENTES!AB301+COMEDOR!AB301+JORNADA!AB301+'DIETOLOGÍA(S)'!AB301)</f>
        <v>0</v>
      </c>
      <c r="AC301" s="6">
        <f>SUM(PACIENTES!AC301+COMEDOR!AC301+JORNADA!AC301+'DIETOLOGÍA(S)'!AC301)</f>
        <v>0</v>
      </c>
      <c r="AD301" s="6">
        <f>SUM(PACIENTES!AD301+COMEDOR!AD301+JORNADA!AD301+'DIETOLOGÍA(S)'!AD301)</f>
        <v>0</v>
      </c>
      <c r="AE301" s="6">
        <f>SUM(PACIENTES!AE301+COMEDOR!AE301+JORNADA!AE301+'DIETOLOGÍA(S)'!AE301)</f>
        <v>0</v>
      </c>
      <c r="AF301" s="6">
        <f>SUM(PACIENTES!AF301+COMEDOR!AF301+JORNADA!AF301+'DIETOLOGÍA(S)'!AF301)</f>
        <v>2</v>
      </c>
      <c r="AG301" s="6">
        <f>SUM(PACIENTES!AG301+COMEDOR!AG301+JORNADA!AG301+'DIETOLOGÍA(S)'!AG301)</f>
        <v>0</v>
      </c>
      <c r="AH301" s="6">
        <f>SUM(PACIENTES!AH301+COMEDOR!AH301+JORNADA!AH301+'DIETOLOGÍA(S)'!AH301)</f>
        <v>0</v>
      </c>
      <c r="AI301" s="9">
        <f t="shared" si="11"/>
        <v>5</v>
      </c>
    </row>
    <row r="302" spans="1:35" ht="15.75" customHeight="1">
      <c r="A302" s="238">
        <v>2212001032</v>
      </c>
      <c r="B302" s="239" t="s">
        <v>316</v>
      </c>
      <c r="C302" s="240" t="s">
        <v>86</v>
      </c>
      <c r="D302" s="6">
        <f>SUM(PACIENTES!D302+COMEDOR!D302+JORNADA!D302+'DIETOLOGÍA(S)'!D302)</f>
        <v>0</v>
      </c>
      <c r="E302" s="6">
        <f>SUM(PACIENTES!E302+COMEDOR!E302+JORNADA!E302+'DIETOLOGÍA(S)'!E302)</f>
        <v>0</v>
      </c>
      <c r="F302" s="6">
        <f>SUM(PACIENTES!F302+COMEDOR!F302+JORNADA!F302+'DIETOLOGÍA(S)'!F302)</f>
        <v>0</v>
      </c>
      <c r="G302" s="6">
        <f>SUM(PACIENTES!G302+COMEDOR!G302+JORNADA!G302+'DIETOLOGÍA(S)'!G302)</f>
        <v>0</v>
      </c>
      <c r="H302" s="6">
        <f>SUM(PACIENTES!H302+COMEDOR!H302+JORNADA!H302+'DIETOLOGÍA(S)'!H302)</f>
        <v>0</v>
      </c>
      <c r="I302" s="6">
        <f>SUM(PACIENTES!I302+COMEDOR!I302+JORNADA!I302+'DIETOLOGÍA(S)'!I302)</f>
        <v>2</v>
      </c>
      <c r="J302" s="6">
        <f>SUM(PACIENTES!J302+COMEDOR!J302+JORNADA!J302+'DIETOLOGÍA(S)'!J302)</f>
        <v>1</v>
      </c>
      <c r="K302" s="6">
        <f>SUM(PACIENTES!K302+COMEDOR!K302+JORNADA!K302+'DIETOLOGÍA(S)'!K302)</f>
        <v>0</v>
      </c>
      <c r="L302" s="6">
        <f>SUM(PACIENTES!L302+COMEDOR!L302+JORNADA!L302+'DIETOLOGÍA(S)'!L302)</f>
        <v>0</v>
      </c>
      <c r="M302" s="6">
        <f>SUM(PACIENTES!M302+COMEDOR!M302+JORNADA!M302+'DIETOLOGÍA(S)'!M302)</f>
        <v>0</v>
      </c>
      <c r="N302" s="6">
        <f>SUM(PACIENTES!N302+COMEDOR!N302+JORNADA!N302+'DIETOLOGÍA(S)'!N302)</f>
        <v>0</v>
      </c>
      <c r="O302" s="6">
        <f>SUM(PACIENTES!O302+COMEDOR!O302+JORNADA!O302+'DIETOLOGÍA(S)'!O302)</f>
        <v>0</v>
      </c>
      <c r="P302" s="6">
        <f>SUM(PACIENTES!P302+COMEDOR!P302+JORNADA!P302+'DIETOLOGÍA(S)'!P302)</f>
        <v>1</v>
      </c>
      <c r="Q302" s="6">
        <f>SUM(PACIENTES!Q302+COMEDOR!Q302+JORNADA!Q302+'DIETOLOGÍA(S)'!Q302)</f>
        <v>1</v>
      </c>
      <c r="R302" s="6">
        <f>SUM(PACIENTES!R302+COMEDOR!R302+JORNADA!R302+'DIETOLOGÍA(S)'!R302)</f>
        <v>0</v>
      </c>
      <c r="S302" s="6">
        <f>SUM(PACIENTES!S302+COMEDOR!S302+JORNADA!S302+'DIETOLOGÍA(S)'!S302)</f>
        <v>0</v>
      </c>
      <c r="T302" s="6">
        <f>SUM(PACIENTES!T302+COMEDOR!T302+JORNADA!T302+'DIETOLOGÍA(S)'!T302)</f>
        <v>0</v>
      </c>
      <c r="U302" s="6">
        <f>SUM(PACIENTES!U302+COMEDOR!U302+JORNADA!U302+'DIETOLOGÍA(S)'!U302)</f>
        <v>0</v>
      </c>
      <c r="V302" s="6">
        <f>SUM(PACIENTES!V302+COMEDOR!V302+JORNADA!V302+'DIETOLOGÍA(S)'!V302)</f>
        <v>0</v>
      </c>
      <c r="W302" s="6">
        <f>SUM(PACIENTES!W302+COMEDOR!W302+JORNADA!W302+'DIETOLOGÍA(S)'!W302)</f>
        <v>1</v>
      </c>
      <c r="X302" s="6">
        <f>SUM(PACIENTES!X302+COMEDOR!X302+JORNADA!X302+'DIETOLOGÍA(S)'!X302)</f>
        <v>1</v>
      </c>
      <c r="Y302" s="6">
        <f>SUM(PACIENTES!Y302+COMEDOR!Y302+JORNADA!Y302+'DIETOLOGÍA(S)'!Y302)</f>
        <v>0</v>
      </c>
      <c r="Z302" s="6">
        <f>SUM(PACIENTES!Z302+COMEDOR!Z302+JORNADA!Z302+'DIETOLOGÍA(S)'!Z302)</f>
        <v>0</v>
      </c>
      <c r="AA302" s="6">
        <f>SUM(PACIENTES!AA302+COMEDOR!AA302+JORNADA!AA302+'DIETOLOGÍA(S)'!AA302)</f>
        <v>0</v>
      </c>
      <c r="AB302" s="6">
        <f>SUM(PACIENTES!AB302+COMEDOR!AB302+JORNADA!AB302+'DIETOLOGÍA(S)'!AB302)</f>
        <v>0</v>
      </c>
      <c r="AC302" s="6">
        <f>SUM(PACIENTES!AC302+COMEDOR!AC302+JORNADA!AC302+'DIETOLOGÍA(S)'!AC302)</f>
        <v>0</v>
      </c>
      <c r="AD302" s="6">
        <f>SUM(PACIENTES!AD302+COMEDOR!AD302+JORNADA!AD302+'DIETOLOGÍA(S)'!AD302)</f>
        <v>2</v>
      </c>
      <c r="AE302" s="6">
        <f>SUM(PACIENTES!AE302+COMEDOR!AE302+JORNADA!AE302+'DIETOLOGÍA(S)'!AE302)</f>
        <v>1</v>
      </c>
      <c r="AF302" s="6">
        <f>SUM(PACIENTES!AF302+COMEDOR!AF302+JORNADA!AF302+'DIETOLOGÍA(S)'!AF302)</f>
        <v>0</v>
      </c>
      <c r="AG302" s="6">
        <f>SUM(PACIENTES!AG302+COMEDOR!AG302+JORNADA!AG302+'DIETOLOGÍA(S)'!AG302)</f>
        <v>0</v>
      </c>
      <c r="AH302" s="6">
        <f>SUM(PACIENTES!AH302+COMEDOR!AH302+JORNADA!AH302+'DIETOLOGÍA(S)'!AH302)</f>
        <v>0</v>
      </c>
      <c r="AI302" s="9">
        <f t="shared" si="11"/>
        <v>10</v>
      </c>
    </row>
    <row r="303" spans="1:35" ht="15.75" customHeight="1">
      <c r="A303" s="238">
        <v>2212001033</v>
      </c>
      <c r="B303" s="239" t="s">
        <v>317</v>
      </c>
      <c r="C303" s="240" t="s">
        <v>86</v>
      </c>
      <c r="D303" s="6">
        <f>SUM(PACIENTES!D303+COMEDOR!D303+JORNADA!D303+'DIETOLOGÍA(S)'!D303)</f>
        <v>0</v>
      </c>
      <c r="E303" s="6">
        <f>SUM(PACIENTES!E303+COMEDOR!E303+JORNADA!E303+'DIETOLOGÍA(S)'!E303)</f>
        <v>0</v>
      </c>
      <c r="F303" s="6">
        <f>SUM(PACIENTES!F303+COMEDOR!F303+JORNADA!F303+'DIETOLOGÍA(S)'!F303)</f>
        <v>0</v>
      </c>
      <c r="G303" s="6">
        <f>SUM(PACIENTES!G303+COMEDOR!G303+JORNADA!G303+'DIETOLOGÍA(S)'!G303)</f>
        <v>0</v>
      </c>
      <c r="H303" s="6">
        <f>SUM(PACIENTES!H303+COMEDOR!H303+JORNADA!H303+'DIETOLOGÍA(S)'!H303)</f>
        <v>0</v>
      </c>
      <c r="I303" s="6">
        <f>SUM(PACIENTES!I303+COMEDOR!I303+JORNADA!I303+'DIETOLOGÍA(S)'!I303)</f>
        <v>0</v>
      </c>
      <c r="J303" s="6">
        <f>SUM(PACIENTES!J303+COMEDOR!J303+JORNADA!J303+'DIETOLOGÍA(S)'!J303)</f>
        <v>0</v>
      </c>
      <c r="K303" s="6">
        <f>SUM(PACIENTES!K303+COMEDOR!K303+JORNADA!K303+'DIETOLOGÍA(S)'!K303)</f>
        <v>0</v>
      </c>
      <c r="L303" s="6">
        <f>SUM(PACIENTES!L303+COMEDOR!L303+JORNADA!L303+'DIETOLOGÍA(S)'!L303)</f>
        <v>0</v>
      </c>
      <c r="M303" s="6">
        <f>SUM(PACIENTES!M303+COMEDOR!M303+JORNADA!M303+'DIETOLOGÍA(S)'!M303)</f>
        <v>0</v>
      </c>
      <c r="N303" s="6">
        <f>SUM(PACIENTES!N303+COMEDOR!N303+JORNADA!N303+'DIETOLOGÍA(S)'!N303)</f>
        <v>0</v>
      </c>
      <c r="O303" s="6">
        <f>SUM(PACIENTES!O303+COMEDOR!O303+JORNADA!O303+'DIETOLOGÍA(S)'!O303)</f>
        <v>0</v>
      </c>
      <c r="P303" s="6">
        <f>SUM(PACIENTES!P303+COMEDOR!P303+JORNADA!P303+'DIETOLOGÍA(S)'!P303)</f>
        <v>0</v>
      </c>
      <c r="Q303" s="6">
        <f>SUM(PACIENTES!Q303+COMEDOR!Q303+JORNADA!Q303+'DIETOLOGÍA(S)'!Q303)</f>
        <v>3</v>
      </c>
      <c r="R303" s="6">
        <f>SUM(PACIENTES!R303+COMEDOR!R303+JORNADA!R303+'DIETOLOGÍA(S)'!R303)</f>
        <v>0</v>
      </c>
      <c r="S303" s="6">
        <f>SUM(PACIENTES!S303+COMEDOR!S303+JORNADA!S303+'DIETOLOGÍA(S)'!S303)</f>
        <v>0</v>
      </c>
      <c r="T303" s="6">
        <f>SUM(PACIENTES!T303+COMEDOR!T303+JORNADA!T303+'DIETOLOGÍA(S)'!T303)</f>
        <v>0</v>
      </c>
      <c r="U303" s="6">
        <f>SUM(PACIENTES!U303+COMEDOR!U303+JORNADA!U303+'DIETOLOGÍA(S)'!U303)</f>
        <v>0</v>
      </c>
      <c r="V303" s="6">
        <f>SUM(PACIENTES!V303+COMEDOR!V303+JORNADA!V303+'DIETOLOGÍA(S)'!V303)</f>
        <v>0</v>
      </c>
      <c r="W303" s="6">
        <f>SUM(PACIENTES!W303+COMEDOR!W303+JORNADA!W303+'DIETOLOGÍA(S)'!W303)</f>
        <v>0</v>
      </c>
      <c r="X303" s="6">
        <f>SUM(PACIENTES!X303+COMEDOR!X303+JORNADA!X303+'DIETOLOGÍA(S)'!X303)</f>
        <v>0</v>
      </c>
      <c r="Y303" s="6">
        <f>SUM(PACIENTES!Y303+COMEDOR!Y303+JORNADA!Y303+'DIETOLOGÍA(S)'!Y303)</f>
        <v>0</v>
      </c>
      <c r="Z303" s="6">
        <f>SUM(PACIENTES!Z303+COMEDOR!Z303+JORNADA!Z303+'DIETOLOGÍA(S)'!Z303)</f>
        <v>0</v>
      </c>
      <c r="AA303" s="6">
        <f>SUM(PACIENTES!AA303+COMEDOR!AA303+JORNADA!AA303+'DIETOLOGÍA(S)'!AA303)</f>
        <v>0</v>
      </c>
      <c r="AB303" s="6">
        <f>SUM(PACIENTES!AB303+COMEDOR!AB303+JORNADA!AB303+'DIETOLOGÍA(S)'!AB303)</f>
        <v>0</v>
      </c>
      <c r="AC303" s="6">
        <f>SUM(PACIENTES!AC303+COMEDOR!AC303+JORNADA!AC303+'DIETOLOGÍA(S)'!AC303)</f>
        <v>0</v>
      </c>
      <c r="AD303" s="6">
        <f>SUM(PACIENTES!AD303+COMEDOR!AD303+JORNADA!AD303+'DIETOLOGÍA(S)'!AD303)</f>
        <v>0</v>
      </c>
      <c r="AE303" s="6">
        <f>SUM(PACIENTES!AE303+COMEDOR!AE303+JORNADA!AE303+'DIETOLOGÍA(S)'!AE303)</f>
        <v>0</v>
      </c>
      <c r="AF303" s="6">
        <f>SUM(PACIENTES!AF303+COMEDOR!AF303+JORNADA!AF303+'DIETOLOGÍA(S)'!AF303)</f>
        <v>0</v>
      </c>
      <c r="AG303" s="6">
        <f>SUM(PACIENTES!AG303+COMEDOR!AG303+JORNADA!AG303+'DIETOLOGÍA(S)'!AG303)</f>
        <v>0</v>
      </c>
      <c r="AH303" s="6">
        <f>SUM(PACIENTES!AH303+COMEDOR!AH303+JORNADA!AH303+'DIETOLOGÍA(S)'!AH303)</f>
        <v>0</v>
      </c>
      <c r="AI303" s="9">
        <f t="shared" si="11"/>
        <v>3</v>
      </c>
    </row>
    <row r="304" spans="1:35" ht="15.75" customHeight="1">
      <c r="A304" s="238">
        <v>2212001034</v>
      </c>
      <c r="B304" s="239" t="s">
        <v>318</v>
      </c>
      <c r="C304" s="240" t="s">
        <v>6</v>
      </c>
      <c r="D304" s="6">
        <f>SUM(PACIENTES!D304+COMEDOR!D304+JORNADA!D304+'DIETOLOGÍA(S)'!D304+'NUTRICIÓN CLÍNICA'!D10)</f>
        <v>2</v>
      </c>
      <c r="E304" s="6">
        <f>SUM(PACIENTES!E304+COMEDOR!E304+JORNADA!E304+'DIETOLOGÍA(S)'!E304+'NUTRICIÓN CLÍNICA'!E10)</f>
        <v>2</v>
      </c>
      <c r="F304" s="6">
        <f>SUM(PACIENTES!F304+COMEDOR!F304+JORNADA!F304+'DIETOLOGÍA(S)'!F304+'NUTRICIÓN CLÍNICA'!F10)</f>
        <v>0</v>
      </c>
      <c r="G304" s="6">
        <f>SUM(PACIENTES!G304+COMEDOR!G304+JORNADA!G304+'DIETOLOGÍA(S)'!G304+'NUTRICIÓN CLÍNICA'!G10)</f>
        <v>0</v>
      </c>
      <c r="H304" s="6">
        <f>SUM(PACIENTES!H304+COMEDOR!H304+JORNADA!H304+'DIETOLOGÍA(S)'!H304+'NUTRICIÓN CLÍNICA'!H10)</f>
        <v>2</v>
      </c>
      <c r="I304" s="6">
        <f>SUM(PACIENTES!I304+COMEDOR!I304+JORNADA!I304+'DIETOLOGÍA(S)'!I304+'NUTRICIÓN CLÍNICA'!I10)</f>
        <v>16</v>
      </c>
      <c r="J304" s="6">
        <f>SUM(PACIENTES!J304+COMEDOR!J304+JORNADA!J304+'DIETOLOGÍA(S)'!J304+'NUTRICIÓN CLÍNICA'!J10)</f>
        <v>3</v>
      </c>
      <c r="K304" s="6">
        <f>SUM(PACIENTES!K304+COMEDOR!K304+JORNADA!K304+'DIETOLOGÍA(S)'!K304+'NUTRICIÓN CLÍNICA'!K10)</f>
        <v>0</v>
      </c>
      <c r="L304" s="6">
        <f>SUM(PACIENTES!L304+COMEDOR!L304+JORNADA!L304+'DIETOLOGÍA(S)'!L304+'NUTRICIÓN CLÍNICA'!L10)</f>
        <v>2</v>
      </c>
      <c r="M304" s="6">
        <f>SUM(PACIENTES!M304+COMEDOR!M304+JORNADA!M304+'DIETOLOGÍA(S)'!M304+'NUTRICIÓN CLÍNICA'!M10)</f>
        <v>0</v>
      </c>
      <c r="N304" s="6">
        <f>SUM(PACIENTES!N304+COMEDOR!N304+JORNADA!N304+'DIETOLOGÍA(S)'!N304+'NUTRICIÓN CLÍNICA'!N10)</f>
        <v>3</v>
      </c>
      <c r="O304" s="6">
        <f>SUM(PACIENTES!O304+COMEDOR!O304+JORNADA!O304+'DIETOLOGÍA(S)'!O304+'NUTRICIÓN CLÍNICA'!O10)</f>
        <v>0</v>
      </c>
      <c r="P304" s="6">
        <f>SUM(PACIENTES!P304+COMEDOR!P304+JORNADA!P304+'DIETOLOGÍA(S)'!P304+'NUTRICIÓN CLÍNICA'!P10)</f>
        <v>0</v>
      </c>
      <c r="Q304" s="6">
        <f>SUM(PACIENTES!Q304+COMEDOR!Q304+JORNADA!Q304+'DIETOLOGÍA(S)'!Q304+'NUTRICIÓN CLÍNICA'!Q10)</f>
        <v>2</v>
      </c>
      <c r="R304" s="6">
        <f>SUM(PACIENTES!R304+COMEDOR!R304+JORNADA!R304+'DIETOLOGÍA(S)'!R304+'NUTRICIÓN CLÍNICA'!R10)</f>
        <v>0</v>
      </c>
      <c r="S304" s="6">
        <f>SUM(PACIENTES!S304+COMEDOR!S304+JORNADA!S304+'DIETOLOGÍA(S)'!S304+'NUTRICIÓN CLÍNICA'!S10)</f>
        <v>2</v>
      </c>
      <c r="T304" s="6">
        <f>SUM(PACIENTES!T304+COMEDOR!T304+JORNADA!T304+'DIETOLOGÍA(S)'!T304+'NUTRICIÓN CLÍNICA'!T10)</f>
        <v>0</v>
      </c>
      <c r="U304" s="6">
        <f>SUM(PACIENTES!U304+COMEDOR!U304+JORNADA!U304+'DIETOLOGÍA(S)'!U304+'NUTRICIÓN CLÍNICA'!U10)</f>
        <v>0</v>
      </c>
      <c r="V304" s="6">
        <f>SUM(PACIENTES!V304+COMEDOR!V304+JORNADA!V304+'DIETOLOGÍA(S)'!V304+'NUTRICIÓN CLÍNICA'!V10)</f>
        <v>0</v>
      </c>
      <c r="W304" s="6">
        <f>SUM(PACIENTES!W304+COMEDOR!W304+JORNADA!W304+'DIETOLOGÍA(S)'!W304+'NUTRICIÓN CLÍNICA'!W10)</f>
        <v>17</v>
      </c>
      <c r="X304" s="6">
        <f>SUM(PACIENTES!X304+COMEDOR!X304+JORNADA!X304+'DIETOLOGÍA(S)'!X304+'NUTRICIÓN CLÍNICA'!X10)</f>
        <v>1</v>
      </c>
      <c r="Y304" s="6">
        <f>SUM(PACIENTES!Y304+COMEDOR!Y304+JORNADA!Y304+'DIETOLOGÍA(S)'!Y304+'NUTRICIÓN CLÍNICA'!Y10)</f>
        <v>2</v>
      </c>
      <c r="Z304" s="6">
        <f>SUM(PACIENTES!Z304+COMEDOR!Z304+JORNADA!Z304+'DIETOLOGÍA(S)'!Z304+'NUTRICIÓN CLÍNICA'!Z10)</f>
        <v>0</v>
      </c>
      <c r="AA304" s="6">
        <f>SUM(PACIENTES!AA304+COMEDOR!AA304+JORNADA!AA304+'DIETOLOGÍA(S)'!AA304+'NUTRICIÓN CLÍNICA'!AA10)</f>
        <v>0</v>
      </c>
      <c r="AB304" s="6">
        <f>SUM(PACIENTES!AB304+COMEDOR!AB304+JORNADA!AB304+'DIETOLOGÍA(S)'!AB304+'NUTRICIÓN CLÍNICA'!AB10)</f>
        <v>0</v>
      </c>
      <c r="AC304" s="6">
        <f>SUM(PACIENTES!AC304+COMEDOR!AC304+JORNADA!AC304+'DIETOLOGÍA(S)'!AC304+'NUTRICIÓN CLÍNICA'!AC10)</f>
        <v>0</v>
      </c>
      <c r="AD304" s="6">
        <f>SUM(PACIENTES!AD304+COMEDOR!AD304+JORNADA!AD304+'DIETOLOGÍA(S)'!AD304+'NUTRICIÓN CLÍNICA'!AD10)</f>
        <v>0</v>
      </c>
      <c r="AE304" s="6">
        <f>SUM(PACIENTES!AE304+COMEDOR!AE304+JORNADA!AE304+'DIETOLOGÍA(S)'!AE304+'NUTRICIÓN CLÍNICA'!AE10)</f>
        <v>0</v>
      </c>
      <c r="AF304" s="6">
        <f>SUM(PACIENTES!AF304+COMEDOR!AF304+JORNADA!AF304+'DIETOLOGÍA(S)'!AF304+'NUTRICIÓN CLÍNICA'!AF10)</f>
        <v>2</v>
      </c>
      <c r="AG304" s="6">
        <f>SUM(PACIENTES!AG304+COMEDOR!AG304+JORNADA!AG304+'DIETOLOGÍA(S)'!AG304+'NUTRICIÓN CLÍNICA'!AG10)</f>
        <v>0</v>
      </c>
      <c r="AH304" s="6">
        <f>SUM(PACIENTES!AH304+COMEDOR!AH304+JORNADA!AH304+'DIETOLOGÍA(S)'!AH304+'NUTRICIÓN CLÍNICA'!AH10)</f>
        <v>0</v>
      </c>
      <c r="AI304" s="9">
        <f t="shared" si="11"/>
        <v>56</v>
      </c>
    </row>
    <row r="305" spans="1:35" ht="15.75" customHeight="1">
      <c r="A305" s="238">
        <v>2212001035</v>
      </c>
      <c r="B305" s="239" t="s">
        <v>319</v>
      </c>
      <c r="C305" s="240" t="s">
        <v>313</v>
      </c>
      <c r="D305" s="6">
        <f>SUM(PACIENTES!D305+COMEDOR!D305+JORNADA!D305+'DIETOLOGÍA(S)'!D305)</f>
        <v>0</v>
      </c>
      <c r="E305" s="6">
        <f>SUM(PACIENTES!E305+COMEDOR!E305+JORNADA!E305+'DIETOLOGÍA(S)'!E305)</f>
        <v>0</v>
      </c>
      <c r="F305" s="6">
        <f>SUM(PACIENTES!F305+COMEDOR!F305+JORNADA!F305+'DIETOLOGÍA(S)'!F305)</f>
        <v>0</v>
      </c>
      <c r="G305" s="6">
        <f>SUM(PACIENTES!G305+COMEDOR!G305+JORNADA!G305+'DIETOLOGÍA(S)'!G305)</f>
        <v>0</v>
      </c>
      <c r="H305" s="6">
        <f>SUM(PACIENTES!H305+COMEDOR!H305+JORNADA!H305+'DIETOLOGÍA(S)'!H305)</f>
        <v>0</v>
      </c>
      <c r="I305" s="6">
        <f>SUM(PACIENTES!I305+COMEDOR!I305+JORNADA!I305+'DIETOLOGÍA(S)'!I305)</f>
        <v>0</v>
      </c>
      <c r="J305" s="6">
        <f>SUM(PACIENTES!J305+COMEDOR!J305+JORNADA!J305+'DIETOLOGÍA(S)'!J305)</f>
        <v>0</v>
      </c>
      <c r="K305" s="6">
        <f>SUM(PACIENTES!K305+COMEDOR!K305+JORNADA!K305+'DIETOLOGÍA(S)'!K305)</f>
        <v>0</v>
      </c>
      <c r="L305" s="6">
        <f>SUM(PACIENTES!L305+COMEDOR!L305+JORNADA!L305+'DIETOLOGÍA(S)'!L305)</f>
        <v>3</v>
      </c>
      <c r="M305" s="6">
        <f>SUM(PACIENTES!M305+COMEDOR!M305+JORNADA!M305+'DIETOLOGÍA(S)'!M305)</f>
        <v>0</v>
      </c>
      <c r="N305" s="6">
        <f>SUM(PACIENTES!N305+COMEDOR!N305+JORNADA!N305+'DIETOLOGÍA(S)'!N305)</f>
        <v>0</v>
      </c>
      <c r="O305" s="6">
        <f>SUM(PACIENTES!O305+COMEDOR!O305+JORNADA!O305+'DIETOLOGÍA(S)'!O305)</f>
        <v>0</v>
      </c>
      <c r="P305" s="6">
        <f>SUM(PACIENTES!P305+COMEDOR!P305+JORNADA!P305+'DIETOLOGÍA(S)'!P305)</f>
        <v>0</v>
      </c>
      <c r="Q305" s="6">
        <f>SUM(PACIENTES!Q305+COMEDOR!Q305+JORNADA!Q305+'DIETOLOGÍA(S)'!Q305)</f>
        <v>4</v>
      </c>
      <c r="R305" s="6">
        <f>SUM(PACIENTES!R305+COMEDOR!R305+JORNADA!R305+'DIETOLOGÍA(S)'!R305)</f>
        <v>0</v>
      </c>
      <c r="S305" s="6">
        <f>SUM(PACIENTES!S305+COMEDOR!S305+JORNADA!S305+'DIETOLOGÍA(S)'!S305)</f>
        <v>0</v>
      </c>
      <c r="T305" s="6">
        <f>SUM(PACIENTES!T305+COMEDOR!T305+JORNADA!T305+'DIETOLOGÍA(S)'!T305)</f>
        <v>0</v>
      </c>
      <c r="U305" s="6">
        <f>SUM(PACIENTES!U305+COMEDOR!U305+JORNADA!U305+'DIETOLOGÍA(S)'!U305)</f>
        <v>0</v>
      </c>
      <c r="V305" s="6">
        <f>SUM(PACIENTES!V305+COMEDOR!V305+JORNADA!V305+'DIETOLOGÍA(S)'!V305)</f>
        <v>0</v>
      </c>
      <c r="W305" s="6">
        <f>SUM(PACIENTES!W305+COMEDOR!W305+JORNADA!W305+'DIETOLOGÍA(S)'!W305)</f>
        <v>0</v>
      </c>
      <c r="X305" s="6">
        <f>SUM(PACIENTES!X305+COMEDOR!X305+JORNADA!X305+'DIETOLOGÍA(S)'!X305)</f>
        <v>2</v>
      </c>
      <c r="Y305" s="6">
        <f>SUM(PACIENTES!Y305+COMEDOR!Y305+JORNADA!Y305+'DIETOLOGÍA(S)'!Y305)</f>
        <v>0</v>
      </c>
      <c r="Z305" s="6">
        <f>SUM(PACIENTES!Z305+COMEDOR!Z305+JORNADA!Z305+'DIETOLOGÍA(S)'!Z305)</f>
        <v>0</v>
      </c>
      <c r="AA305" s="6">
        <f>SUM(PACIENTES!AA305+COMEDOR!AA305+JORNADA!AA305+'DIETOLOGÍA(S)'!AA305)</f>
        <v>3</v>
      </c>
      <c r="AB305" s="6">
        <f>SUM(PACIENTES!AB305+COMEDOR!AB305+JORNADA!AB305+'DIETOLOGÍA(S)'!AB305)</f>
        <v>2</v>
      </c>
      <c r="AC305" s="6">
        <f>SUM(PACIENTES!AC305+COMEDOR!AC305+JORNADA!AC305+'DIETOLOGÍA(S)'!AC305)</f>
        <v>0</v>
      </c>
      <c r="AD305" s="6">
        <f>SUM(PACIENTES!AD305+COMEDOR!AD305+JORNADA!AD305+'DIETOLOGÍA(S)'!AD305)</f>
        <v>0</v>
      </c>
      <c r="AE305" s="6">
        <f>SUM(PACIENTES!AE305+COMEDOR!AE305+JORNADA!AE305+'DIETOLOGÍA(S)'!AE305)</f>
        <v>0</v>
      </c>
      <c r="AF305" s="6">
        <f>SUM(PACIENTES!AF305+COMEDOR!AF305+JORNADA!AF305+'DIETOLOGÍA(S)'!AF305)</f>
        <v>3</v>
      </c>
      <c r="AG305" s="6">
        <f>SUM(PACIENTES!AG305+COMEDOR!AG305+JORNADA!AG305+'DIETOLOGÍA(S)'!AG305)</f>
        <v>0</v>
      </c>
      <c r="AH305" s="6">
        <f>SUM(PACIENTES!AH305+COMEDOR!AH305+JORNADA!AH305+'DIETOLOGÍA(S)'!AH305)</f>
        <v>0</v>
      </c>
      <c r="AI305" s="9">
        <f t="shared" si="11"/>
        <v>17</v>
      </c>
    </row>
    <row r="306" spans="1:35" ht="15.75" customHeight="1">
      <c r="A306" s="238">
        <v>2212001036</v>
      </c>
      <c r="B306" s="239" t="s">
        <v>320</v>
      </c>
      <c r="C306" s="240" t="s">
        <v>6</v>
      </c>
      <c r="D306" s="6">
        <f>SUM(PACIENTES!D306+COMEDOR!D306+JORNADA!D306+'DIETOLOGÍA(S)'!D306+'NUTRICIÓN CLÍNICA'!D17)</f>
        <v>0</v>
      </c>
      <c r="E306" s="6">
        <f>SUM(PACIENTES!E306+COMEDOR!E306+JORNADA!E306+'DIETOLOGÍA(S)'!E306+'NUTRICIÓN CLÍNICA'!E17)</f>
        <v>0</v>
      </c>
      <c r="F306" s="6">
        <f>SUM(PACIENTES!F306+COMEDOR!F306+JORNADA!F306+'DIETOLOGÍA(S)'!F306+'NUTRICIÓN CLÍNICA'!F17)</f>
        <v>0</v>
      </c>
      <c r="G306" s="6">
        <f>SUM(PACIENTES!G306+COMEDOR!G306+JORNADA!G306+'DIETOLOGÍA(S)'!G306+'NUTRICIÓN CLÍNICA'!G17)</f>
        <v>0</v>
      </c>
      <c r="H306" s="6">
        <f>SUM(PACIENTES!H306+COMEDOR!H306+JORNADA!H306+'DIETOLOGÍA(S)'!H306+'NUTRICIÓN CLÍNICA'!H17)</f>
        <v>0</v>
      </c>
      <c r="I306" s="6">
        <f>SUM(PACIENTES!I306+COMEDOR!I306+JORNADA!I306+'DIETOLOGÍA(S)'!I306+'NUTRICIÓN CLÍNICA'!I17)</f>
        <v>0</v>
      </c>
      <c r="J306" s="6">
        <f>SUM(PACIENTES!J306+COMEDOR!J306+JORNADA!J306+'DIETOLOGÍA(S)'!J306+'NUTRICIÓN CLÍNICA'!J17)</f>
        <v>0</v>
      </c>
      <c r="K306" s="6">
        <f>SUM(PACIENTES!K306+COMEDOR!K306+JORNADA!K306+'DIETOLOGÍA(S)'!K306+'NUTRICIÓN CLÍNICA'!K17)</f>
        <v>0</v>
      </c>
      <c r="L306" s="6">
        <f>SUM(PACIENTES!L306+COMEDOR!L306+JORNADA!L306+'DIETOLOGÍA(S)'!L306+'NUTRICIÓN CLÍNICA'!L17)</f>
        <v>0</v>
      </c>
      <c r="M306" s="6">
        <f>SUM(PACIENTES!M306+COMEDOR!M306+JORNADA!M306+'DIETOLOGÍA(S)'!M306+'NUTRICIÓN CLÍNICA'!M17)</f>
        <v>0</v>
      </c>
      <c r="N306" s="6">
        <f>SUM(PACIENTES!N306+COMEDOR!N306+JORNADA!N306+'DIETOLOGÍA(S)'!N306+'NUTRICIÓN CLÍNICA'!N17)</f>
        <v>0</v>
      </c>
      <c r="O306" s="6">
        <f>SUM(PACIENTES!O306+COMEDOR!O306+JORNADA!O306+'DIETOLOGÍA(S)'!O306+'NUTRICIÓN CLÍNICA'!O17)</f>
        <v>0</v>
      </c>
      <c r="P306" s="6">
        <f>SUM(PACIENTES!P306+COMEDOR!P306+JORNADA!P306+'DIETOLOGÍA(S)'!P306+'NUTRICIÓN CLÍNICA'!P17)</f>
        <v>0</v>
      </c>
      <c r="Q306" s="6">
        <f>SUM(PACIENTES!Q306+COMEDOR!Q306+JORNADA!Q306+'DIETOLOGÍA(S)'!Q306+'NUTRICIÓN CLÍNICA'!Q17)</f>
        <v>0</v>
      </c>
      <c r="R306" s="6">
        <f>SUM(PACIENTES!R306+COMEDOR!R306+JORNADA!R306+'DIETOLOGÍA(S)'!R306+'NUTRICIÓN CLÍNICA'!R17)</f>
        <v>0</v>
      </c>
      <c r="S306" s="6">
        <f>SUM(PACIENTES!S306+COMEDOR!S306+JORNADA!S306+'DIETOLOGÍA(S)'!S306+'NUTRICIÓN CLÍNICA'!S17)</f>
        <v>0</v>
      </c>
      <c r="T306" s="6">
        <f>SUM(PACIENTES!T306+COMEDOR!T306+JORNADA!T306+'DIETOLOGÍA(S)'!T306+'NUTRICIÓN CLÍNICA'!T17)</f>
        <v>0</v>
      </c>
      <c r="U306" s="6">
        <f>SUM(PACIENTES!U306+COMEDOR!U306+JORNADA!U306+'DIETOLOGÍA(S)'!U306+'NUTRICIÓN CLÍNICA'!U17)</f>
        <v>0</v>
      </c>
      <c r="V306" s="6">
        <f>SUM(PACIENTES!V306+COMEDOR!V306+JORNADA!V306+'DIETOLOGÍA(S)'!V306+'NUTRICIÓN CLÍNICA'!V17)</f>
        <v>0</v>
      </c>
      <c r="W306" s="6">
        <f>SUM(PACIENTES!W306+COMEDOR!W306+JORNADA!W306+'DIETOLOGÍA(S)'!W306+'NUTRICIÓN CLÍNICA'!W17)</f>
        <v>0</v>
      </c>
      <c r="X306" s="6">
        <f>SUM(PACIENTES!X306+COMEDOR!X306+JORNADA!X306+'DIETOLOGÍA(S)'!X306+'NUTRICIÓN CLÍNICA'!X17)</f>
        <v>0</v>
      </c>
      <c r="Y306" s="6">
        <f>SUM(PACIENTES!Y306+COMEDOR!Y306+JORNADA!Y306+'DIETOLOGÍA(S)'!Y306+'NUTRICIÓN CLÍNICA'!Y17)</f>
        <v>0</v>
      </c>
      <c r="Z306" s="6">
        <f>SUM(PACIENTES!Z306+COMEDOR!Z306+JORNADA!Z306+'DIETOLOGÍA(S)'!Z306+'NUTRICIÓN CLÍNICA'!Z17)</f>
        <v>0</v>
      </c>
      <c r="AA306" s="6">
        <f>SUM(PACIENTES!AA306+COMEDOR!AA306+JORNADA!AA306+'DIETOLOGÍA(S)'!AA306+'NUTRICIÓN CLÍNICA'!AA17)</f>
        <v>0</v>
      </c>
      <c r="AB306" s="6">
        <f>SUM(PACIENTES!AB306+COMEDOR!AB306+JORNADA!AB306+'DIETOLOGÍA(S)'!AB306+'NUTRICIÓN CLÍNICA'!AB17)</f>
        <v>0</v>
      </c>
      <c r="AC306" s="6">
        <f>SUM(PACIENTES!AC306+COMEDOR!AC306+JORNADA!AC306+'DIETOLOGÍA(S)'!AC306+'NUTRICIÓN CLÍNICA'!AC17)</f>
        <v>0</v>
      </c>
      <c r="AD306" s="6">
        <f>SUM(PACIENTES!AD306+COMEDOR!AD306+JORNADA!AD306+'DIETOLOGÍA(S)'!AD306+'NUTRICIÓN CLÍNICA'!AD17)</f>
        <v>0</v>
      </c>
      <c r="AE306" s="6">
        <f>SUM(PACIENTES!AE306+COMEDOR!AE306+JORNADA!AE306+'DIETOLOGÍA(S)'!AE306+'NUTRICIÓN CLÍNICA'!AE17)</f>
        <v>0</v>
      </c>
      <c r="AF306" s="6">
        <f>SUM(PACIENTES!AF306+COMEDOR!AF306+JORNADA!AF306+'DIETOLOGÍA(S)'!AF306+'NUTRICIÓN CLÍNICA'!AF17)</f>
        <v>0</v>
      </c>
      <c r="AG306" s="6">
        <f>SUM(PACIENTES!AG306+COMEDOR!AG306+JORNADA!AG306+'DIETOLOGÍA(S)'!AG306+'NUTRICIÓN CLÍNICA'!AG17)</f>
        <v>0</v>
      </c>
      <c r="AH306" s="6">
        <f>SUM(PACIENTES!AH306+COMEDOR!AH306+JORNADA!AH306+'DIETOLOGÍA(S)'!AH306+'NUTRICIÓN CLÍNICA'!AH17)</f>
        <v>0</v>
      </c>
      <c r="AI306" s="9">
        <f t="shared" si="11"/>
        <v>0</v>
      </c>
    </row>
    <row r="307" spans="1:35" ht="15.75" customHeight="1">
      <c r="A307" s="238">
        <v>2212001037</v>
      </c>
      <c r="B307" s="239" t="s">
        <v>321</v>
      </c>
      <c r="C307" s="240" t="s">
        <v>6</v>
      </c>
      <c r="D307" s="6">
        <f>SUM(PACIENTES!D307+COMEDOR!D307+JORNADA!D307+'DIETOLOGÍA(S)'!D307)</f>
        <v>0</v>
      </c>
      <c r="E307" s="6">
        <f>SUM(PACIENTES!E307+COMEDOR!E307+JORNADA!E307+'DIETOLOGÍA(S)'!E307)</f>
        <v>0</v>
      </c>
      <c r="F307" s="6">
        <f>SUM(PACIENTES!F307+COMEDOR!F307+JORNADA!F307+'DIETOLOGÍA(S)'!F307)</f>
        <v>0</v>
      </c>
      <c r="G307" s="6">
        <f>SUM(PACIENTES!G307+COMEDOR!G307+JORNADA!G307+'DIETOLOGÍA(S)'!G307)</f>
        <v>0</v>
      </c>
      <c r="H307" s="6">
        <f>SUM(PACIENTES!H307+COMEDOR!H307+JORNADA!H307+'DIETOLOGÍA(S)'!H307)</f>
        <v>0</v>
      </c>
      <c r="I307" s="6">
        <f>SUM(PACIENTES!I307+COMEDOR!I307+JORNADA!I307+'DIETOLOGÍA(S)'!I307)</f>
        <v>0</v>
      </c>
      <c r="J307" s="6">
        <f>SUM(PACIENTES!J307+COMEDOR!J307+JORNADA!J307+'DIETOLOGÍA(S)'!J307)</f>
        <v>0</v>
      </c>
      <c r="K307" s="6">
        <f>SUM(PACIENTES!K307+COMEDOR!K307+JORNADA!K307+'DIETOLOGÍA(S)'!K307)</f>
        <v>0</v>
      </c>
      <c r="L307" s="6">
        <f>SUM(PACIENTES!L307+COMEDOR!L307+JORNADA!L307+'DIETOLOGÍA(S)'!L307)</f>
        <v>0</v>
      </c>
      <c r="M307" s="6">
        <f>SUM(PACIENTES!M307+COMEDOR!M307+JORNADA!M307+'DIETOLOGÍA(S)'!M307)</f>
        <v>0</v>
      </c>
      <c r="N307" s="6">
        <f>SUM(PACIENTES!N307+COMEDOR!N307+JORNADA!N307+'DIETOLOGÍA(S)'!N307)</f>
        <v>0</v>
      </c>
      <c r="O307" s="6">
        <f>SUM(PACIENTES!O307+COMEDOR!O307+JORNADA!O307+'DIETOLOGÍA(S)'!O307)</f>
        <v>0</v>
      </c>
      <c r="P307" s="6">
        <f>SUM(PACIENTES!P307+COMEDOR!P307+JORNADA!P307+'DIETOLOGÍA(S)'!P307)</f>
        <v>0</v>
      </c>
      <c r="Q307" s="6">
        <f>SUM(PACIENTES!Q307+COMEDOR!Q307+JORNADA!Q307+'DIETOLOGÍA(S)'!Q307)</f>
        <v>0</v>
      </c>
      <c r="R307" s="6">
        <f>SUM(PACIENTES!R307+COMEDOR!R307+JORNADA!R307+'DIETOLOGÍA(S)'!R307)</f>
        <v>0</v>
      </c>
      <c r="S307" s="6">
        <f>SUM(PACIENTES!S307+COMEDOR!S307+JORNADA!S307+'DIETOLOGÍA(S)'!S307)</f>
        <v>0</v>
      </c>
      <c r="T307" s="6">
        <f>SUM(PACIENTES!T307+COMEDOR!T307+JORNADA!T307+'DIETOLOGÍA(S)'!T307)</f>
        <v>0</v>
      </c>
      <c r="U307" s="6">
        <f>SUM(PACIENTES!U307+COMEDOR!U307+JORNADA!U307+'DIETOLOGÍA(S)'!U307)</f>
        <v>0</v>
      </c>
      <c r="V307" s="6">
        <f>SUM(PACIENTES!V307+COMEDOR!V307+JORNADA!V307+'DIETOLOGÍA(S)'!V307)</f>
        <v>0</v>
      </c>
      <c r="W307" s="6">
        <f>SUM(PACIENTES!W307+COMEDOR!W307+JORNADA!W307+'DIETOLOGÍA(S)'!W307)</f>
        <v>0</v>
      </c>
      <c r="X307" s="6">
        <f>SUM(PACIENTES!X307+COMEDOR!X307+JORNADA!X307+'DIETOLOGÍA(S)'!X307)</f>
        <v>0</v>
      </c>
      <c r="Y307" s="6">
        <f>SUM(PACIENTES!Y307+COMEDOR!Y307+JORNADA!Y307+'DIETOLOGÍA(S)'!Y307)</f>
        <v>0</v>
      </c>
      <c r="Z307" s="6">
        <f>SUM(PACIENTES!Z307+COMEDOR!Z307+JORNADA!Z307+'DIETOLOGÍA(S)'!Z307)</f>
        <v>0</v>
      </c>
      <c r="AA307" s="6">
        <f>SUM(PACIENTES!AA307+COMEDOR!AA307+JORNADA!AA307+'DIETOLOGÍA(S)'!AA307)</f>
        <v>0</v>
      </c>
      <c r="AB307" s="6">
        <f>SUM(PACIENTES!AB307+COMEDOR!AB307+JORNADA!AB307+'DIETOLOGÍA(S)'!AB307)</f>
        <v>0</v>
      </c>
      <c r="AC307" s="6">
        <f>SUM(PACIENTES!AC307+COMEDOR!AC307+JORNADA!AC307+'DIETOLOGÍA(S)'!AC307)</f>
        <v>0</v>
      </c>
      <c r="AD307" s="6">
        <f>SUM(PACIENTES!AD307+COMEDOR!AD307+JORNADA!AD307+'DIETOLOGÍA(S)'!AD307)</f>
        <v>0</v>
      </c>
      <c r="AE307" s="6">
        <f>SUM(PACIENTES!AE307+COMEDOR!AE307+JORNADA!AE307+'DIETOLOGÍA(S)'!AE307)</f>
        <v>0</v>
      </c>
      <c r="AF307" s="6">
        <f>SUM(PACIENTES!AF307+COMEDOR!AF307+JORNADA!AF307+'DIETOLOGÍA(S)'!AF307)</f>
        <v>0</v>
      </c>
      <c r="AG307" s="6">
        <f>SUM(PACIENTES!AG307+COMEDOR!AG307+JORNADA!AG307+'DIETOLOGÍA(S)'!AG307)</f>
        <v>0</v>
      </c>
      <c r="AH307" s="6">
        <f>SUM(PACIENTES!AH307+COMEDOR!AH307+JORNADA!AH307+'DIETOLOGÍA(S)'!AH307)</f>
        <v>0</v>
      </c>
      <c r="AI307" s="9">
        <f t="shared" si="11"/>
        <v>0</v>
      </c>
    </row>
    <row r="308" spans="1:35" ht="15.75" customHeight="1">
      <c r="A308" s="238">
        <v>2212001038</v>
      </c>
      <c r="B308" s="239" t="s">
        <v>322</v>
      </c>
      <c r="C308" s="240" t="s">
        <v>86</v>
      </c>
      <c r="D308" s="6">
        <f>SUM(PACIENTES!D308+COMEDOR!D308+JORNADA!D308+'DIETOLOGÍA(S)'!D308)</f>
        <v>0</v>
      </c>
      <c r="E308" s="6">
        <f>SUM(PACIENTES!E308+COMEDOR!E308+JORNADA!E308+'DIETOLOGÍA(S)'!E308)</f>
        <v>0</v>
      </c>
      <c r="F308" s="6">
        <f>SUM(PACIENTES!F308+COMEDOR!F308+JORNADA!F308+'DIETOLOGÍA(S)'!F308)</f>
        <v>0</v>
      </c>
      <c r="G308" s="6">
        <f>SUM(PACIENTES!G308+COMEDOR!G308+JORNADA!G308+'DIETOLOGÍA(S)'!G308)</f>
        <v>0</v>
      </c>
      <c r="H308" s="6">
        <f>SUM(PACIENTES!H308+COMEDOR!H308+JORNADA!H308+'DIETOLOGÍA(S)'!H308)</f>
        <v>0</v>
      </c>
      <c r="I308" s="6">
        <f>SUM(PACIENTES!I308+COMEDOR!I308+JORNADA!I308+'DIETOLOGÍA(S)'!I308)</f>
        <v>0</v>
      </c>
      <c r="J308" s="6">
        <f>SUM(PACIENTES!J308+COMEDOR!J308+JORNADA!J308+'DIETOLOGÍA(S)'!J308)</f>
        <v>0</v>
      </c>
      <c r="K308" s="6">
        <f>SUM(PACIENTES!K308+COMEDOR!K308+JORNADA!K308+'DIETOLOGÍA(S)'!K308)</f>
        <v>0</v>
      </c>
      <c r="L308" s="6">
        <f>SUM(PACIENTES!L308+COMEDOR!L308+JORNADA!L308+'DIETOLOGÍA(S)'!L308)</f>
        <v>0</v>
      </c>
      <c r="M308" s="6">
        <f>SUM(PACIENTES!M308+COMEDOR!M308+JORNADA!M308+'DIETOLOGÍA(S)'!M308)</f>
        <v>0</v>
      </c>
      <c r="N308" s="6">
        <f>SUM(PACIENTES!N308+COMEDOR!N308+JORNADA!N308+'DIETOLOGÍA(S)'!N308)</f>
        <v>0</v>
      </c>
      <c r="O308" s="6">
        <f>SUM(PACIENTES!O308+COMEDOR!O308+JORNADA!O308+'DIETOLOGÍA(S)'!O308)</f>
        <v>0</v>
      </c>
      <c r="P308" s="6">
        <f>SUM(PACIENTES!P308+COMEDOR!P308+JORNADA!P308+'DIETOLOGÍA(S)'!P308)</f>
        <v>0</v>
      </c>
      <c r="Q308" s="6">
        <f>SUM(PACIENTES!Q308+COMEDOR!Q308+JORNADA!Q308+'DIETOLOGÍA(S)'!Q308)</f>
        <v>0</v>
      </c>
      <c r="R308" s="6">
        <f>SUM(PACIENTES!R308+COMEDOR!R308+JORNADA!R308+'DIETOLOGÍA(S)'!R308)</f>
        <v>0</v>
      </c>
      <c r="S308" s="6">
        <f>SUM(PACIENTES!S308+COMEDOR!S308+JORNADA!S308+'DIETOLOGÍA(S)'!S308)</f>
        <v>0</v>
      </c>
      <c r="T308" s="6">
        <f>SUM(PACIENTES!T308+COMEDOR!T308+JORNADA!T308+'DIETOLOGÍA(S)'!T308)</f>
        <v>0</v>
      </c>
      <c r="U308" s="6">
        <f>SUM(PACIENTES!U308+COMEDOR!U308+JORNADA!U308+'DIETOLOGÍA(S)'!U308)</f>
        <v>0</v>
      </c>
      <c r="V308" s="6">
        <f>SUM(PACIENTES!V308+COMEDOR!V308+JORNADA!V308+'DIETOLOGÍA(S)'!V308)</f>
        <v>0</v>
      </c>
      <c r="W308" s="6">
        <f>SUM(PACIENTES!W308+COMEDOR!W308+JORNADA!W308+'DIETOLOGÍA(S)'!W308)</f>
        <v>0</v>
      </c>
      <c r="X308" s="6">
        <f>SUM(PACIENTES!X308+COMEDOR!X308+JORNADA!X308+'DIETOLOGÍA(S)'!X308)</f>
        <v>0</v>
      </c>
      <c r="Y308" s="6">
        <f>SUM(PACIENTES!Y308+COMEDOR!Y308+JORNADA!Y308+'DIETOLOGÍA(S)'!Y308)</f>
        <v>0</v>
      </c>
      <c r="Z308" s="6">
        <f>SUM(PACIENTES!Z308+COMEDOR!Z308+JORNADA!Z308+'DIETOLOGÍA(S)'!Z308)</f>
        <v>0</v>
      </c>
      <c r="AA308" s="6">
        <f>SUM(PACIENTES!AA308+COMEDOR!AA308+JORNADA!AA308+'DIETOLOGÍA(S)'!AA308)</f>
        <v>0</v>
      </c>
      <c r="AB308" s="6">
        <f>SUM(PACIENTES!AB308+COMEDOR!AB308+JORNADA!AB308+'DIETOLOGÍA(S)'!AB308)</f>
        <v>0</v>
      </c>
      <c r="AC308" s="6">
        <f>SUM(PACIENTES!AC308+COMEDOR!AC308+JORNADA!AC308+'DIETOLOGÍA(S)'!AC308)</f>
        <v>0</v>
      </c>
      <c r="AD308" s="6">
        <f>SUM(PACIENTES!AD308+COMEDOR!AD308+JORNADA!AD308+'DIETOLOGÍA(S)'!AD308)</f>
        <v>0</v>
      </c>
      <c r="AE308" s="6">
        <f>SUM(PACIENTES!AE308+COMEDOR!AE308+JORNADA!AE308+'DIETOLOGÍA(S)'!AE308)</f>
        <v>0</v>
      </c>
      <c r="AF308" s="6">
        <f>SUM(PACIENTES!AF308+COMEDOR!AF308+JORNADA!AF308+'DIETOLOGÍA(S)'!AF308)</f>
        <v>0</v>
      </c>
      <c r="AG308" s="6">
        <f>SUM(PACIENTES!AG308+COMEDOR!AG308+JORNADA!AG308+'DIETOLOGÍA(S)'!AG308)</f>
        <v>0</v>
      </c>
      <c r="AH308" s="6">
        <f>SUM(PACIENTES!AH308+COMEDOR!AH308+JORNADA!AH308+'DIETOLOGÍA(S)'!AH308)</f>
        <v>0</v>
      </c>
      <c r="AI308" s="9">
        <f t="shared" si="11"/>
        <v>0</v>
      </c>
    </row>
    <row r="309" spans="1:35" ht="15.75" customHeight="1">
      <c r="A309" s="238">
        <v>2212001040</v>
      </c>
      <c r="B309" s="239" t="s">
        <v>323</v>
      </c>
      <c r="C309" s="240" t="s">
        <v>6</v>
      </c>
      <c r="D309" s="6">
        <f>SUM(PACIENTES!D309+COMEDOR!D309+JORNADA!D309+'DIETOLOGÍA(S)'!D309)</f>
        <v>0</v>
      </c>
      <c r="E309" s="6">
        <f>SUM(PACIENTES!E309+COMEDOR!E309+JORNADA!E309+'DIETOLOGÍA(S)'!E309)</f>
        <v>0</v>
      </c>
      <c r="F309" s="6">
        <f>SUM(PACIENTES!F309+COMEDOR!F309+JORNADA!F309+'DIETOLOGÍA(S)'!F309)</f>
        <v>0</v>
      </c>
      <c r="G309" s="6">
        <f>SUM(PACIENTES!G309+COMEDOR!G309+JORNADA!G309+'DIETOLOGÍA(S)'!G309)</f>
        <v>0</v>
      </c>
      <c r="H309" s="6">
        <f>SUM(PACIENTES!H309+COMEDOR!H309+JORNADA!H309+'DIETOLOGÍA(S)'!H309)</f>
        <v>1</v>
      </c>
      <c r="I309" s="6">
        <f>SUM(PACIENTES!I309+COMEDOR!I309+JORNADA!I309+'DIETOLOGÍA(S)'!I309)</f>
        <v>1</v>
      </c>
      <c r="J309" s="6">
        <f>SUM(PACIENTES!J309+COMEDOR!J309+JORNADA!J309+'DIETOLOGÍA(S)'!J309)</f>
        <v>1</v>
      </c>
      <c r="K309" s="6">
        <f>SUM(PACIENTES!K309+COMEDOR!K309+JORNADA!K309+'DIETOLOGÍA(S)'!K309)</f>
        <v>0</v>
      </c>
      <c r="L309" s="6">
        <f>SUM(PACIENTES!L309+COMEDOR!L309+JORNADA!L309+'DIETOLOGÍA(S)'!L309)</f>
        <v>0</v>
      </c>
      <c r="M309" s="6">
        <f>SUM(PACIENTES!M309+COMEDOR!M309+JORNADA!M309+'DIETOLOGÍA(S)'!M309)</f>
        <v>0</v>
      </c>
      <c r="N309" s="6">
        <f>SUM(PACIENTES!N309+COMEDOR!N309+JORNADA!N309+'DIETOLOGÍA(S)'!N309)</f>
        <v>0</v>
      </c>
      <c r="O309" s="6">
        <f>SUM(PACIENTES!O309+COMEDOR!O309+JORNADA!O309+'DIETOLOGÍA(S)'!O309)</f>
        <v>0</v>
      </c>
      <c r="P309" s="6">
        <f>SUM(PACIENTES!P309+COMEDOR!P309+JORNADA!P309+'DIETOLOGÍA(S)'!P309)</f>
        <v>0</v>
      </c>
      <c r="Q309" s="6">
        <f>SUM(PACIENTES!Q309+COMEDOR!Q309+JORNADA!Q309+'DIETOLOGÍA(S)'!Q309)</f>
        <v>0</v>
      </c>
      <c r="R309" s="6">
        <f>SUM(PACIENTES!R309+COMEDOR!R309+JORNADA!R309+'DIETOLOGÍA(S)'!R309)</f>
        <v>0</v>
      </c>
      <c r="S309" s="6">
        <f>SUM(PACIENTES!S309+COMEDOR!S309+JORNADA!S309+'DIETOLOGÍA(S)'!S309)</f>
        <v>0</v>
      </c>
      <c r="T309" s="6">
        <f>SUM(PACIENTES!T309+COMEDOR!T309+JORNADA!T309+'DIETOLOGÍA(S)'!T309)</f>
        <v>0</v>
      </c>
      <c r="U309" s="6">
        <f>SUM(PACIENTES!U309+COMEDOR!U309+JORNADA!U309+'DIETOLOGÍA(S)'!U309)</f>
        <v>0</v>
      </c>
      <c r="V309" s="6">
        <f>SUM(PACIENTES!V309+COMEDOR!V309+JORNADA!V309+'DIETOLOGÍA(S)'!V309)</f>
        <v>0</v>
      </c>
      <c r="W309" s="6">
        <f>SUM(PACIENTES!W309+COMEDOR!W309+JORNADA!W309+'DIETOLOGÍA(S)'!W309)</f>
        <v>1</v>
      </c>
      <c r="X309" s="6">
        <f>SUM(PACIENTES!X309+COMEDOR!X309+JORNADA!X309+'DIETOLOGÍA(S)'!X309)</f>
        <v>1</v>
      </c>
      <c r="Y309" s="6">
        <f>SUM(PACIENTES!Y309+COMEDOR!Y309+JORNADA!Y309+'DIETOLOGÍA(S)'!Y309)</f>
        <v>0</v>
      </c>
      <c r="Z309" s="6">
        <f>SUM(PACIENTES!Z309+COMEDOR!Z309+JORNADA!Z309+'DIETOLOGÍA(S)'!Z309)</f>
        <v>0</v>
      </c>
      <c r="AA309" s="6">
        <f>SUM(PACIENTES!AA309+COMEDOR!AA309+JORNADA!AA309+'DIETOLOGÍA(S)'!AA309)</f>
        <v>0</v>
      </c>
      <c r="AB309" s="6">
        <f>SUM(PACIENTES!AB309+COMEDOR!AB309+JORNADA!AB309+'DIETOLOGÍA(S)'!AB309)</f>
        <v>0</v>
      </c>
      <c r="AC309" s="6">
        <f>SUM(PACIENTES!AC309+COMEDOR!AC309+JORNADA!AC309+'DIETOLOGÍA(S)'!AC309)</f>
        <v>0</v>
      </c>
      <c r="AD309" s="6">
        <f>SUM(PACIENTES!AD309+COMEDOR!AD309+JORNADA!AD309+'DIETOLOGÍA(S)'!AD309)</f>
        <v>0</v>
      </c>
      <c r="AE309" s="6">
        <f>SUM(PACIENTES!AE309+COMEDOR!AE309+JORNADA!AE309+'DIETOLOGÍA(S)'!AE309)</f>
        <v>0</v>
      </c>
      <c r="AF309" s="6">
        <f>SUM(PACIENTES!AF309+COMEDOR!AF309+JORNADA!AF309+'DIETOLOGÍA(S)'!AF309)</f>
        <v>0</v>
      </c>
      <c r="AG309" s="6">
        <f>SUM(PACIENTES!AG309+COMEDOR!AG309+JORNADA!AG309+'DIETOLOGÍA(S)'!AG309)</f>
        <v>0</v>
      </c>
      <c r="AH309" s="6">
        <f>SUM(PACIENTES!AH309+COMEDOR!AH309+JORNADA!AH309+'DIETOLOGÍA(S)'!AH309)</f>
        <v>0</v>
      </c>
      <c r="AI309" s="9">
        <f t="shared" si="11"/>
        <v>5</v>
      </c>
    </row>
    <row r="310" spans="1:35" ht="15.75" customHeight="1">
      <c r="A310" s="238">
        <v>2212001041</v>
      </c>
      <c r="B310" s="239" t="s">
        <v>324</v>
      </c>
      <c r="C310" s="240" t="s">
        <v>6</v>
      </c>
      <c r="D310" s="6">
        <f>SUM(PACIENTES!D310+COMEDOR!D310+JORNADA!D310+'DIETOLOGÍA(S)'!D310)</f>
        <v>0</v>
      </c>
      <c r="E310" s="6">
        <f>SUM(PACIENTES!E310+COMEDOR!E310+JORNADA!E310+'DIETOLOGÍA(S)'!E310)</f>
        <v>0</v>
      </c>
      <c r="F310" s="6">
        <f>SUM(PACIENTES!F310+COMEDOR!F310+JORNADA!F310+'DIETOLOGÍA(S)'!F310)</f>
        <v>0</v>
      </c>
      <c r="G310" s="6">
        <f>SUM(PACIENTES!G310+COMEDOR!G310+JORNADA!G310+'DIETOLOGÍA(S)'!G310)</f>
        <v>0</v>
      </c>
      <c r="H310" s="6">
        <f>SUM(PACIENTES!H310+COMEDOR!H310+JORNADA!H310+'DIETOLOGÍA(S)'!H310)</f>
        <v>0</v>
      </c>
      <c r="I310" s="6">
        <f>SUM(PACIENTES!I310+COMEDOR!I310+JORNADA!I310+'DIETOLOGÍA(S)'!I310)</f>
        <v>0</v>
      </c>
      <c r="J310" s="6">
        <f>SUM(PACIENTES!J310+COMEDOR!J310+JORNADA!J310+'DIETOLOGÍA(S)'!J310)</f>
        <v>0</v>
      </c>
      <c r="K310" s="6">
        <f>SUM(PACIENTES!K310+COMEDOR!K310+JORNADA!K310+'DIETOLOGÍA(S)'!K310)</f>
        <v>0</v>
      </c>
      <c r="L310" s="6">
        <f>SUM(PACIENTES!L310+COMEDOR!L310+JORNADA!L310+'DIETOLOGÍA(S)'!L310)</f>
        <v>0</v>
      </c>
      <c r="M310" s="6">
        <f>SUM(PACIENTES!M310+COMEDOR!M310+JORNADA!M310+'DIETOLOGÍA(S)'!M310)</f>
        <v>15</v>
      </c>
      <c r="N310" s="6">
        <f>SUM(PACIENTES!N310+COMEDOR!N310+JORNADA!N310+'DIETOLOGÍA(S)'!N310)</f>
        <v>0</v>
      </c>
      <c r="O310" s="6">
        <f>SUM(PACIENTES!O310+COMEDOR!O310+JORNADA!O310+'DIETOLOGÍA(S)'!O310)</f>
        <v>0</v>
      </c>
      <c r="P310" s="6">
        <f>SUM(PACIENTES!P310+COMEDOR!P310+JORNADA!P310+'DIETOLOGÍA(S)'!P310)</f>
        <v>0</v>
      </c>
      <c r="Q310" s="6">
        <f>SUM(PACIENTES!Q310+COMEDOR!Q310+JORNADA!Q310+'DIETOLOGÍA(S)'!Q310)</f>
        <v>1</v>
      </c>
      <c r="R310" s="6">
        <f>SUM(PACIENTES!R310+COMEDOR!R310+JORNADA!R310+'DIETOLOGÍA(S)'!R310)</f>
        <v>0</v>
      </c>
      <c r="S310" s="6">
        <f>SUM(PACIENTES!S310+COMEDOR!S310+JORNADA!S310+'DIETOLOGÍA(S)'!S310)</f>
        <v>0</v>
      </c>
      <c r="T310" s="6">
        <f>SUM(PACIENTES!T310+COMEDOR!T310+JORNADA!T310+'DIETOLOGÍA(S)'!T310)</f>
        <v>0</v>
      </c>
      <c r="U310" s="6">
        <f>SUM(PACIENTES!U310+COMEDOR!U310+JORNADA!U310+'DIETOLOGÍA(S)'!U310)</f>
        <v>0</v>
      </c>
      <c r="V310" s="6">
        <f>SUM(PACIENTES!V310+COMEDOR!V310+JORNADA!V310+'DIETOLOGÍA(S)'!V310)</f>
        <v>0</v>
      </c>
      <c r="W310" s="6">
        <f>SUM(PACIENTES!W310+COMEDOR!W310+JORNADA!W310+'DIETOLOGÍA(S)'!W310)</f>
        <v>0</v>
      </c>
      <c r="X310" s="6">
        <f>SUM(PACIENTES!X310+COMEDOR!X310+JORNADA!X310+'DIETOLOGÍA(S)'!X310)</f>
        <v>0</v>
      </c>
      <c r="Y310" s="6">
        <f>SUM(PACIENTES!Y310+COMEDOR!Y310+JORNADA!Y310+'DIETOLOGÍA(S)'!Y310)</f>
        <v>0</v>
      </c>
      <c r="Z310" s="6">
        <f>SUM(PACIENTES!Z310+COMEDOR!Z310+JORNADA!Z310+'DIETOLOGÍA(S)'!Z310)</f>
        <v>0</v>
      </c>
      <c r="AA310" s="6">
        <f>SUM(PACIENTES!AA310+COMEDOR!AA310+JORNADA!AA310+'DIETOLOGÍA(S)'!AA310)</f>
        <v>0</v>
      </c>
      <c r="AB310" s="6">
        <f>SUM(PACIENTES!AB310+COMEDOR!AB310+JORNADA!AB310+'DIETOLOGÍA(S)'!AB310)</f>
        <v>0</v>
      </c>
      <c r="AC310" s="6">
        <f>SUM(PACIENTES!AC310+COMEDOR!AC310+JORNADA!AC310+'DIETOLOGÍA(S)'!AC310)</f>
        <v>0</v>
      </c>
      <c r="AD310" s="6">
        <f>SUM(PACIENTES!AD310+COMEDOR!AD310+JORNADA!AD310+'DIETOLOGÍA(S)'!AD310)</f>
        <v>15</v>
      </c>
      <c r="AE310" s="6">
        <f>SUM(PACIENTES!AE310+COMEDOR!AE310+JORNADA!AE310+'DIETOLOGÍA(S)'!AE310)</f>
        <v>1</v>
      </c>
      <c r="AF310" s="6">
        <f>SUM(PACIENTES!AF310+COMEDOR!AF310+JORNADA!AF310+'DIETOLOGÍA(S)'!AF310)</f>
        <v>0</v>
      </c>
      <c r="AG310" s="6">
        <f>SUM(PACIENTES!AG310+COMEDOR!AG310+JORNADA!AG310+'DIETOLOGÍA(S)'!AG310)</f>
        <v>0</v>
      </c>
      <c r="AH310" s="6">
        <f>SUM(PACIENTES!AH310+COMEDOR!AH310+JORNADA!AH310+'DIETOLOGÍA(S)'!AH310)</f>
        <v>0</v>
      </c>
      <c r="AI310" s="9">
        <f t="shared" si="11"/>
        <v>32</v>
      </c>
    </row>
    <row r="311" spans="1:35" ht="15.75" customHeight="1">
      <c r="A311" s="238">
        <v>2212001042</v>
      </c>
      <c r="B311" s="239" t="s">
        <v>325</v>
      </c>
      <c r="C311" s="240" t="s">
        <v>313</v>
      </c>
      <c r="D311" s="6">
        <f>SUM(PACIENTES!D311+COMEDOR!D311+JORNADA!D311+'DIETOLOGÍA(S)'!D311)</f>
        <v>0</v>
      </c>
      <c r="E311" s="6">
        <f>SUM(PACIENTES!E311+COMEDOR!E311+JORNADA!E311+'DIETOLOGÍA(S)'!E311)</f>
        <v>0</v>
      </c>
      <c r="F311" s="6">
        <f>SUM(PACIENTES!F311+COMEDOR!F311+JORNADA!F311+'DIETOLOGÍA(S)'!F311)</f>
        <v>0</v>
      </c>
      <c r="G311" s="6">
        <f>SUM(PACIENTES!G311+COMEDOR!G311+JORNADA!G311+'DIETOLOGÍA(S)'!G311)</f>
        <v>0</v>
      </c>
      <c r="H311" s="6">
        <f>SUM(PACIENTES!H311+COMEDOR!H311+JORNADA!H311+'DIETOLOGÍA(S)'!H311)</f>
        <v>0</v>
      </c>
      <c r="I311" s="6">
        <f>SUM(PACIENTES!I311+COMEDOR!I311+JORNADA!I311+'DIETOLOGÍA(S)'!I311)</f>
        <v>0</v>
      </c>
      <c r="J311" s="6">
        <f>SUM(PACIENTES!J311+COMEDOR!J311+JORNADA!J311+'DIETOLOGÍA(S)'!J311)</f>
        <v>0</v>
      </c>
      <c r="K311" s="6">
        <f>SUM(PACIENTES!K311+COMEDOR!K311+JORNADA!K311+'DIETOLOGÍA(S)'!K311)</f>
        <v>0</v>
      </c>
      <c r="L311" s="6">
        <f>SUM(PACIENTES!L311+COMEDOR!L311+JORNADA!L311+'DIETOLOGÍA(S)'!L311)</f>
        <v>0</v>
      </c>
      <c r="M311" s="6">
        <f>SUM(PACIENTES!M311+COMEDOR!M311+JORNADA!M311+'DIETOLOGÍA(S)'!M311)</f>
        <v>0</v>
      </c>
      <c r="N311" s="6">
        <f>SUM(PACIENTES!N311+COMEDOR!N311+JORNADA!N311+'DIETOLOGÍA(S)'!N311)</f>
        <v>0</v>
      </c>
      <c r="O311" s="6">
        <f>SUM(PACIENTES!O311+COMEDOR!O311+JORNADA!O311+'DIETOLOGÍA(S)'!O311)</f>
        <v>0</v>
      </c>
      <c r="P311" s="6">
        <f>SUM(PACIENTES!P311+COMEDOR!P311+JORNADA!P311+'DIETOLOGÍA(S)'!P311)</f>
        <v>0</v>
      </c>
      <c r="Q311" s="6">
        <f>SUM(PACIENTES!Q311+COMEDOR!Q311+JORNADA!Q311+'DIETOLOGÍA(S)'!Q311)</f>
        <v>0</v>
      </c>
      <c r="R311" s="6">
        <f>SUM(PACIENTES!R311+COMEDOR!R311+JORNADA!R311+'DIETOLOGÍA(S)'!R311)</f>
        <v>0</v>
      </c>
      <c r="S311" s="6">
        <f>SUM(PACIENTES!S311+COMEDOR!S311+JORNADA!S311+'DIETOLOGÍA(S)'!S311)</f>
        <v>0</v>
      </c>
      <c r="T311" s="6">
        <f>SUM(PACIENTES!T311+COMEDOR!T311+JORNADA!T311+'DIETOLOGÍA(S)'!T311)</f>
        <v>0</v>
      </c>
      <c r="U311" s="6">
        <f>SUM(PACIENTES!U311+COMEDOR!U311+JORNADA!U311+'DIETOLOGÍA(S)'!U311)</f>
        <v>0</v>
      </c>
      <c r="V311" s="6">
        <f>SUM(PACIENTES!V311+COMEDOR!V311+JORNADA!V311+'DIETOLOGÍA(S)'!V311)</f>
        <v>0</v>
      </c>
      <c r="W311" s="6">
        <f>SUM(PACIENTES!W311+COMEDOR!W311+JORNADA!W311+'DIETOLOGÍA(S)'!W311)</f>
        <v>0</v>
      </c>
      <c r="X311" s="6">
        <f>SUM(PACIENTES!X311+COMEDOR!X311+JORNADA!X311+'DIETOLOGÍA(S)'!X311)</f>
        <v>0</v>
      </c>
      <c r="Y311" s="6">
        <f>SUM(PACIENTES!Y311+COMEDOR!Y311+JORNADA!Y311+'DIETOLOGÍA(S)'!Y311)</f>
        <v>0</v>
      </c>
      <c r="Z311" s="6">
        <f>SUM(PACIENTES!Z311+COMEDOR!Z311+JORNADA!Z311+'DIETOLOGÍA(S)'!Z311)</f>
        <v>0</v>
      </c>
      <c r="AA311" s="6">
        <f>SUM(PACIENTES!AA311+COMEDOR!AA311+JORNADA!AA311+'DIETOLOGÍA(S)'!AA311)</f>
        <v>0</v>
      </c>
      <c r="AB311" s="6">
        <f>SUM(PACIENTES!AB311+COMEDOR!AB311+JORNADA!AB311+'DIETOLOGÍA(S)'!AB311)</f>
        <v>0</v>
      </c>
      <c r="AC311" s="6">
        <f>SUM(PACIENTES!AC311+COMEDOR!AC311+JORNADA!AC311+'DIETOLOGÍA(S)'!AC311)</f>
        <v>0</v>
      </c>
      <c r="AD311" s="6">
        <f>SUM(PACIENTES!AD311+COMEDOR!AD311+JORNADA!AD311+'DIETOLOGÍA(S)'!AD311)</f>
        <v>0</v>
      </c>
      <c r="AE311" s="6">
        <f>SUM(PACIENTES!AE311+COMEDOR!AE311+JORNADA!AE311+'DIETOLOGÍA(S)'!AE311)</f>
        <v>0</v>
      </c>
      <c r="AF311" s="6">
        <f>SUM(PACIENTES!AF311+COMEDOR!AF311+JORNADA!AF311+'DIETOLOGÍA(S)'!AF311)</f>
        <v>0</v>
      </c>
      <c r="AG311" s="6">
        <f>SUM(PACIENTES!AG311+COMEDOR!AG311+JORNADA!AG311+'DIETOLOGÍA(S)'!AG311)</f>
        <v>0</v>
      </c>
      <c r="AH311" s="6">
        <f>SUM(PACIENTES!AH311+COMEDOR!AH311+JORNADA!AH311+'DIETOLOGÍA(S)'!AH311)</f>
        <v>0</v>
      </c>
      <c r="AI311" s="9">
        <f t="shared" si="11"/>
        <v>0</v>
      </c>
    </row>
    <row r="312" spans="1:35" ht="15.75" customHeight="1">
      <c r="A312" s="238">
        <v>2212001044</v>
      </c>
      <c r="B312" s="239" t="s">
        <v>326</v>
      </c>
      <c r="C312" s="240" t="s">
        <v>8</v>
      </c>
      <c r="D312" s="6">
        <f>SUM(PACIENTES!D312+COMEDOR!D312+JORNADA!D312+'DIETOLOGÍA(S)'!D312)</f>
        <v>130</v>
      </c>
      <c r="E312" s="6">
        <f>SUM(PACIENTES!E312+COMEDOR!E312+JORNADA!E312+'DIETOLOGÍA(S)'!E312)</f>
        <v>130</v>
      </c>
      <c r="F312" s="6">
        <f>SUM(PACIENTES!F312+COMEDOR!F312+JORNADA!F312+'DIETOLOGÍA(S)'!F312)</f>
        <v>60</v>
      </c>
      <c r="G312" s="6">
        <f>SUM(PACIENTES!G312+COMEDOR!G312+JORNADA!G312+'DIETOLOGÍA(S)'!G312)</f>
        <v>60</v>
      </c>
      <c r="H312" s="6">
        <f>SUM(PACIENTES!H312+COMEDOR!H312+JORNADA!H312+'DIETOLOGÍA(S)'!H312)</f>
        <v>130</v>
      </c>
      <c r="I312" s="6">
        <f>SUM(PACIENTES!I312+COMEDOR!I312+JORNADA!I312+'DIETOLOGÍA(S)'!I312)</f>
        <v>130</v>
      </c>
      <c r="J312" s="6">
        <f>SUM(PACIENTES!J312+COMEDOR!J312+JORNADA!J312+'DIETOLOGÍA(S)'!J312)</f>
        <v>130</v>
      </c>
      <c r="K312" s="6">
        <f>SUM(PACIENTES!K312+COMEDOR!K312+JORNADA!K312+'DIETOLOGÍA(S)'!K312)</f>
        <v>130</v>
      </c>
      <c r="L312" s="6">
        <f>SUM(PACIENTES!L312+COMEDOR!L312+JORNADA!L312+'DIETOLOGÍA(S)'!L312)</f>
        <v>130</v>
      </c>
      <c r="M312" s="6">
        <f>SUM(PACIENTES!M312+COMEDOR!M312+JORNADA!M312+'DIETOLOGÍA(S)'!M312)</f>
        <v>60</v>
      </c>
      <c r="N312" s="6">
        <f>SUM(PACIENTES!N312+COMEDOR!N312+JORNADA!N312+'DIETOLOGÍA(S)'!N312)</f>
        <v>60</v>
      </c>
      <c r="O312" s="6">
        <f>SUM(PACIENTES!O312+COMEDOR!O312+JORNADA!O312+'DIETOLOGÍA(S)'!O312)</f>
        <v>0</v>
      </c>
      <c r="P312" s="6">
        <f>SUM(PACIENTES!P312+COMEDOR!P312+JORNADA!P312+'DIETOLOGÍA(S)'!P312)</f>
        <v>130</v>
      </c>
      <c r="Q312" s="6">
        <f>SUM(PACIENTES!Q312+COMEDOR!Q312+JORNADA!Q312+'DIETOLOGÍA(S)'!Q312)</f>
        <v>130</v>
      </c>
      <c r="R312" s="6">
        <f>SUM(PACIENTES!R312+COMEDOR!R312+JORNADA!R312+'DIETOLOGÍA(S)'!R312)</f>
        <v>130</v>
      </c>
      <c r="S312" s="6">
        <f>SUM(PACIENTES!S312+COMEDOR!S312+JORNADA!S312+'DIETOLOGÍA(S)'!S312)</f>
        <v>140</v>
      </c>
      <c r="T312" s="6">
        <f>SUM(PACIENTES!T312+COMEDOR!T312+JORNADA!T312+'DIETOLOGÍA(S)'!T312)</f>
        <v>60</v>
      </c>
      <c r="U312" s="6">
        <f>SUM(PACIENTES!U312+COMEDOR!U312+JORNADA!U312+'DIETOLOGÍA(S)'!U312)</f>
        <v>60</v>
      </c>
      <c r="V312" s="6">
        <f>SUM(PACIENTES!V312+COMEDOR!V312+JORNADA!V312+'DIETOLOGÍA(S)'!V312)</f>
        <v>130</v>
      </c>
      <c r="W312" s="6">
        <f>SUM(PACIENTES!W312+COMEDOR!W312+JORNADA!W312+'DIETOLOGÍA(S)'!W312)</f>
        <v>130</v>
      </c>
      <c r="X312" s="6">
        <f>SUM(PACIENTES!X312+COMEDOR!X312+JORNADA!X312+'DIETOLOGÍA(S)'!X312)</f>
        <v>130</v>
      </c>
      <c r="Y312" s="6">
        <f>SUM(PACIENTES!Y312+COMEDOR!Y312+JORNADA!Y312+'DIETOLOGÍA(S)'!Y312)</f>
        <v>130</v>
      </c>
      <c r="Z312" s="6">
        <f>SUM(PACIENTES!Z312+COMEDOR!Z312+JORNADA!Z312+'DIETOLOGÍA(S)'!Z312)</f>
        <v>130</v>
      </c>
      <c r="AA312" s="6">
        <f>SUM(PACIENTES!AA312+COMEDOR!AA312+JORNADA!AA312+'DIETOLOGÍA(S)'!AA312)</f>
        <v>60</v>
      </c>
      <c r="AB312" s="6">
        <f>SUM(PACIENTES!AB312+COMEDOR!AB312+JORNADA!AB312+'DIETOLOGÍA(S)'!AB312)</f>
        <v>60</v>
      </c>
      <c r="AC312" s="6">
        <f>SUM(PACIENTES!AC312+COMEDOR!AC312+JORNADA!AC312+'DIETOLOGÍA(S)'!AC312)</f>
        <v>130</v>
      </c>
      <c r="AD312" s="6">
        <f>SUM(PACIENTES!AD312+COMEDOR!AD312+JORNADA!AD312+'DIETOLOGÍA(S)'!AD312)</f>
        <v>130</v>
      </c>
      <c r="AE312" s="6">
        <f>SUM(PACIENTES!AE312+COMEDOR!AE312+JORNADA!AE312+'DIETOLOGÍA(S)'!AE312)</f>
        <v>140</v>
      </c>
      <c r="AF312" s="6">
        <f>SUM(PACIENTES!AF312+COMEDOR!AF312+JORNADA!AF312+'DIETOLOGÍA(S)'!AF312)</f>
        <v>130</v>
      </c>
      <c r="AG312" s="6">
        <f>SUM(PACIENTES!AG312+COMEDOR!AG312+JORNADA!AG312+'DIETOLOGÍA(S)'!AG312)</f>
        <v>130</v>
      </c>
      <c r="AH312" s="6">
        <f>SUM(PACIENTES!AH312+COMEDOR!AH312+JORNADA!AH312+'DIETOLOGÍA(S)'!AH312)</f>
        <v>60</v>
      </c>
      <c r="AI312" s="9">
        <f t="shared" si="11"/>
        <v>3290</v>
      </c>
    </row>
    <row r="313" spans="1:35" ht="15.75" customHeight="1">
      <c r="A313" s="238">
        <v>2212001045</v>
      </c>
      <c r="B313" s="239" t="s">
        <v>327</v>
      </c>
      <c r="C313" s="240" t="s">
        <v>296</v>
      </c>
      <c r="D313" s="6">
        <f>SUM(PACIENTES!D313+COMEDOR!D313+JORNADA!D313+'DIETOLOGÍA(S)'!D313+'NUTRICIÓN CLÍNICA'!D11)</f>
        <v>0</v>
      </c>
      <c r="E313" s="6">
        <f>SUM(PACIENTES!E313+COMEDOR!E313+JORNADA!E313+'DIETOLOGÍA(S)'!E313+'NUTRICIÓN CLÍNICA'!E11)</f>
        <v>0</v>
      </c>
      <c r="F313" s="6">
        <f>SUM(PACIENTES!F313+COMEDOR!F313+JORNADA!F313+'DIETOLOGÍA(S)'!F313+'NUTRICIÓN CLÍNICA'!F11)</f>
        <v>0</v>
      </c>
      <c r="G313" s="6">
        <f>SUM(PACIENTES!G313+COMEDOR!G313+JORNADA!G313+'DIETOLOGÍA(S)'!G313+'NUTRICIÓN CLÍNICA'!G11)</f>
        <v>0</v>
      </c>
      <c r="H313" s="6">
        <f>SUM(PACIENTES!H313+COMEDOR!H313+JORNADA!H313+'DIETOLOGÍA(S)'!H313+'NUTRICIÓN CLÍNICA'!H11)</f>
        <v>0</v>
      </c>
      <c r="I313" s="6">
        <f>SUM(PACIENTES!I313+COMEDOR!I313+JORNADA!I313+'DIETOLOGÍA(S)'!I313+'NUTRICIÓN CLÍNICA'!I11)</f>
        <v>0</v>
      </c>
      <c r="J313" s="6">
        <f>SUM(PACIENTES!J313+COMEDOR!J313+JORNADA!J313+'DIETOLOGÍA(S)'!J313+'NUTRICIÓN CLÍNICA'!J11)</f>
        <v>3</v>
      </c>
      <c r="K313" s="6">
        <f>SUM(PACIENTES!K313+COMEDOR!K313+JORNADA!K313+'DIETOLOGÍA(S)'!K313+'NUTRICIÓN CLÍNICA'!K11)</f>
        <v>0</v>
      </c>
      <c r="L313" s="6">
        <f>SUM(PACIENTES!L313+COMEDOR!L313+JORNADA!L313+'DIETOLOGÍA(S)'!L313+'NUTRICIÓN CLÍNICA'!L11)</f>
        <v>0</v>
      </c>
      <c r="M313" s="6">
        <f>SUM(PACIENTES!M313+COMEDOR!M313+JORNADA!M313+'DIETOLOGÍA(S)'!M313+'NUTRICIÓN CLÍNICA'!M11)</f>
        <v>0</v>
      </c>
      <c r="N313" s="6">
        <f>SUM(PACIENTES!N313+COMEDOR!N313+JORNADA!N313+'DIETOLOGÍA(S)'!N313+'NUTRICIÓN CLÍNICA'!N11)</f>
        <v>0</v>
      </c>
      <c r="O313" s="6">
        <f>SUM(PACIENTES!O313+COMEDOR!O313+JORNADA!O313+'DIETOLOGÍA(S)'!O313+'NUTRICIÓN CLÍNICA'!O11)</f>
        <v>0</v>
      </c>
      <c r="P313" s="6">
        <f>SUM(PACIENTES!P313+COMEDOR!P313+JORNADA!P313+'DIETOLOGÍA(S)'!P313+'NUTRICIÓN CLÍNICA'!P11)</f>
        <v>1</v>
      </c>
      <c r="Q313" s="6">
        <f>SUM(PACIENTES!Q313+COMEDOR!Q313+JORNADA!Q313+'DIETOLOGÍA(S)'!Q313+'NUTRICIÓN CLÍNICA'!Q11)</f>
        <v>3</v>
      </c>
      <c r="R313" s="6">
        <f>SUM(PACIENTES!R313+COMEDOR!R313+JORNADA!R313+'DIETOLOGÍA(S)'!R313+'NUTRICIÓN CLÍNICA'!R11)</f>
        <v>0</v>
      </c>
      <c r="S313" s="6">
        <f>SUM(PACIENTES!S313+COMEDOR!S313+JORNADA!S313+'DIETOLOGÍA(S)'!S313+'NUTRICIÓN CLÍNICA'!S11)</f>
        <v>0</v>
      </c>
      <c r="T313" s="6">
        <f>SUM(PACIENTES!T313+COMEDOR!T313+JORNADA!T313+'DIETOLOGÍA(S)'!T313+'NUTRICIÓN CLÍNICA'!T11)</f>
        <v>0</v>
      </c>
      <c r="U313" s="6">
        <f>SUM(PACIENTES!U313+COMEDOR!U313+JORNADA!U313+'DIETOLOGÍA(S)'!U313+'NUTRICIÓN CLÍNICA'!U11)</f>
        <v>0</v>
      </c>
      <c r="V313" s="6">
        <f>SUM(PACIENTES!V313+COMEDOR!V313+JORNADA!V313+'DIETOLOGÍA(S)'!V313+'NUTRICIÓN CLÍNICA'!V11)</f>
        <v>0</v>
      </c>
      <c r="W313" s="6">
        <f>SUM(PACIENTES!W313+COMEDOR!W313+JORNADA!W313+'DIETOLOGÍA(S)'!W313+'NUTRICIÓN CLÍNICA'!W11)</f>
        <v>0</v>
      </c>
      <c r="X313" s="6">
        <f>SUM(PACIENTES!X313+COMEDOR!X313+JORNADA!X313+'DIETOLOGÍA(S)'!X313+'NUTRICIÓN CLÍNICA'!X11)</f>
        <v>3</v>
      </c>
      <c r="Y313" s="6">
        <f>SUM(PACIENTES!Y313+COMEDOR!Y313+JORNADA!Y313+'DIETOLOGÍA(S)'!Y313+'NUTRICIÓN CLÍNICA'!Y11)</f>
        <v>0</v>
      </c>
      <c r="Z313" s="6">
        <f>SUM(PACIENTES!Z313+COMEDOR!Z313+JORNADA!Z313+'DIETOLOGÍA(S)'!Z313+'NUTRICIÓN CLÍNICA'!Z11)</f>
        <v>0</v>
      </c>
      <c r="AA313" s="6">
        <f>SUM(PACIENTES!AA313+COMEDOR!AA313+JORNADA!AA313+'DIETOLOGÍA(S)'!AA313+'NUTRICIÓN CLÍNICA'!AA11)</f>
        <v>0</v>
      </c>
      <c r="AB313" s="6">
        <f>SUM(PACIENTES!AB313+COMEDOR!AB313+JORNADA!AB313+'DIETOLOGÍA(S)'!AB313+'NUTRICIÓN CLÍNICA'!AB11)</f>
        <v>0</v>
      </c>
      <c r="AC313" s="6">
        <f>SUM(PACIENTES!AC313+COMEDOR!AC313+JORNADA!AC313+'DIETOLOGÍA(S)'!AC313+'NUTRICIÓN CLÍNICA'!AC11)</f>
        <v>0</v>
      </c>
      <c r="AD313" s="6">
        <f>SUM(PACIENTES!AD313+COMEDOR!AD313+JORNADA!AD313+'DIETOLOGÍA(S)'!AD313+'NUTRICIÓN CLÍNICA'!AD11)</f>
        <v>1</v>
      </c>
      <c r="AE313" s="6">
        <f>SUM(PACIENTES!AE313+COMEDOR!AE313+JORNADA!AE313+'DIETOLOGÍA(S)'!AE313+'NUTRICIÓN CLÍNICA'!AE11)</f>
        <v>3</v>
      </c>
      <c r="AF313" s="6">
        <f>SUM(PACIENTES!AF313+COMEDOR!AF313+JORNADA!AF313+'DIETOLOGÍA(S)'!AF313+'NUTRICIÓN CLÍNICA'!AF11)</f>
        <v>0</v>
      </c>
      <c r="AG313" s="6">
        <f>SUM(PACIENTES!AG313+COMEDOR!AG313+JORNADA!AG313+'DIETOLOGÍA(S)'!AG313+'NUTRICIÓN CLÍNICA'!AG11)</f>
        <v>0</v>
      </c>
      <c r="AH313" s="6">
        <f>SUM(PACIENTES!AH313+COMEDOR!AH313+JORNADA!AH313+'DIETOLOGÍA(S)'!AH313+'NUTRICIÓN CLÍNICA'!AH11)</f>
        <v>0</v>
      </c>
      <c r="AI313" s="9">
        <f t="shared" si="11"/>
        <v>14</v>
      </c>
    </row>
    <row r="314" spans="1:35" ht="15.75" customHeight="1">
      <c r="A314" s="238">
        <v>2212001046</v>
      </c>
      <c r="B314" s="239" t="s">
        <v>328</v>
      </c>
      <c r="C314" s="240" t="s">
        <v>267</v>
      </c>
      <c r="D314" s="6">
        <f>SUM(PACIENTES!D314+COMEDOR!D314+JORNADA!D314+'DIETOLOGÍA(S)'!D314)</f>
        <v>0</v>
      </c>
      <c r="E314" s="6">
        <f>SUM(PACIENTES!E314+COMEDOR!E314+JORNADA!E314+'DIETOLOGÍA(S)'!E314)</f>
        <v>1</v>
      </c>
      <c r="F314" s="6">
        <f>SUM(PACIENTES!F314+COMEDOR!F314+JORNADA!F314+'DIETOLOGÍA(S)'!F314)</f>
        <v>0</v>
      </c>
      <c r="G314" s="6">
        <f>SUM(PACIENTES!G314+COMEDOR!G314+JORNADA!G314+'DIETOLOGÍA(S)'!G314)</f>
        <v>2</v>
      </c>
      <c r="H314" s="6">
        <f>SUM(PACIENTES!H314+COMEDOR!H314+JORNADA!H314+'DIETOLOGÍA(S)'!H314)</f>
        <v>2</v>
      </c>
      <c r="I314" s="6">
        <f>SUM(PACIENTES!I314+COMEDOR!I314+JORNADA!I314+'DIETOLOGÍA(S)'!I314)</f>
        <v>1</v>
      </c>
      <c r="J314" s="6">
        <f>SUM(PACIENTES!J314+COMEDOR!J314+JORNADA!J314+'DIETOLOGÍA(S)'!J314)</f>
        <v>0</v>
      </c>
      <c r="K314" s="6">
        <f>SUM(PACIENTES!K314+COMEDOR!K314+JORNADA!K314+'DIETOLOGÍA(S)'!K314)</f>
        <v>0</v>
      </c>
      <c r="L314" s="6">
        <f>SUM(PACIENTES!L314+COMEDOR!L314+JORNADA!L314+'DIETOLOGÍA(S)'!L314)</f>
        <v>3</v>
      </c>
      <c r="M314" s="6">
        <f>SUM(PACIENTES!M314+COMEDOR!M314+JORNADA!M314+'DIETOLOGÍA(S)'!M314)</f>
        <v>0</v>
      </c>
      <c r="N314" s="6">
        <f>SUM(PACIENTES!N314+COMEDOR!N314+JORNADA!N314+'DIETOLOGÍA(S)'!N314)</f>
        <v>1</v>
      </c>
      <c r="O314" s="6">
        <f>SUM(PACIENTES!O314+COMEDOR!O314+JORNADA!O314+'DIETOLOGÍA(S)'!O314)</f>
        <v>0</v>
      </c>
      <c r="P314" s="6">
        <f>SUM(PACIENTES!P314+COMEDOR!P314+JORNADA!P314+'DIETOLOGÍA(S)'!P314)</f>
        <v>1</v>
      </c>
      <c r="Q314" s="6">
        <f>SUM(PACIENTES!Q314+COMEDOR!Q314+JORNADA!Q314+'DIETOLOGÍA(S)'!Q314)</f>
        <v>2</v>
      </c>
      <c r="R314" s="6">
        <f>SUM(PACIENTES!R314+COMEDOR!R314+JORNADA!R314+'DIETOLOGÍA(S)'!R314)</f>
        <v>0</v>
      </c>
      <c r="S314" s="6">
        <f>SUM(PACIENTES!S314+COMEDOR!S314+JORNADA!S314+'DIETOLOGÍA(S)'!S314)</f>
        <v>0</v>
      </c>
      <c r="T314" s="6">
        <f>SUM(PACIENTES!T314+COMEDOR!T314+JORNADA!T314+'DIETOLOGÍA(S)'!T314)</f>
        <v>0</v>
      </c>
      <c r="U314" s="6">
        <f>SUM(PACIENTES!U314+COMEDOR!U314+JORNADA!U314+'DIETOLOGÍA(S)'!U314)</f>
        <v>0</v>
      </c>
      <c r="V314" s="6">
        <f>SUM(PACIENTES!V314+COMEDOR!V314+JORNADA!V314+'DIETOLOGÍA(S)'!V314)</f>
        <v>0</v>
      </c>
      <c r="W314" s="6">
        <f>SUM(PACIENTES!W314+COMEDOR!W314+JORNADA!W314+'DIETOLOGÍA(S)'!W314)</f>
        <v>0</v>
      </c>
      <c r="X314" s="6">
        <f>SUM(PACIENTES!X314+COMEDOR!X314+JORNADA!X314+'DIETOLOGÍA(S)'!X314)</f>
        <v>1</v>
      </c>
      <c r="Y314" s="6">
        <f>SUM(PACIENTES!Y314+COMEDOR!Y314+JORNADA!Y314+'DIETOLOGÍA(S)'!Y314)</f>
        <v>1</v>
      </c>
      <c r="Z314" s="6">
        <f>SUM(PACIENTES!Z314+COMEDOR!Z314+JORNADA!Z314+'DIETOLOGÍA(S)'!Z314)</f>
        <v>0</v>
      </c>
      <c r="AA314" s="6">
        <f>SUM(PACIENTES!AA314+COMEDOR!AA314+JORNADA!AA314+'DIETOLOGÍA(S)'!AA314)</f>
        <v>2</v>
      </c>
      <c r="AB314" s="6">
        <f>SUM(PACIENTES!AB314+COMEDOR!AB314+JORNADA!AB314+'DIETOLOGÍA(S)'!AB314)</f>
        <v>0</v>
      </c>
      <c r="AC314" s="6">
        <f>SUM(PACIENTES!AC314+COMEDOR!AC314+JORNADA!AC314+'DIETOLOGÍA(S)'!AC314)</f>
        <v>1</v>
      </c>
      <c r="AD314" s="6">
        <f>SUM(PACIENTES!AD314+COMEDOR!AD314+JORNADA!AD314+'DIETOLOGÍA(S)'!AD314)</f>
        <v>0</v>
      </c>
      <c r="AE314" s="6">
        <f>SUM(PACIENTES!AE314+COMEDOR!AE314+JORNADA!AE314+'DIETOLOGÍA(S)'!AE314)</f>
        <v>0</v>
      </c>
      <c r="AF314" s="6">
        <f>SUM(PACIENTES!AF314+COMEDOR!AF314+JORNADA!AF314+'DIETOLOGÍA(S)'!AF314)</f>
        <v>2</v>
      </c>
      <c r="AG314" s="6">
        <f>SUM(PACIENTES!AG314+COMEDOR!AG314+JORNADA!AG314+'DIETOLOGÍA(S)'!AG314)</f>
        <v>0</v>
      </c>
      <c r="AH314" s="6">
        <f>SUM(PACIENTES!AH314+COMEDOR!AH314+JORNADA!AH314+'DIETOLOGÍA(S)'!AH314)</f>
        <v>0</v>
      </c>
      <c r="AI314" s="9">
        <f t="shared" si="11"/>
        <v>20</v>
      </c>
    </row>
    <row r="315" spans="1:35" ht="15.75" customHeight="1">
      <c r="A315" s="238">
        <v>2212001047</v>
      </c>
      <c r="B315" s="239" t="s">
        <v>329</v>
      </c>
      <c r="C315" s="240" t="s">
        <v>8</v>
      </c>
      <c r="D315" s="6">
        <f>SUM(PACIENTES!D315+COMEDOR!D315+JORNADA!D315+'DIETOLOGÍA(S)'!D315)</f>
        <v>0</v>
      </c>
      <c r="E315" s="6">
        <f>SUM(PACIENTES!E315+COMEDOR!E315+JORNADA!E315+'DIETOLOGÍA(S)'!E315)</f>
        <v>0</v>
      </c>
      <c r="F315" s="6">
        <f>SUM(PACIENTES!F315+COMEDOR!F315+JORNADA!F315+'DIETOLOGÍA(S)'!F315)</f>
        <v>0</v>
      </c>
      <c r="G315" s="6">
        <f>SUM(PACIENTES!G315+COMEDOR!G315+JORNADA!G315+'DIETOLOGÍA(S)'!G315)</f>
        <v>0</v>
      </c>
      <c r="H315" s="6">
        <f>SUM(PACIENTES!H315+COMEDOR!H315+JORNADA!H315+'DIETOLOGÍA(S)'!H315)</f>
        <v>0</v>
      </c>
      <c r="I315" s="6">
        <f>SUM(PACIENTES!I315+COMEDOR!I315+JORNADA!I315+'DIETOLOGÍA(S)'!I315)</f>
        <v>0</v>
      </c>
      <c r="J315" s="6">
        <f>SUM(PACIENTES!J315+COMEDOR!J315+JORNADA!J315+'DIETOLOGÍA(S)'!J315)</f>
        <v>0</v>
      </c>
      <c r="K315" s="6">
        <f>SUM(PACIENTES!K315+COMEDOR!K315+JORNADA!K315+'DIETOLOGÍA(S)'!K315)</f>
        <v>0</v>
      </c>
      <c r="L315" s="6">
        <f>SUM(PACIENTES!L315+COMEDOR!L315+JORNADA!L315+'DIETOLOGÍA(S)'!L315)</f>
        <v>0</v>
      </c>
      <c r="M315" s="6">
        <f>SUM(PACIENTES!M315+COMEDOR!M315+JORNADA!M315+'DIETOLOGÍA(S)'!M315)</f>
        <v>0</v>
      </c>
      <c r="N315" s="6">
        <f>SUM(PACIENTES!N315+COMEDOR!N315+JORNADA!N315+'DIETOLOGÍA(S)'!N315)</f>
        <v>0</v>
      </c>
      <c r="O315" s="6">
        <f>SUM(PACIENTES!O315+COMEDOR!O315+JORNADA!O315+'DIETOLOGÍA(S)'!O315)</f>
        <v>0</v>
      </c>
      <c r="P315" s="6">
        <f>SUM(PACIENTES!P315+COMEDOR!P315+JORNADA!P315+'DIETOLOGÍA(S)'!P315)</f>
        <v>0</v>
      </c>
      <c r="Q315" s="6">
        <f>SUM(PACIENTES!Q315+COMEDOR!Q315+JORNADA!Q315+'DIETOLOGÍA(S)'!Q315)</f>
        <v>0</v>
      </c>
      <c r="R315" s="6">
        <f>SUM(PACIENTES!R315+COMEDOR!R315+JORNADA!R315+'DIETOLOGÍA(S)'!R315)</f>
        <v>0</v>
      </c>
      <c r="S315" s="6">
        <f>SUM(PACIENTES!S315+COMEDOR!S315+JORNADA!S315+'DIETOLOGÍA(S)'!S315)</f>
        <v>0</v>
      </c>
      <c r="T315" s="6">
        <f>SUM(PACIENTES!T315+COMEDOR!T315+JORNADA!T315+'DIETOLOGÍA(S)'!T315)</f>
        <v>0</v>
      </c>
      <c r="U315" s="6">
        <f>SUM(PACIENTES!U315+COMEDOR!U315+JORNADA!U315+'DIETOLOGÍA(S)'!U315)</f>
        <v>0</v>
      </c>
      <c r="V315" s="6">
        <f>SUM(PACIENTES!V315+COMEDOR!V315+JORNADA!V315+'DIETOLOGÍA(S)'!V315)</f>
        <v>0</v>
      </c>
      <c r="W315" s="6">
        <f>SUM(PACIENTES!W315+COMEDOR!W315+JORNADA!W315+'DIETOLOGÍA(S)'!W315)</f>
        <v>0</v>
      </c>
      <c r="X315" s="6">
        <f>SUM(PACIENTES!X315+COMEDOR!X315+JORNADA!X315+'DIETOLOGÍA(S)'!X315)</f>
        <v>0</v>
      </c>
      <c r="Y315" s="6">
        <f>SUM(PACIENTES!Y315+COMEDOR!Y315+JORNADA!Y315+'DIETOLOGÍA(S)'!Y315)</f>
        <v>0</v>
      </c>
      <c r="Z315" s="6">
        <f>SUM(PACIENTES!Z315+COMEDOR!Z315+JORNADA!Z315+'DIETOLOGÍA(S)'!Z315)</f>
        <v>0</v>
      </c>
      <c r="AA315" s="6">
        <f>SUM(PACIENTES!AA315+COMEDOR!AA315+JORNADA!AA315+'DIETOLOGÍA(S)'!AA315)</f>
        <v>0</v>
      </c>
      <c r="AB315" s="6">
        <f>SUM(PACIENTES!AB315+COMEDOR!AB315+JORNADA!AB315+'DIETOLOGÍA(S)'!AB315)</f>
        <v>0</v>
      </c>
      <c r="AC315" s="6">
        <f>SUM(PACIENTES!AC315+COMEDOR!AC315+JORNADA!AC315+'DIETOLOGÍA(S)'!AC315)</f>
        <v>0</v>
      </c>
      <c r="AD315" s="6">
        <f>SUM(PACIENTES!AD315+COMEDOR!AD315+JORNADA!AD315+'DIETOLOGÍA(S)'!AD315)</f>
        <v>0</v>
      </c>
      <c r="AE315" s="6">
        <f>SUM(PACIENTES!AE315+COMEDOR!AE315+JORNADA!AE315+'DIETOLOGÍA(S)'!AE315)</f>
        <v>0</v>
      </c>
      <c r="AF315" s="6">
        <f>SUM(PACIENTES!AF315+COMEDOR!AF315+JORNADA!AF315+'DIETOLOGÍA(S)'!AF315)</f>
        <v>0</v>
      </c>
      <c r="AG315" s="6">
        <f>SUM(PACIENTES!AG315+COMEDOR!AG315+JORNADA!AG315+'DIETOLOGÍA(S)'!AG315)</f>
        <v>0</v>
      </c>
      <c r="AH315" s="6">
        <f>SUM(PACIENTES!AH315+COMEDOR!AH315+JORNADA!AH315+'DIETOLOGÍA(S)'!AH315)</f>
        <v>0</v>
      </c>
      <c r="AI315" s="9">
        <f t="shared" si="11"/>
        <v>0</v>
      </c>
    </row>
    <row r="316" spans="1:35" ht="15.75" customHeight="1">
      <c r="A316" s="238">
        <v>2212001049</v>
      </c>
      <c r="B316" s="239" t="s">
        <v>330</v>
      </c>
      <c r="C316" s="240" t="s">
        <v>296</v>
      </c>
      <c r="D316" s="6">
        <f>SUM(PACIENTES!D316+COMEDOR!D316+JORNADA!D316+'DIETOLOGÍA(S)'!D316)</f>
        <v>0</v>
      </c>
      <c r="E316" s="6">
        <f>SUM(PACIENTES!E316+COMEDOR!E316+JORNADA!E316+'DIETOLOGÍA(S)'!E316)</f>
        <v>0</v>
      </c>
      <c r="F316" s="6">
        <f>SUM(PACIENTES!F316+COMEDOR!F316+JORNADA!F316+'DIETOLOGÍA(S)'!F316)</f>
        <v>0</v>
      </c>
      <c r="G316" s="6">
        <f>SUM(PACIENTES!G316+COMEDOR!G316+JORNADA!G316+'DIETOLOGÍA(S)'!G316)</f>
        <v>2</v>
      </c>
      <c r="H316" s="6">
        <f>SUM(PACIENTES!H316+COMEDOR!H316+JORNADA!H316+'DIETOLOGÍA(S)'!H316)</f>
        <v>0</v>
      </c>
      <c r="I316" s="6">
        <f>SUM(PACIENTES!I316+COMEDOR!I316+JORNADA!I316+'DIETOLOGÍA(S)'!I316)</f>
        <v>0</v>
      </c>
      <c r="J316" s="6">
        <f>SUM(PACIENTES!J316+COMEDOR!J316+JORNADA!J316+'DIETOLOGÍA(S)'!J316)</f>
        <v>3</v>
      </c>
      <c r="K316" s="6">
        <f>SUM(PACIENTES!K316+COMEDOR!K316+JORNADA!K316+'DIETOLOGÍA(S)'!K316)</f>
        <v>0</v>
      </c>
      <c r="L316" s="6">
        <f>SUM(PACIENTES!L316+COMEDOR!L316+JORNADA!L316+'DIETOLOGÍA(S)'!L316)</f>
        <v>0</v>
      </c>
      <c r="M316" s="6">
        <f>SUM(PACIENTES!M316+COMEDOR!M316+JORNADA!M316+'DIETOLOGÍA(S)'!M316)</f>
        <v>0</v>
      </c>
      <c r="N316" s="6">
        <f>SUM(PACIENTES!N316+COMEDOR!N316+JORNADA!N316+'DIETOLOGÍA(S)'!N316)</f>
        <v>0</v>
      </c>
      <c r="O316" s="6">
        <f>SUM(PACIENTES!O316+COMEDOR!O316+JORNADA!O316+'DIETOLOGÍA(S)'!O316)</f>
        <v>0</v>
      </c>
      <c r="P316" s="6">
        <f>SUM(PACIENTES!P316+COMEDOR!P316+JORNADA!P316+'DIETOLOGÍA(S)'!P316)</f>
        <v>3</v>
      </c>
      <c r="Q316" s="6">
        <f>SUM(PACIENTES!Q316+COMEDOR!Q316+JORNADA!Q316+'DIETOLOGÍA(S)'!Q316)</f>
        <v>0</v>
      </c>
      <c r="R316" s="6">
        <f>SUM(PACIENTES!R316+COMEDOR!R316+JORNADA!R316+'DIETOLOGÍA(S)'!R316)</f>
        <v>0</v>
      </c>
      <c r="S316" s="6">
        <f>SUM(PACIENTES!S316+COMEDOR!S316+JORNADA!S316+'DIETOLOGÍA(S)'!S316)</f>
        <v>0</v>
      </c>
      <c r="T316" s="6">
        <f>SUM(PACIENTES!T316+COMEDOR!T316+JORNADA!T316+'DIETOLOGÍA(S)'!T316)</f>
        <v>0</v>
      </c>
      <c r="U316" s="6">
        <f>SUM(PACIENTES!U316+COMEDOR!U316+JORNADA!U316+'DIETOLOGÍA(S)'!U316)</f>
        <v>0</v>
      </c>
      <c r="V316" s="6">
        <f>SUM(PACIENTES!V316+COMEDOR!V316+JORNADA!V316+'DIETOLOGÍA(S)'!V316)</f>
        <v>0</v>
      </c>
      <c r="W316" s="6">
        <f>SUM(PACIENTES!W316+COMEDOR!W316+JORNADA!W316+'DIETOLOGÍA(S)'!W316)</f>
        <v>0</v>
      </c>
      <c r="X316" s="6">
        <f>SUM(PACIENTES!X316+COMEDOR!X316+JORNADA!X316+'DIETOLOGÍA(S)'!X316)</f>
        <v>1</v>
      </c>
      <c r="Y316" s="6">
        <f>SUM(PACIENTES!Y316+COMEDOR!Y316+JORNADA!Y316+'DIETOLOGÍA(S)'!Y316)</f>
        <v>3</v>
      </c>
      <c r="Z316" s="6">
        <f>SUM(PACIENTES!Z316+COMEDOR!Z316+JORNADA!Z316+'DIETOLOGÍA(S)'!Z316)</f>
        <v>0</v>
      </c>
      <c r="AA316" s="6">
        <f>SUM(PACIENTES!AA316+COMEDOR!AA316+JORNADA!AA316+'DIETOLOGÍA(S)'!AA316)</f>
        <v>0</v>
      </c>
      <c r="AB316" s="6">
        <f>SUM(PACIENTES!AB316+COMEDOR!AB316+JORNADA!AB316+'DIETOLOGÍA(S)'!AB316)</f>
        <v>0</v>
      </c>
      <c r="AC316" s="6">
        <f>SUM(PACIENTES!AC316+COMEDOR!AC316+JORNADA!AC316+'DIETOLOGÍA(S)'!AC316)</f>
        <v>3</v>
      </c>
      <c r="AD316" s="6">
        <f>SUM(PACIENTES!AD316+COMEDOR!AD316+JORNADA!AD316+'DIETOLOGÍA(S)'!AD316)</f>
        <v>0</v>
      </c>
      <c r="AE316" s="6">
        <f>SUM(PACIENTES!AE316+COMEDOR!AE316+JORNADA!AE316+'DIETOLOGÍA(S)'!AE316)</f>
        <v>0</v>
      </c>
      <c r="AF316" s="6">
        <f>SUM(PACIENTES!AF316+COMEDOR!AF316+JORNADA!AF316+'DIETOLOGÍA(S)'!AF316)</f>
        <v>0</v>
      </c>
      <c r="AG316" s="6">
        <f>SUM(PACIENTES!AG316+COMEDOR!AG316+JORNADA!AG316+'DIETOLOGÍA(S)'!AG316)</f>
        <v>0</v>
      </c>
      <c r="AH316" s="6">
        <f>SUM(PACIENTES!AH316+COMEDOR!AH316+JORNADA!AH316+'DIETOLOGÍA(S)'!AH316)</f>
        <v>0</v>
      </c>
      <c r="AI316" s="9">
        <f t="shared" si="11"/>
        <v>15</v>
      </c>
    </row>
    <row r="317" spans="1:35" ht="15.75" customHeight="1">
      <c r="A317" s="238">
        <v>2212001050</v>
      </c>
      <c r="B317" s="239" t="s">
        <v>331</v>
      </c>
      <c r="C317" s="240" t="s">
        <v>267</v>
      </c>
      <c r="D317" s="6">
        <f>SUM(PACIENTES!D317+COMEDOR!D317+JORNADA!D317+'DIETOLOGÍA(S)'!D317)</f>
        <v>0</v>
      </c>
      <c r="E317" s="6">
        <f>SUM(PACIENTES!E317+COMEDOR!E317+JORNADA!E317+'DIETOLOGÍA(S)'!E317)</f>
        <v>1</v>
      </c>
      <c r="F317" s="6">
        <f>SUM(PACIENTES!F317+COMEDOR!F317+JORNADA!F317+'DIETOLOGÍA(S)'!F317)</f>
        <v>0</v>
      </c>
      <c r="G317" s="6">
        <f>SUM(PACIENTES!G317+COMEDOR!G317+JORNADA!G317+'DIETOLOGÍA(S)'!G317)</f>
        <v>1</v>
      </c>
      <c r="H317" s="6">
        <f>SUM(PACIENTES!H317+COMEDOR!H317+JORNADA!H317+'DIETOLOGÍA(S)'!H317)</f>
        <v>0</v>
      </c>
      <c r="I317" s="6">
        <f>SUM(PACIENTES!I317+COMEDOR!I317+JORNADA!I317+'DIETOLOGÍA(S)'!I317)</f>
        <v>0</v>
      </c>
      <c r="J317" s="6">
        <f>SUM(PACIENTES!J317+COMEDOR!J317+JORNADA!J317+'DIETOLOGÍA(S)'!J317)</f>
        <v>0</v>
      </c>
      <c r="K317" s="6">
        <f>SUM(PACIENTES!K317+COMEDOR!K317+JORNADA!K317+'DIETOLOGÍA(S)'!K317)</f>
        <v>0</v>
      </c>
      <c r="L317" s="6">
        <f>SUM(PACIENTES!L317+COMEDOR!L317+JORNADA!L317+'DIETOLOGÍA(S)'!L317)</f>
        <v>0</v>
      </c>
      <c r="M317" s="6">
        <f>SUM(PACIENTES!M317+COMEDOR!M317+JORNADA!M317+'DIETOLOGÍA(S)'!M317)</f>
        <v>0</v>
      </c>
      <c r="N317" s="6">
        <f>SUM(PACIENTES!N317+COMEDOR!N317+JORNADA!N317+'DIETOLOGÍA(S)'!N317)</f>
        <v>0</v>
      </c>
      <c r="O317" s="6">
        <f>SUM(PACIENTES!O317+COMEDOR!O317+JORNADA!O317+'DIETOLOGÍA(S)'!O317)</f>
        <v>0</v>
      </c>
      <c r="P317" s="6">
        <f>SUM(PACIENTES!P317+COMEDOR!P317+JORNADA!P317+'DIETOLOGÍA(S)'!P317)</f>
        <v>0</v>
      </c>
      <c r="Q317" s="6">
        <f>SUM(PACIENTES!Q317+COMEDOR!Q317+JORNADA!Q317+'DIETOLOGÍA(S)'!Q317)</f>
        <v>0</v>
      </c>
      <c r="R317" s="6">
        <f>SUM(PACIENTES!R317+COMEDOR!R317+JORNADA!R317+'DIETOLOGÍA(S)'!R317)</f>
        <v>0</v>
      </c>
      <c r="S317" s="6">
        <f>SUM(PACIENTES!S317+COMEDOR!S317+JORNADA!S317+'DIETOLOGÍA(S)'!S317)</f>
        <v>0</v>
      </c>
      <c r="T317" s="6">
        <f>SUM(PACIENTES!T317+COMEDOR!T317+JORNADA!T317+'DIETOLOGÍA(S)'!T317)</f>
        <v>0</v>
      </c>
      <c r="U317" s="6">
        <f>SUM(PACIENTES!U317+COMEDOR!U317+JORNADA!U317+'DIETOLOGÍA(S)'!U317)</f>
        <v>0</v>
      </c>
      <c r="V317" s="6">
        <f>SUM(PACIENTES!V317+COMEDOR!V317+JORNADA!V317+'DIETOLOGÍA(S)'!V317)</f>
        <v>0</v>
      </c>
      <c r="W317" s="6">
        <f>SUM(PACIENTES!W317+COMEDOR!W317+JORNADA!W317+'DIETOLOGÍA(S)'!W317)</f>
        <v>0</v>
      </c>
      <c r="X317" s="6">
        <f>SUM(PACIENTES!X317+COMEDOR!X317+JORNADA!X317+'DIETOLOGÍA(S)'!X317)</f>
        <v>0</v>
      </c>
      <c r="Y317" s="6">
        <f>SUM(PACIENTES!Y317+COMEDOR!Y317+JORNADA!Y317+'DIETOLOGÍA(S)'!Y317)</f>
        <v>0</v>
      </c>
      <c r="Z317" s="6">
        <f>SUM(PACIENTES!Z317+COMEDOR!Z317+JORNADA!Z317+'DIETOLOGÍA(S)'!Z317)</f>
        <v>0</v>
      </c>
      <c r="AA317" s="6">
        <f>SUM(PACIENTES!AA317+COMEDOR!AA317+JORNADA!AA317+'DIETOLOGÍA(S)'!AA317)</f>
        <v>0</v>
      </c>
      <c r="AB317" s="6">
        <f>SUM(PACIENTES!AB317+COMEDOR!AB317+JORNADA!AB317+'DIETOLOGÍA(S)'!AB317)</f>
        <v>0</v>
      </c>
      <c r="AC317" s="6">
        <f>SUM(PACIENTES!AC317+COMEDOR!AC317+JORNADA!AC317+'DIETOLOGÍA(S)'!AC317)</f>
        <v>0</v>
      </c>
      <c r="AD317" s="6">
        <f>SUM(PACIENTES!AD317+COMEDOR!AD317+JORNADA!AD317+'DIETOLOGÍA(S)'!AD317)</f>
        <v>0</v>
      </c>
      <c r="AE317" s="6">
        <f>SUM(PACIENTES!AE317+COMEDOR!AE317+JORNADA!AE317+'DIETOLOGÍA(S)'!AE317)</f>
        <v>0</v>
      </c>
      <c r="AF317" s="6">
        <f>SUM(PACIENTES!AF317+COMEDOR!AF317+JORNADA!AF317+'DIETOLOGÍA(S)'!AF317)</f>
        <v>0</v>
      </c>
      <c r="AG317" s="6">
        <f>SUM(PACIENTES!AG317+COMEDOR!AG317+JORNADA!AG317+'DIETOLOGÍA(S)'!AG317)</f>
        <v>0</v>
      </c>
      <c r="AH317" s="6">
        <f>SUM(PACIENTES!AH317+COMEDOR!AH317+JORNADA!AH317+'DIETOLOGÍA(S)'!AH317)</f>
        <v>0</v>
      </c>
      <c r="AI317" s="9">
        <f t="shared" si="11"/>
        <v>2</v>
      </c>
    </row>
    <row r="318" spans="1:35" ht="15.75" customHeight="1">
      <c r="A318" s="238">
        <v>2212001051</v>
      </c>
      <c r="B318" s="239" t="s">
        <v>332</v>
      </c>
      <c r="C318" s="240" t="s">
        <v>175</v>
      </c>
      <c r="D318" s="6">
        <f>SUM(PACIENTES!D318+COMEDOR!D318+JORNADA!D318+'DIETOLOGÍA(S)'!D318)</f>
        <v>0</v>
      </c>
      <c r="E318" s="6">
        <f>SUM(PACIENTES!E318+COMEDOR!E318+JORNADA!E318+'DIETOLOGÍA(S)'!E318)</f>
        <v>0</v>
      </c>
      <c r="F318" s="6">
        <f>SUM(PACIENTES!F318+COMEDOR!F318+JORNADA!F318+'DIETOLOGÍA(S)'!F318)</f>
        <v>0</v>
      </c>
      <c r="G318" s="6">
        <f>SUM(PACIENTES!G318+COMEDOR!G318+JORNADA!G318+'DIETOLOGÍA(S)'!G318)</f>
        <v>0</v>
      </c>
      <c r="H318" s="6">
        <f>SUM(PACIENTES!H318+COMEDOR!H318+JORNADA!H318+'DIETOLOGÍA(S)'!H318)</f>
        <v>0</v>
      </c>
      <c r="I318" s="6">
        <f>SUM(PACIENTES!I318+COMEDOR!I318+JORNADA!I318+'DIETOLOGÍA(S)'!I318)</f>
        <v>1</v>
      </c>
      <c r="J318" s="6">
        <f>SUM(PACIENTES!J318+COMEDOR!J318+JORNADA!J318+'DIETOLOGÍA(S)'!J318)</f>
        <v>0</v>
      </c>
      <c r="K318" s="6">
        <f>SUM(PACIENTES!K318+COMEDOR!K318+JORNADA!K318+'DIETOLOGÍA(S)'!K318)</f>
        <v>0</v>
      </c>
      <c r="L318" s="6">
        <f>SUM(PACIENTES!L318+COMEDOR!L318+JORNADA!L318+'DIETOLOGÍA(S)'!L318)</f>
        <v>0</v>
      </c>
      <c r="M318" s="6">
        <f>SUM(PACIENTES!M318+COMEDOR!M318+JORNADA!M318+'DIETOLOGÍA(S)'!M318)</f>
        <v>0</v>
      </c>
      <c r="N318" s="6">
        <f>SUM(PACIENTES!N318+COMEDOR!N318+JORNADA!N318+'DIETOLOGÍA(S)'!N318)</f>
        <v>0</v>
      </c>
      <c r="O318" s="6">
        <f>SUM(PACIENTES!O318+COMEDOR!O318+JORNADA!O318+'DIETOLOGÍA(S)'!O318)</f>
        <v>0</v>
      </c>
      <c r="P318" s="6">
        <f>SUM(PACIENTES!P318+COMEDOR!P318+JORNADA!P318+'DIETOLOGÍA(S)'!P318)</f>
        <v>0</v>
      </c>
      <c r="Q318" s="6">
        <f>SUM(PACIENTES!Q318+COMEDOR!Q318+JORNADA!Q318+'DIETOLOGÍA(S)'!Q318)</f>
        <v>0</v>
      </c>
      <c r="R318" s="6">
        <f>SUM(PACIENTES!R318+COMEDOR!R318+JORNADA!R318+'DIETOLOGÍA(S)'!R318)</f>
        <v>0</v>
      </c>
      <c r="S318" s="6">
        <f>SUM(PACIENTES!S318+COMEDOR!S318+JORNADA!S318+'DIETOLOGÍA(S)'!S318)</f>
        <v>0</v>
      </c>
      <c r="T318" s="6">
        <f>SUM(PACIENTES!T318+COMEDOR!T318+JORNADA!T318+'DIETOLOGÍA(S)'!T318)</f>
        <v>0</v>
      </c>
      <c r="U318" s="6">
        <f>SUM(PACIENTES!U318+COMEDOR!U318+JORNADA!U318+'DIETOLOGÍA(S)'!U318)</f>
        <v>0</v>
      </c>
      <c r="V318" s="6">
        <f>SUM(PACIENTES!V318+COMEDOR!V318+JORNADA!V318+'DIETOLOGÍA(S)'!V318)</f>
        <v>0</v>
      </c>
      <c r="W318" s="6">
        <f>SUM(PACIENTES!W318+COMEDOR!W318+JORNADA!W318+'DIETOLOGÍA(S)'!W318)</f>
        <v>0</v>
      </c>
      <c r="X318" s="6">
        <f>SUM(PACIENTES!X318+COMEDOR!X318+JORNADA!X318+'DIETOLOGÍA(S)'!X318)</f>
        <v>0</v>
      </c>
      <c r="Y318" s="6">
        <f>SUM(PACIENTES!Y318+COMEDOR!Y318+JORNADA!Y318+'DIETOLOGÍA(S)'!Y318)</f>
        <v>0</v>
      </c>
      <c r="Z318" s="6">
        <f>SUM(PACIENTES!Z318+COMEDOR!Z318+JORNADA!Z318+'DIETOLOGÍA(S)'!Z318)</f>
        <v>0</v>
      </c>
      <c r="AA318" s="6">
        <f>SUM(PACIENTES!AA318+COMEDOR!AA318+JORNADA!AA318+'DIETOLOGÍA(S)'!AA318)</f>
        <v>0</v>
      </c>
      <c r="AB318" s="6">
        <f>SUM(PACIENTES!AB318+COMEDOR!AB318+JORNADA!AB318+'DIETOLOGÍA(S)'!AB318)</f>
        <v>0</v>
      </c>
      <c r="AC318" s="6">
        <f>SUM(PACIENTES!AC318+COMEDOR!AC318+JORNADA!AC318+'DIETOLOGÍA(S)'!AC318)</f>
        <v>0</v>
      </c>
      <c r="AD318" s="6">
        <f>SUM(PACIENTES!AD318+COMEDOR!AD318+JORNADA!AD318+'DIETOLOGÍA(S)'!AD318)</f>
        <v>0</v>
      </c>
      <c r="AE318" s="6">
        <f>SUM(PACIENTES!AE318+COMEDOR!AE318+JORNADA!AE318+'DIETOLOGÍA(S)'!AE318)</f>
        <v>0</v>
      </c>
      <c r="AF318" s="6">
        <f>SUM(PACIENTES!AF318+COMEDOR!AF318+JORNADA!AF318+'DIETOLOGÍA(S)'!AF318)</f>
        <v>0</v>
      </c>
      <c r="AG318" s="6">
        <f>SUM(PACIENTES!AG318+COMEDOR!AG318+JORNADA!AG318+'DIETOLOGÍA(S)'!AG318)</f>
        <v>0</v>
      </c>
      <c r="AH318" s="6">
        <f>SUM(PACIENTES!AH318+COMEDOR!AH318+JORNADA!AH318+'DIETOLOGÍA(S)'!AH318)</f>
        <v>0</v>
      </c>
      <c r="AI318" s="9">
        <f t="shared" si="11"/>
        <v>1</v>
      </c>
    </row>
    <row r="319" spans="1:35" ht="15.75" customHeight="1">
      <c r="A319" s="238">
        <v>2212001053</v>
      </c>
      <c r="B319" s="239" t="s">
        <v>333</v>
      </c>
      <c r="C319" s="240" t="s">
        <v>313</v>
      </c>
      <c r="D319" s="6">
        <f>SUM(PACIENTES!D319+COMEDOR!D319+JORNADA!D319+'DIETOLOGÍA(S)'!D319)</f>
        <v>0</v>
      </c>
      <c r="E319" s="6">
        <f>SUM(PACIENTES!E319+COMEDOR!E319+JORNADA!E319+'DIETOLOGÍA(S)'!E319)</f>
        <v>0</v>
      </c>
      <c r="F319" s="6">
        <f>SUM(PACIENTES!F319+COMEDOR!F319+JORNADA!F319+'DIETOLOGÍA(S)'!F319)</f>
        <v>0</v>
      </c>
      <c r="G319" s="6">
        <f>SUM(PACIENTES!G319+COMEDOR!G319+JORNADA!G319+'DIETOLOGÍA(S)'!G319)</f>
        <v>0</v>
      </c>
      <c r="H319" s="6">
        <f>SUM(PACIENTES!H319+COMEDOR!H319+JORNADA!H319+'DIETOLOGÍA(S)'!H319)</f>
        <v>0</v>
      </c>
      <c r="I319" s="6">
        <f>SUM(PACIENTES!I319+COMEDOR!I319+JORNADA!I319+'DIETOLOGÍA(S)'!I319)</f>
        <v>0</v>
      </c>
      <c r="J319" s="6">
        <f>SUM(PACIENTES!J319+COMEDOR!J319+JORNADA!J319+'DIETOLOGÍA(S)'!J319)</f>
        <v>0</v>
      </c>
      <c r="K319" s="6">
        <f>SUM(PACIENTES!K319+COMEDOR!K319+JORNADA!K319+'DIETOLOGÍA(S)'!K319)</f>
        <v>0</v>
      </c>
      <c r="L319" s="6">
        <f>SUM(PACIENTES!L319+COMEDOR!L319+JORNADA!L319+'DIETOLOGÍA(S)'!L319)</f>
        <v>0</v>
      </c>
      <c r="M319" s="6">
        <f>SUM(PACIENTES!M319+COMEDOR!M319+JORNADA!M319+'DIETOLOGÍA(S)'!M319)</f>
        <v>0</v>
      </c>
      <c r="N319" s="6">
        <f>SUM(PACIENTES!N319+COMEDOR!N319+JORNADA!N319+'DIETOLOGÍA(S)'!N319)</f>
        <v>0</v>
      </c>
      <c r="O319" s="6">
        <f>SUM(PACIENTES!O319+COMEDOR!O319+JORNADA!O319+'DIETOLOGÍA(S)'!O319)</f>
        <v>0</v>
      </c>
      <c r="P319" s="6">
        <f>SUM(PACIENTES!P319+COMEDOR!P319+JORNADA!P319+'DIETOLOGÍA(S)'!P319)</f>
        <v>0</v>
      </c>
      <c r="Q319" s="6">
        <f>SUM(PACIENTES!Q319+COMEDOR!Q319+JORNADA!Q319+'DIETOLOGÍA(S)'!Q319)</f>
        <v>0</v>
      </c>
      <c r="R319" s="6">
        <f>SUM(PACIENTES!R319+COMEDOR!R319+JORNADA!R319+'DIETOLOGÍA(S)'!R319)</f>
        <v>0</v>
      </c>
      <c r="S319" s="6">
        <f>SUM(PACIENTES!S319+COMEDOR!S319+JORNADA!S319+'DIETOLOGÍA(S)'!S319)</f>
        <v>0</v>
      </c>
      <c r="T319" s="6">
        <f>SUM(PACIENTES!T319+COMEDOR!T319+JORNADA!T319+'DIETOLOGÍA(S)'!T319)</f>
        <v>0</v>
      </c>
      <c r="U319" s="6">
        <f>SUM(PACIENTES!U319+COMEDOR!U319+JORNADA!U319+'DIETOLOGÍA(S)'!U319)</f>
        <v>0</v>
      </c>
      <c r="V319" s="6">
        <f>SUM(PACIENTES!V319+COMEDOR!V319+JORNADA!V319+'DIETOLOGÍA(S)'!V319)</f>
        <v>0</v>
      </c>
      <c r="W319" s="6">
        <f>SUM(PACIENTES!W319+COMEDOR!W319+JORNADA!W319+'DIETOLOGÍA(S)'!W319)</f>
        <v>0</v>
      </c>
      <c r="X319" s="6">
        <f>SUM(PACIENTES!X319+COMEDOR!X319+JORNADA!X319+'DIETOLOGÍA(S)'!X319)</f>
        <v>0</v>
      </c>
      <c r="Y319" s="6">
        <f>SUM(PACIENTES!Y319+COMEDOR!Y319+JORNADA!Y319+'DIETOLOGÍA(S)'!Y319)</f>
        <v>0</v>
      </c>
      <c r="Z319" s="6">
        <f>SUM(PACIENTES!Z319+COMEDOR!Z319+JORNADA!Z319+'DIETOLOGÍA(S)'!Z319)</f>
        <v>0</v>
      </c>
      <c r="AA319" s="6">
        <f>SUM(PACIENTES!AA319+COMEDOR!AA319+JORNADA!AA319+'DIETOLOGÍA(S)'!AA319)</f>
        <v>0</v>
      </c>
      <c r="AB319" s="6">
        <f>SUM(PACIENTES!AB319+COMEDOR!AB319+JORNADA!AB319+'DIETOLOGÍA(S)'!AB319)</f>
        <v>0</v>
      </c>
      <c r="AC319" s="6">
        <f>SUM(PACIENTES!AC319+COMEDOR!AC319+JORNADA!AC319+'DIETOLOGÍA(S)'!AC319)</f>
        <v>0</v>
      </c>
      <c r="AD319" s="6">
        <f>SUM(PACIENTES!AD319+COMEDOR!AD319+JORNADA!AD319+'DIETOLOGÍA(S)'!AD319)</f>
        <v>0</v>
      </c>
      <c r="AE319" s="6">
        <f>SUM(PACIENTES!AE319+COMEDOR!AE319+JORNADA!AE319+'DIETOLOGÍA(S)'!AE319)</f>
        <v>0</v>
      </c>
      <c r="AF319" s="6">
        <f>SUM(PACIENTES!AF319+COMEDOR!AF319+JORNADA!AF319+'DIETOLOGÍA(S)'!AF319)</f>
        <v>0</v>
      </c>
      <c r="AG319" s="6">
        <f>SUM(PACIENTES!AG319+COMEDOR!AG319+JORNADA!AG319+'DIETOLOGÍA(S)'!AG319)</f>
        <v>0</v>
      </c>
      <c r="AH319" s="6">
        <f>SUM(PACIENTES!AH319+COMEDOR!AH319+JORNADA!AH319+'DIETOLOGÍA(S)'!AH319)</f>
        <v>0</v>
      </c>
      <c r="AI319" s="9">
        <f t="shared" si="11"/>
        <v>0</v>
      </c>
    </row>
    <row r="320" spans="1:35" ht="15.75" customHeight="1">
      <c r="A320" s="238">
        <v>2212001054</v>
      </c>
      <c r="B320" s="239" t="s">
        <v>334</v>
      </c>
      <c r="C320" s="240" t="s">
        <v>313</v>
      </c>
      <c r="D320" s="6">
        <f>SUM(PACIENTES!D320+COMEDOR!D320+JORNADA!D320+'DIETOLOGÍA(S)'!D320)</f>
        <v>0</v>
      </c>
      <c r="E320" s="6">
        <f>SUM(PACIENTES!E320+COMEDOR!E320+JORNADA!E320+'DIETOLOGÍA(S)'!E320)</f>
        <v>0</v>
      </c>
      <c r="F320" s="6">
        <f>SUM(PACIENTES!F320+COMEDOR!F320+JORNADA!F320+'DIETOLOGÍA(S)'!F320)</f>
        <v>0</v>
      </c>
      <c r="G320" s="6">
        <f>SUM(PACIENTES!G320+COMEDOR!G320+JORNADA!G320+'DIETOLOGÍA(S)'!G320)</f>
        <v>0</v>
      </c>
      <c r="H320" s="6">
        <f>SUM(PACIENTES!H320+COMEDOR!H320+JORNADA!H320+'DIETOLOGÍA(S)'!H320)</f>
        <v>0</v>
      </c>
      <c r="I320" s="6">
        <f>SUM(PACIENTES!I320+COMEDOR!I320+JORNADA!I320+'DIETOLOGÍA(S)'!I320)</f>
        <v>0</v>
      </c>
      <c r="J320" s="6">
        <f>SUM(PACIENTES!J320+COMEDOR!J320+JORNADA!J320+'DIETOLOGÍA(S)'!J320)</f>
        <v>7</v>
      </c>
      <c r="K320" s="6">
        <f>SUM(PACIENTES!K320+COMEDOR!K320+JORNADA!K320+'DIETOLOGÍA(S)'!K320)</f>
        <v>3</v>
      </c>
      <c r="L320" s="6">
        <f>SUM(PACIENTES!L320+COMEDOR!L320+JORNADA!L320+'DIETOLOGÍA(S)'!L320)</f>
        <v>0</v>
      </c>
      <c r="M320" s="6">
        <f>SUM(PACIENTES!M320+COMEDOR!M320+JORNADA!M320+'DIETOLOGÍA(S)'!M320)</f>
        <v>0</v>
      </c>
      <c r="N320" s="6">
        <f>SUM(PACIENTES!N320+COMEDOR!N320+JORNADA!N320+'DIETOLOGÍA(S)'!N320)</f>
        <v>0</v>
      </c>
      <c r="O320" s="6">
        <f>SUM(PACIENTES!O320+COMEDOR!O320+JORNADA!O320+'DIETOLOGÍA(S)'!O320)</f>
        <v>0</v>
      </c>
      <c r="P320" s="6">
        <f>SUM(PACIENTES!P320+COMEDOR!P320+JORNADA!P320+'DIETOLOGÍA(S)'!P320)</f>
        <v>0</v>
      </c>
      <c r="Q320" s="6">
        <f>SUM(PACIENTES!Q320+COMEDOR!Q320+JORNADA!Q320+'DIETOLOGÍA(S)'!Q320)</f>
        <v>1</v>
      </c>
      <c r="R320" s="6">
        <f>SUM(PACIENTES!R320+COMEDOR!R320+JORNADA!R320+'DIETOLOGÍA(S)'!R320)</f>
        <v>0</v>
      </c>
      <c r="S320" s="6">
        <f>SUM(PACIENTES!S320+COMEDOR!S320+JORNADA!S320+'DIETOLOGÍA(S)'!S320)</f>
        <v>0</v>
      </c>
      <c r="T320" s="6">
        <f>SUM(PACIENTES!T320+COMEDOR!T320+JORNADA!T320+'DIETOLOGÍA(S)'!T320)</f>
        <v>0</v>
      </c>
      <c r="U320" s="6">
        <f>SUM(PACIENTES!U320+COMEDOR!U320+JORNADA!U320+'DIETOLOGÍA(S)'!U320)</f>
        <v>0</v>
      </c>
      <c r="V320" s="6">
        <f>SUM(PACIENTES!V320+COMEDOR!V320+JORNADA!V320+'DIETOLOGÍA(S)'!V320)</f>
        <v>0</v>
      </c>
      <c r="W320" s="6">
        <f>SUM(PACIENTES!W320+COMEDOR!W320+JORNADA!W320+'DIETOLOGÍA(S)'!W320)</f>
        <v>0</v>
      </c>
      <c r="X320" s="6">
        <f>SUM(PACIENTES!X320+COMEDOR!X320+JORNADA!X320+'DIETOLOGÍA(S)'!X320)</f>
        <v>0</v>
      </c>
      <c r="Y320" s="6">
        <f>SUM(PACIENTES!Y320+COMEDOR!Y320+JORNADA!Y320+'DIETOLOGÍA(S)'!Y320)</f>
        <v>3</v>
      </c>
      <c r="Z320" s="6">
        <f>SUM(PACIENTES!Z320+COMEDOR!Z320+JORNADA!Z320+'DIETOLOGÍA(S)'!Z320)</f>
        <v>3</v>
      </c>
      <c r="AA320" s="6">
        <f>SUM(PACIENTES!AA320+COMEDOR!AA320+JORNADA!AA320+'DIETOLOGÍA(S)'!AA320)</f>
        <v>0</v>
      </c>
      <c r="AB320" s="6">
        <f>SUM(PACIENTES!AB320+COMEDOR!AB320+JORNADA!AB320+'DIETOLOGÍA(S)'!AB320)</f>
        <v>4</v>
      </c>
      <c r="AC320" s="6">
        <f>SUM(PACIENTES!AC320+COMEDOR!AC320+JORNADA!AC320+'DIETOLOGÍA(S)'!AC320)</f>
        <v>0</v>
      </c>
      <c r="AD320" s="6">
        <f>SUM(PACIENTES!AD320+COMEDOR!AD320+JORNADA!AD320+'DIETOLOGÍA(S)'!AD320)</f>
        <v>0</v>
      </c>
      <c r="AE320" s="6">
        <f>SUM(PACIENTES!AE320+COMEDOR!AE320+JORNADA!AE320+'DIETOLOGÍA(S)'!AE320)</f>
        <v>0</v>
      </c>
      <c r="AF320" s="6">
        <f>SUM(PACIENTES!AF320+COMEDOR!AF320+JORNADA!AF320+'DIETOLOGÍA(S)'!AF320)</f>
        <v>0</v>
      </c>
      <c r="AG320" s="6">
        <f>SUM(PACIENTES!AG320+COMEDOR!AG320+JORNADA!AG320+'DIETOLOGÍA(S)'!AG320)</f>
        <v>0</v>
      </c>
      <c r="AH320" s="6">
        <f>SUM(PACIENTES!AH320+COMEDOR!AH320+JORNADA!AH320+'DIETOLOGÍA(S)'!AH320)</f>
        <v>0</v>
      </c>
      <c r="AI320" s="9">
        <f t="shared" si="11"/>
        <v>21</v>
      </c>
    </row>
    <row r="321" spans="1:35" ht="15.75" customHeight="1">
      <c r="A321" s="238">
        <v>2212001055</v>
      </c>
      <c r="B321" s="239" t="s">
        <v>335</v>
      </c>
      <c r="C321" s="240" t="s">
        <v>313</v>
      </c>
      <c r="D321" s="6">
        <f>SUM(PACIENTES!D321+COMEDOR!D321+JORNADA!D321+'DIETOLOGÍA(S)'!D321)</f>
        <v>0</v>
      </c>
      <c r="E321" s="6">
        <f>SUM(PACIENTES!E321+COMEDOR!E321+JORNADA!E321+'DIETOLOGÍA(S)'!E321)</f>
        <v>3</v>
      </c>
      <c r="F321" s="6">
        <f>SUM(PACIENTES!F321+COMEDOR!F321+JORNADA!F321+'DIETOLOGÍA(S)'!F321)</f>
        <v>0</v>
      </c>
      <c r="G321" s="6">
        <f>SUM(PACIENTES!G321+COMEDOR!G321+JORNADA!G321+'DIETOLOGÍA(S)'!G321)</f>
        <v>0</v>
      </c>
      <c r="H321" s="6">
        <f>SUM(PACIENTES!H321+COMEDOR!H321+JORNADA!H321+'DIETOLOGÍA(S)'!H321)</f>
        <v>0</v>
      </c>
      <c r="I321" s="6">
        <f>SUM(PACIENTES!I321+COMEDOR!I321+JORNADA!I321+'DIETOLOGÍA(S)'!I321)</f>
        <v>0</v>
      </c>
      <c r="J321" s="6">
        <f>SUM(PACIENTES!J321+COMEDOR!J321+JORNADA!J321+'DIETOLOGÍA(S)'!J321)</f>
        <v>1</v>
      </c>
      <c r="K321" s="6">
        <f>SUM(PACIENTES!K321+COMEDOR!K321+JORNADA!K321+'DIETOLOGÍA(S)'!K321)</f>
        <v>0</v>
      </c>
      <c r="L321" s="6">
        <f>SUM(PACIENTES!L321+COMEDOR!L321+JORNADA!L321+'DIETOLOGÍA(S)'!L321)</f>
        <v>0</v>
      </c>
      <c r="M321" s="6">
        <f>SUM(PACIENTES!M321+COMEDOR!M321+JORNADA!M321+'DIETOLOGÍA(S)'!M321)</f>
        <v>0</v>
      </c>
      <c r="N321" s="6">
        <f>SUM(PACIENTES!N321+COMEDOR!N321+JORNADA!N321+'DIETOLOGÍA(S)'!N321)</f>
        <v>2</v>
      </c>
      <c r="O321" s="6">
        <f>SUM(PACIENTES!O321+COMEDOR!O321+JORNADA!O321+'DIETOLOGÍA(S)'!O321)</f>
        <v>2</v>
      </c>
      <c r="P321" s="6">
        <f>SUM(PACIENTES!P321+COMEDOR!P321+JORNADA!P321+'DIETOLOGÍA(S)'!P321)</f>
        <v>0</v>
      </c>
      <c r="Q321" s="6">
        <f>SUM(PACIENTES!Q321+COMEDOR!Q321+JORNADA!Q321+'DIETOLOGÍA(S)'!Q321)</f>
        <v>0</v>
      </c>
      <c r="R321" s="6">
        <f>SUM(PACIENTES!R321+COMEDOR!R321+JORNADA!R321+'DIETOLOGÍA(S)'!R321)</f>
        <v>0</v>
      </c>
      <c r="S321" s="6">
        <f>SUM(PACIENTES!S321+COMEDOR!S321+JORNADA!S321+'DIETOLOGÍA(S)'!S321)</f>
        <v>0</v>
      </c>
      <c r="T321" s="6">
        <f>SUM(PACIENTES!T321+COMEDOR!T321+JORNADA!T321+'DIETOLOGÍA(S)'!T321)</f>
        <v>2</v>
      </c>
      <c r="U321" s="6">
        <f>SUM(PACIENTES!U321+COMEDOR!U321+JORNADA!U321+'DIETOLOGÍA(S)'!U321)</f>
        <v>2</v>
      </c>
      <c r="V321" s="6">
        <f>SUM(PACIENTES!V321+COMEDOR!V321+JORNADA!V321+'DIETOLOGÍA(S)'!V321)</f>
        <v>0</v>
      </c>
      <c r="W321" s="6">
        <f>SUM(PACIENTES!W321+COMEDOR!W321+JORNADA!W321+'DIETOLOGÍA(S)'!W321)</f>
        <v>0</v>
      </c>
      <c r="X321" s="6">
        <f>SUM(PACIENTES!X321+COMEDOR!X321+JORNADA!X321+'DIETOLOGÍA(S)'!X321)</f>
        <v>0</v>
      </c>
      <c r="Y321" s="6">
        <f>SUM(PACIENTES!Y321+COMEDOR!Y321+JORNADA!Y321+'DIETOLOGÍA(S)'!Y321)</f>
        <v>0</v>
      </c>
      <c r="Z321" s="6">
        <f>SUM(PACIENTES!Z321+COMEDOR!Z321+JORNADA!Z321+'DIETOLOGÍA(S)'!Z321)</f>
        <v>0</v>
      </c>
      <c r="AA321" s="6">
        <f>SUM(PACIENTES!AA321+COMEDOR!AA321+JORNADA!AA321+'DIETOLOGÍA(S)'!AA321)</f>
        <v>0</v>
      </c>
      <c r="AB321" s="6">
        <f>SUM(PACIENTES!AB321+COMEDOR!AB321+JORNADA!AB321+'DIETOLOGÍA(S)'!AB321)</f>
        <v>0</v>
      </c>
      <c r="AC321" s="6">
        <f>SUM(PACIENTES!AC321+COMEDOR!AC321+JORNADA!AC321+'DIETOLOGÍA(S)'!AC321)</f>
        <v>0</v>
      </c>
      <c r="AD321" s="6">
        <f>SUM(PACIENTES!AD321+COMEDOR!AD321+JORNADA!AD321+'DIETOLOGÍA(S)'!AD321)</f>
        <v>0</v>
      </c>
      <c r="AE321" s="6">
        <f>SUM(PACIENTES!AE321+COMEDOR!AE321+JORNADA!AE321+'DIETOLOGÍA(S)'!AE321)</f>
        <v>0</v>
      </c>
      <c r="AF321" s="6">
        <f>SUM(PACIENTES!AF321+COMEDOR!AF321+JORNADA!AF321+'DIETOLOGÍA(S)'!AF321)</f>
        <v>0</v>
      </c>
      <c r="AG321" s="6">
        <f>SUM(PACIENTES!AG321+COMEDOR!AG321+JORNADA!AG321+'DIETOLOGÍA(S)'!AG321)</f>
        <v>0</v>
      </c>
      <c r="AH321" s="6">
        <f>SUM(PACIENTES!AH321+COMEDOR!AH321+JORNADA!AH321+'DIETOLOGÍA(S)'!AH321)</f>
        <v>2</v>
      </c>
      <c r="AI321" s="9">
        <f t="shared" si="11"/>
        <v>14</v>
      </c>
    </row>
    <row r="322" spans="1:35" ht="15.75" customHeight="1">
      <c r="A322" s="238">
        <v>2212001057</v>
      </c>
      <c r="B322" s="239" t="s">
        <v>336</v>
      </c>
      <c r="C322" s="240" t="s">
        <v>296</v>
      </c>
      <c r="D322" s="6">
        <f>SUM(PACIENTES!D322+COMEDOR!D322+JORNADA!D322+'DIETOLOGÍA(S)'!D322)</f>
        <v>0</v>
      </c>
      <c r="E322" s="6">
        <f>SUM(PACIENTES!E322+COMEDOR!E322+JORNADA!E322+'DIETOLOGÍA(S)'!E322)</f>
        <v>0</v>
      </c>
      <c r="F322" s="6">
        <f>SUM(PACIENTES!F322+COMEDOR!F322+JORNADA!F322+'DIETOLOGÍA(S)'!F322)</f>
        <v>0</v>
      </c>
      <c r="G322" s="6">
        <f>SUM(PACIENTES!G322+COMEDOR!G322+JORNADA!G322+'DIETOLOGÍA(S)'!G322)</f>
        <v>0</v>
      </c>
      <c r="H322" s="6">
        <f>SUM(PACIENTES!H322+COMEDOR!H322+JORNADA!H322+'DIETOLOGÍA(S)'!H322)</f>
        <v>0</v>
      </c>
      <c r="I322" s="6">
        <f>SUM(PACIENTES!I322+COMEDOR!I322+JORNADA!I322+'DIETOLOGÍA(S)'!I322)</f>
        <v>0</v>
      </c>
      <c r="J322" s="6">
        <f>SUM(PACIENTES!J322+COMEDOR!J322+JORNADA!J322+'DIETOLOGÍA(S)'!J322)</f>
        <v>0</v>
      </c>
      <c r="K322" s="6">
        <f>SUM(PACIENTES!K322+COMEDOR!K322+JORNADA!K322+'DIETOLOGÍA(S)'!K322)</f>
        <v>0</v>
      </c>
      <c r="L322" s="6">
        <f>SUM(PACIENTES!L322+COMEDOR!L322+JORNADA!L322+'DIETOLOGÍA(S)'!L322)</f>
        <v>0</v>
      </c>
      <c r="M322" s="6">
        <f>SUM(PACIENTES!M322+COMEDOR!M322+JORNADA!M322+'DIETOLOGÍA(S)'!M322)</f>
        <v>0</v>
      </c>
      <c r="N322" s="6">
        <f>SUM(PACIENTES!N322+COMEDOR!N322+JORNADA!N322+'DIETOLOGÍA(S)'!N322)</f>
        <v>0</v>
      </c>
      <c r="O322" s="6">
        <f>SUM(PACIENTES!O322+COMEDOR!O322+JORNADA!O322+'DIETOLOGÍA(S)'!O322)</f>
        <v>0</v>
      </c>
      <c r="P322" s="6">
        <f>SUM(PACIENTES!P322+COMEDOR!P322+JORNADA!P322+'DIETOLOGÍA(S)'!P322)</f>
        <v>0</v>
      </c>
      <c r="Q322" s="6">
        <f>SUM(PACIENTES!Q322+COMEDOR!Q322+JORNADA!Q322+'DIETOLOGÍA(S)'!Q322)</f>
        <v>0</v>
      </c>
      <c r="R322" s="6">
        <f>SUM(PACIENTES!R322+COMEDOR!R322+JORNADA!R322+'DIETOLOGÍA(S)'!R322)</f>
        <v>0</v>
      </c>
      <c r="S322" s="6">
        <f>SUM(PACIENTES!S322+COMEDOR!S322+JORNADA!S322+'DIETOLOGÍA(S)'!S322)</f>
        <v>0</v>
      </c>
      <c r="T322" s="6">
        <f>SUM(PACIENTES!T322+COMEDOR!T322+JORNADA!T322+'DIETOLOGÍA(S)'!T322)</f>
        <v>0</v>
      </c>
      <c r="U322" s="6">
        <f>SUM(PACIENTES!U322+COMEDOR!U322+JORNADA!U322+'DIETOLOGÍA(S)'!U322)</f>
        <v>0</v>
      </c>
      <c r="V322" s="6">
        <f>SUM(PACIENTES!V322+COMEDOR!V322+JORNADA!V322+'DIETOLOGÍA(S)'!V322)</f>
        <v>0</v>
      </c>
      <c r="W322" s="6">
        <f>SUM(PACIENTES!W322+COMEDOR!W322+JORNADA!W322+'DIETOLOGÍA(S)'!W322)</f>
        <v>0</v>
      </c>
      <c r="X322" s="6">
        <f>SUM(PACIENTES!X322+COMEDOR!X322+JORNADA!X322+'DIETOLOGÍA(S)'!X322)</f>
        <v>0</v>
      </c>
      <c r="Y322" s="6">
        <f>SUM(PACIENTES!Y322+COMEDOR!Y322+JORNADA!Y322+'DIETOLOGÍA(S)'!Y322)</f>
        <v>0</v>
      </c>
      <c r="Z322" s="6">
        <f>SUM(PACIENTES!Z322+COMEDOR!Z322+JORNADA!Z322+'DIETOLOGÍA(S)'!Z322)</f>
        <v>0</v>
      </c>
      <c r="AA322" s="6">
        <f>SUM(PACIENTES!AA322+COMEDOR!AA322+JORNADA!AA322+'DIETOLOGÍA(S)'!AA322)</f>
        <v>0</v>
      </c>
      <c r="AB322" s="6">
        <f>SUM(PACIENTES!AB322+COMEDOR!AB322+JORNADA!AB322+'DIETOLOGÍA(S)'!AB322)</f>
        <v>0</v>
      </c>
      <c r="AC322" s="6">
        <f>SUM(PACIENTES!AC322+COMEDOR!AC322+JORNADA!AC322+'DIETOLOGÍA(S)'!AC322)</f>
        <v>0</v>
      </c>
      <c r="AD322" s="6">
        <f>SUM(PACIENTES!AD322+COMEDOR!AD322+JORNADA!AD322+'DIETOLOGÍA(S)'!AD322)</f>
        <v>0</v>
      </c>
      <c r="AE322" s="6">
        <f>SUM(PACIENTES!AE322+COMEDOR!AE322+JORNADA!AE322+'DIETOLOGÍA(S)'!AE322)</f>
        <v>0</v>
      </c>
      <c r="AF322" s="6">
        <f>SUM(PACIENTES!AF322+COMEDOR!AF322+JORNADA!AF322+'DIETOLOGÍA(S)'!AF322)</f>
        <v>0</v>
      </c>
      <c r="AG322" s="6">
        <f>SUM(PACIENTES!AG322+COMEDOR!AG322+JORNADA!AG322+'DIETOLOGÍA(S)'!AG322)</f>
        <v>0</v>
      </c>
      <c r="AH322" s="6">
        <f>SUM(PACIENTES!AH322+COMEDOR!AH322+JORNADA!AH322+'DIETOLOGÍA(S)'!AH322)</f>
        <v>0</v>
      </c>
      <c r="AI322" s="9">
        <f t="shared" si="11"/>
        <v>0</v>
      </c>
    </row>
    <row r="323" spans="1:35" ht="15.75" customHeight="1">
      <c r="A323" s="238">
        <v>2212001058</v>
      </c>
      <c r="B323" s="239" t="s">
        <v>337</v>
      </c>
      <c r="C323" s="240" t="s">
        <v>296</v>
      </c>
      <c r="D323" s="6">
        <f>SUM(PACIENTES!D323+COMEDOR!D323+JORNADA!D323+'DIETOLOGÍA(S)'!D323)</f>
        <v>0</v>
      </c>
      <c r="E323" s="6">
        <f>SUM(PACIENTES!E323+COMEDOR!E323+JORNADA!E323+'DIETOLOGÍA(S)'!E323)</f>
        <v>0</v>
      </c>
      <c r="F323" s="6">
        <f>SUM(PACIENTES!F323+COMEDOR!F323+JORNADA!F323+'DIETOLOGÍA(S)'!F323)</f>
        <v>0</v>
      </c>
      <c r="G323" s="6">
        <f>SUM(PACIENTES!G323+COMEDOR!G323+JORNADA!G323+'DIETOLOGÍA(S)'!G323)</f>
        <v>0</v>
      </c>
      <c r="H323" s="6">
        <f>SUM(PACIENTES!H323+COMEDOR!H323+JORNADA!H323+'DIETOLOGÍA(S)'!H323)</f>
        <v>0</v>
      </c>
      <c r="I323" s="6">
        <f>SUM(PACIENTES!I323+COMEDOR!I323+JORNADA!I323+'DIETOLOGÍA(S)'!I323)</f>
        <v>0</v>
      </c>
      <c r="J323" s="6">
        <f>SUM(PACIENTES!J323+COMEDOR!J323+JORNADA!J323+'DIETOLOGÍA(S)'!J323)</f>
        <v>1</v>
      </c>
      <c r="K323" s="6">
        <f>SUM(PACIENTES!K323+COMEDOR!K323+JORNADA!K323+'DIETOLOGÍA(S)'!K323)</f>
        <v>0</v>
      </c>
      <c r="L323" s="6">
        <f>SUM(PACIENTES!L323+COMEDOR!L323+JORNADA!L323+'DIETOLOGÍA(S)'!L323)</f>
        <v>0</v>
      </c>
      <c r="M323" s="6">
        <f>SUM(PACIENTES!M323+COMEDOR!M323+JORNADA!M323+'DIETOLOGÍA(S)'!M323)</f>
        <v>0</v>
      </c>
      <c r="N323" s="6">
        <f>SUM(PACIENTES!N323+COMEDOR!N323+JORNADA!N323+'DIETOLOGÍA(S)'!N323)</f>
        <v>10</v>
      </c>
      <c r="O323" s="6">
        <f>SUM(PACIENTES!O323+COMEDOR!O323+JORNADA!O323+'DIETOLOGÍA(S)'!O323)</f>
        <v>0</v>
      </c>
      <c r="P323" s="6">
        <f>SUM(PACIENTES!P323+COMEDOR!P323+JORNADA!P323+'DIETOLOGÍA(S)'!P323)</f>
        <v>0</v>
      </c>
      <c r="Q323" s="6">
        <f>SUM(PACIENTES!Q323+COMEDOR!Q323+JORNADA!Q323+'DIETOLOGÍA(S)'!Q323)</f>
        <v>0</v>
      </c>
      <c r="R323" s="6">
        <f>SUM(PACIENTES!R323+COMEDOR!R323+JORNADA!R323+'DIETOLOGÍA(S)'!R323)</f>
        <v>0</v>
      </c>
      <c r="S323" s="6">
        <f>SUM(PACIENTES!S323+COMEDOR!S323+JORNADA!S323+'DIETOLOGÍA(S)'!S323)</f>
        <v>0</v>
      </c>
      <c r="T323" s="6">
        <f>SUM(PACIENTES!T323+COMEDOR!T323+JORNADA!T323+'DIETOLOGÍA(S)'!T323)</f>
        <v>0</v>
      </c>
      <c r="U323" s="6">
        <f>SUM(PACIENTES!U323+COMEDOR!U323+JORNADA!U323+'DIETOLOGÍA(S)'!U323)</f>
        <v>0</v>
      </c>
      <c r="V323" s="6">
        <f>SUM(PACIENTES!V323+COMEDOR!V323+JORNADA!V323+'DIETOLOGÍA(S)'!V323)</f>
        <v>0</v>
      </c>
      <c r="W323" s="6">
        <f>SUM(PACIENTES!W323+COMEDOR!W323+JORNADA!W323+'DIETOLOGÍA(S)'!W323)</f>
        <v>0</v>
      </c>
      <c r="X323" s="6">
        <f>SUM(PACIENTES!X323+COMEDOR!X323+JORNADA!X323+'DIETOLOGÍA(S)'!X323)</f>
        <v>1</v>
      </c>
      <c r="Y323" s="6">
        <f>SUM(PACIENTES!Y323+COMEDOR!Y323+JORNADA!Y323+'DIETOLOGÍA(S)'!Y323)</f>
        <v>0</v>
      </c>
      <c r="Z323" s="6">
        <f>SUM(PACIENTES!Z323+COMEDOR!Z323+JORNADA!Z323+'DIETOLOGÍA(S)'!Z323)</f>
        <v>0</v>
      </c>
      <c r="AA323" s="6">
        <f>SUM(PACIENTES!AA323+COMEDOR!AA323+JORNADA!AA323+'DIETOLOGÍA(S)'!AA323)</f>
        <v>0</v>
      </c>
      <c r="AB323" s="6">
        <f>SUM(PACIENTES!AB323+COMEDOR!AB323+JORNADA!AB323+'DIETOLOGÍA(S)'!AB323)</f>
        <v>0</v>
      </c>
      <c r="AC323" s="6">
        <f>SUM(PACIENTES!AC323+COMEDOR!AC323+JORNADA!AC323+'DIETOLOGÍA(S)'!AC323)</f>
        <v>0</v>
      </c>
      <c r="AD323" s="6">
        <f>SUM(PACIENTES!AD323+COMEDOR!AD323+JORNADA!AD323+'DIETOLOGÍA(S)'!AD323)</f>
        <v>0</v>
      </c>
      <c r="AE323" s="6">
        <f>SUM(PACIENTES!AE323+COMEDOR!AE323+JORNADA!AE323+'DIETOLOGÍA(S)'!AE323)</f>
        <v>0</v>
      </c>
      <c r="AF323" s="6">
        <f>SUM(PACIENTES!AF323+COMEDOR!AF323+JORNADA!AF323+'DIETOLOGÍA(S)'!AF323)</f>
        <v>0</v>
      </c>
      <c r="AG323" s="6">
        <f>SUM(PACIENTES!AG323+COMEDOR!AG323+JORNADA!AG323+'DIETOLOGÍA(S)'!AG323)</f>
        <v>0</v>
      </c>
      <c r="AH323" s="6">
        <f>SUM(PACIENTES!AH323+COMEDOR!AH323+JORNADA!AH323+'DIETOLOGÍA(S)'!AH323)</f>
        <v>0</v>
      </c>
      <c r="AI323" s="9">
        <f t="shared" si="11"/>
        <v>12</v>
      </c>
    </row>
    <row r="324" spans="1:35" ht="15.75" customHeight="1">
      <c r="A324" s="238">
        <v>2212001060</v>
      </c>
      <c r="B324" s="239" t="s">
        <v>338</v>
      </c>
      <c r="C324" s="240" t="s">
        <v>296</v>
      </c>
      <c r="D324" s="6">
        <f>SUM(PACIENTES!D324+COMEDOR!D324+JORNADA!D324+'DIETOLOGÍA(S)'!D324)</f>
        <v>0</v>
      </c>
      <c r="E324" s="6">
        <f>SUM(PACIENTES!E324+COMEDOR!E324+JORNADA!E324+'DIETOLOGÍA(S)'!E324)</f>
        <v>0</v>
      </c>
      <c r="F324" s="6">
        <f>SUM(PACIENTES!F324+COMEDOR!F324+JORNADA!F324+'DIETOLOGÍA(S)'!F324)</f>
        <v>0</v>
      </c>
      <c r="G324" s="6">
        <f>SUM(PACIENTES!G324+COMEDOR!G324+JORNADA!G324+'DIETOLOGÍA(S)'!G324)</f>
        <v>0</v>
      </c>
      <c r="H324" s="6">
        <f>SUM(PACIENTES!H324+COMEDOR!H324+JORNADA!H324+'DIETOLOGÍA(S)'!H324)</f>
        <v>0</v>
      </c>
      <c r="I324" s="6">
        <f>SUM(PACIENTES!I324+COMEDOR!I324+JORNADA!I324+'DIETOLOGÍA(S)'!I324)</f>
        <v>0</v>
      </c>
      <c r="J324" s="6">
        <f>SUM(PACIENTES!J324+COMEDOR!J324+JORNADA!J324+'DIETOLOGÍA(S)'!J324)</f>
        <v>0</v>
      </c>
      <c r="K324" s="6">
        <f>SUM(PACIENTES!K324+COMEDOR!K324+JORNADA!K324+'DIETOLOGÍA(S)'!K324)</f>
        <v>0</v>
      </c>
      <c r="L324" s="6">
        <f>SUM(PACIENTES!L324+COMEDOR!L324+JORNADA!L324+'DIETOLOGÍA(S)'!L324)</f>
        <v>0</v>
      </c>
      <c r="M324" s="6">
        <f>SUM(PACIENTES!M324+COMEDOR!M324+JORNADA!M324+'DIETOLOGÍA(S)'!M324)</f>
        <v>0</v>
      </c>
      <c r="N324" s="6">
        <f>SUM(PACIENTES!N324+COMEDOR!N324+JORNADA!N324+'DIETOLOGÍA(S)'!N324)</f>
        <v>0</v>
      </c>
      <c r="O324" s="6">
        <f>SUM(PACIENTES!O324+COMEDOR!O324+JORNADA!O324+'DIETOLOGÍA(S)'!O324)</f>
        <v>0</v>
      </c>
      <c r="P324" s="6">
        <f>SUM(PACIENTES!P324+COMEDOR!P324+JORNADA!P324+'DIETOLOGÍA(S)'!P324)</f>
        <v>0</v>
      </c>
      <c r="Q324" s="6">
        <f>SUM(PACIENTES!Q324+COMEDOR!Q324+JORNADA!Q324+'DIETOLOGÍA(S)'!Q324)</f>
        <v>0</v>
      </c>
      <c r="R324" s="6">
        <f>SUM(PACIENTES!R324+COMEDOR!R324+JORNADA!R324+'DIETOLOGÍA(S)'!R324)</f>
        <v>0</v>
      </c>
      <c r="S324" s="6">
        <f>SUM(PACIENTES!S324+COMEDOR!S324+JORNADA!S324+'DIETOLOGÍA(S)'!S324)</f>
        <v>0</v>
      </c>
      <c r="T324" s="6">
        <f>SUM(PACIENTES!T324+COMEDOR!T324+JORNADA!T324+'DIETOLOGÍA(S)'!T324)</f>
        <v>0</v>
      </c>
      <c r="U324" s="6">
        <f>SUM(PACIENTES!U324+COMEDOR!U324+JORNADA!U324+'DIETOLOGÍA(S)'!U324)</f>
        <v>0</v>
      </c>
      <c r="V324" s="6">
        <f>SUM(PACIENTES!V324+COMEDOR!V324+JORNADA!V324+'DIETOLOGÍA(S)'!V324)</f>
        <v>0</v>
      </c>
      <c r="W324" s="6">
        <f>SUM(PACIENTES!W324+COMEDOR!W324+JORNADA!W324+'DIETOLOGÍA(S)'!W324)</f>
        <v>0</v>
      </c>
      <c r="X324" s="6">
        <f>SUM(PACIENTES!X324+COMEDOR!X324+JORNADA!X324+'DIETOLOGÍA(S)'!X324)</f>
        <v>0</v>
      </c>
      <c r="Y324" s="6">
        <f>SUM(PACIENTES!Y324+COMEDOR!Y324+JORNADA!Y324+'DIETOLOGÍA(S)'!Y324)</f>
        <v>0</v>
      </c>
      <c r="Z324" s="6">
        <f>SUM(PACIENTES!Z324+COMEDOR!Z324+JORNADA!Z324+'DIETOLOGÍA(S)'!Z324)</f>
        <v>0</v>
      </c>
      <c r="AA324" s="6">
        <f>SUM(PACIENTES!AA324+COMEDOR!AA324+JORNADA!AA324+'DIETOLOGÍA(S)'!AA324)</f>
        <v>0</v>
      </c>
      <c r="AB324" s="6">
        <f>SUM(PACIENTES!AB324+COMEDOR!AB324+JORNADA!AB324+'DIETOLOGÍA(S)'!AB324)</f>
        <v>0</v>
      </c>
      <c r="AC324" s="6">
        <f>SUM(PACIENTES!AC324+COMEDOR!AC324+JORNADA!AC324+'DIETOLOGÍA(S)'!AC324)</f>
        <v>0</v>
      </c>
      <c r="AD324" s="6">
        <f>SUM(PACIENTES!AD324+COMEDOR!AD324+JORNADA!AD324+'DIETOLOGÍA(S)'!AD324)</f>
        <v>0</v>
      </c>
      <c r="AE324" s="6">
        <f>SUM(PACIENTES!AE324+COMEDOR!AE324+JORNADA!AE324+'DIETOLOGÍA(S)'!AE324)</f>
        <v>0</v>
      </c>
      <c r="AF324" s="6">
        <f>SUM(PACIENTES!AF324+COMEDOR!AF324+JORNADA!AF324+'DIETOLOGÍA(S)'!AF324)</f>
        <v>0</v>
      </c>
      <c r="AG324" s="6">
        <f>SUM(PACIENTES!AG324+COMEDOR!AG324+JORNADA!AG324+'DIETOLOGÍA(S)'!AG324)</f>
        <v>0</v>
      </c>
      <c r="AH324" s="6">
        <f>SUM(PACIENTES!AH324+COMEDOR!AH324+JORNADA!AH324+'DIETOLOGÍA(S)'!AH324)</f>
        <v>0</v>
      </c>
      <c r="AI324" s="9">
        <f t="shared" si="11"/>
        <v>0</v>
      </c>
    </row>
    <row r="325" spans="1:35" ht="15.75" customHeight="1">
      <c r="A325" s="238">
        <v>2212001062</v>
      </c>
      <c r="B325" s="239" t="s">
        <v>339</v>
      </c>
      <c r="C325" s="240" t="s">
        <v>6</v>
      </c>
      <c r="D325" s="6">
        <f>SUM(PACIENTES!D325+COMEDOR!D325+JORNADA!D325+'DIETOLOGÍA(S)'!D325)</f>
        <v>5</v>
      </c>
      <c r="E325" s="6">
        <f>SUM(PACIENTES!E325+COMEDOR!E325+JORNADA!E325+'DIETOLOGÍA(S)'!E325)</f>
        <v>5</v>
      </c>
      <c r="F325" s="6">
        <f>SUM(PACIENTES!F325+COMEDOR!F325+JORNADA!F325+'DIETOLOGÍA(S)'!F325)</f>
        <v>5</v>
      </c>
      <c r="G325" s="6">
        <f>SUM(PACIENTES!G325+COMEDOR!G325+JORNADA!G325+'DIETOLOGÍA(S)'!G325)</f>
        <v>5</v>
      </c>
      <c r="H325" s="6">
        <f>SUM(PACIENTES!H325+COMEDOR!H325+JORNADA!H325+'DIETOLOGÍA(S)'!H325)</f>
        <v>5</v>
      </c>
      <c r="I325" s="6">
        <f>SUM(PACIENTES!I325+COMEDOR!I325+JORNADA!I325+'DIETOLOGÍA(S)'!I325)</f>
        <v>6</v>
      </c>
      <c r="J325" s="6">
        <f>SUM(PACIENTES!J325+COMEDOR!J325+JORNADA!J325+'DIETOLOGÍA(S)'!J325)</f>
        <v>6</v>
      </c>
      <c r="K325" s="6">
        <f>SUM(PACIENTES!K325+COMEDOR!K325+JORNADA!K325+'DIETOLOGÍA(S)'!K325)</f>
        <v>5</v>
      </c>
      <c r="L325" s="6">
        <f>SUM(PACIENTES!L325+COMEDOR!L325+JORNADA!L325+'DIETOLOGÍA(S)'!L325)</f>
        <v>5</v>
      </c>
      <c r="M325" s="6">
        <f>SUM(PACIENTES!M325+COMEDOR!M325+JORNADA!M325+'DIETOLOGÍA(S)'!M325)</f>
        <v>5</v>
      </c>
      <c r="N325" s="6">
        <f>SUM(PACIENTES!N325+COMEDOR!N325+JORNADA!N325+'DIETOLOGÍA(S)'!N325)</f>
        <v>5</v>
      </c>
      <c r="O325" s="6">
        <f>SUM(PACIENTES!O325+COMEDOR!O325+JORNADA!O325+'DIETOLOGÍA(S)'!O325)</f>
        <v>2</v>
      </c>
      <c r="P325" s="6">
        <f>SUM(PACIENTES!P325+COMEDOR!P325+JORNADA!P325+'DIETOLOGÍA(S)'!P325)</f>
        <v>6</v>
      </c>
      <c r="Q325" s="6">
        <f>SUM(PACIENTES!Q325+COMEDOR!Q325+JORNADA!Q325+'DIETOLOGÍA(S)'!Q325)</f>
        <v>6</v>
      </c>
      <c r="R325" s="6">
        <f>SUM(PACIENTES!R325+COMEDOR!R325+JORNADA!R325+'DIETOLOGÍA(S)'!R325)</f>
        <v>5</v>
      </c>
      <c r="S325" s="6">
        <f>SUM(PACIENTES!S325+COMEDOR!S325+JORNADA!S325+'DIETOLOGÍA(S)'!S325)</f>
        <v>5</v>
      </c>
      <c r="T325" s="6">
        <f>SUM(PACIENTES!T325+COMEDOR!T325+JORNADA!T325+'DIETOLOGÍA(S)'!T325)</f>
        <v>5</v>
      </c>
      <c r="U325" s="6">
        <f>SUM(PACIENTES!U325+COMEDOR!U325+JORNADA!U325+'DIETOLOGÍA(S)'!U325)</f>
        <v>5</v>
      </c>
      <c r="V325" s="6">
        <f>SUM(PACIENTES!V325+COMEDOR!V325+JORNADA!V325+'DIETOLOGÍA(S)'!V325)</f>
        <v>5</v>
      </c>
      <c r="W325" s="6">
        <f>SUM(PACIENTES!W325+COMEDOR!W325+JORNADA!W325+'DIETOLOGÍA(S)'!W325)</f>
        <v>5</v>
      </c>
      <c r="X325" s="6">
        <f>SUM(PACIENTES!X325+COMEDOR!X325+JORNADA!X325+'DIETOLOGÍA(S)'!X325)</f>
        <v>6</v>
      </c>
      <c r="Y325" s="6">
        <f>SUM(PACIENTES!Y325+COMEDOR!Y325+JORNADA!Y325+'DIETOLOGÍA(S)'!Y325)</f>
        <v>5</v>
      </c>
      <c r="Z325" s="6">
        <f>SUM(PACIENTES!Z325+COMEDOR!Z325+JORNADA!Z325+'DIETOLOGÍA(S)'!Z325)</f>
        <v>5</v>
      </c>
      <c r="AA325" s="6">
        <f>SUM(PACIENTES!AA325+COMEDOR!AA325+JORNADA!AA325+'DIETOLOGÍA(S)'!AA325)</f>
        <v>5</v>
      </c>
      <c r="AB325" s="6">
        <f>SUM(PACIENTES!AB325+COMEDOR!AB325+JORNADA!AB325+'DIETOLOGÍA(S)'!AB325)</f>
        <v>5</v>
      </c>
      <c r="AC325" s="6">
        <f>SUM(PACIENTES!AC325+COMEDOR!AC325+JORNADA!AC325+'DIETOLOGÍA(S)'!AC325)</f>
        <v>5</v>
      </c>
      <c r="AD325" s="6">
        <f>SUM(PACIENTES!AD325+COMEDOR!AD325+JORNADA!AD325+'DIETOLOGÍA(S)'!AD325)</f>
        <v>5</v>
      </c>
      <c r="AE325" s="6">
        <f>SUM(PACIENTES!AE325+COMEDOR!AE325+JORNADA!AE325+'DIETOLOGÍA(S)'!AE325)</f>
        <v>6</v>
      </c>
      <c r="AF325" s="6">
        <f>SUM(PACIENTES!AF325+COMEDOR!AF325+JORNADA!AF325+'DIETOLOGÍA(S)'!AF325)</f>
        <v>5</v>
      </c>
      <c r="AG325" s="6">
        <f>SUM(PACIENTES!AG325+COMEDOR!AG325+JORNADA!AG325+'DIETOLOGÍA(S)'!AG325)</f>
        <v>5</v>
      </c>
      <c r="AH325" s="6">
        <f>SUM(PACIENTES!AH325+COMEDOR!AH325+JORNADA!AH325+'DIETOLOGÍA(S)'!AH325)</f>
        <v>5</v>
      </c>
      <c r="AI325" s="9">
        <f t="shared" si="11"/>
        <v>158</v>
      </c>
    </row>
    <row r="326" spans="1:35" ht="15.75" customHeight="1">
      <c r="A326" s="238">
        <v>2212001063</v>
      </c>
      <c r="B326" s="239" t="s">
        <v>340</v>
      </c>
      <c r="C326" s="240" t="s">
        <v>6</v>
      </c>
      <c r="D326" s="6">
        <f>SUM(PACIENTES!D326+COMEDOR!D326+JORNADA!D326+'DIETOLOGÍA(S)'!D326)</f>
        <v>0</v>
      </c>
      <c r="E326" s="6">
        <f>SUM(PACIENTES!E326+COMEDOR!E326+JORNADA!E326+'DIETOLOGÍA(S)'!E326)</f>
        <v>0</v>
      </c>
      <c r="F326" s="6">
        <f>SUM(PACIENTES!F326+COMEDOR!F326+JORNADA!F326+'DIETOLOGÍA(S)'!F326)</f>
        <v>0</v>
      </c>
      <c r="G326" s="6">
        <f>SUM(PACIENTES!G326+COMEDOR!G326+JORNADA!G326+'DIETOLOGÍA(S)'!G326)</f>
        <v>0</v>
      </c>
      <c r="H326" s="6">
        <f>SUM(PACIENTES!H326+COMEDOR!H326+JORNADA!H326+'DIETOLOGÍA(S)'!H326)</f>
        <v>0</v>
      </c>
      <c r="I326" s="6">
        <f>SUM(PACIENTES!I326+COMEDOR!I326+JORNADA!I326+'DIETOLOGÍA(S)'!I326)</f>
        <v>2</v>
      </c>
      <c r="J326" s="6">
        <f>SUM(PACIENTES!J326+COMEDOR!J326+JORNADA!J326+'DIETOLOGÍA(S)'!J326)</f>
        <v>1</v>
      </c>
      <c r="K326" s="6">
        <f>SUM(PACIENTES!K326+COMEDOR!K326+JORNADA!K326+'DIETOLOGÍA(S)'!K326)</f>
        <v>0</v>
      </c>
      <c r="L326" s="6">
        <f>SUM(PACIENTES!L326+COMEDOR!L326+JORNADA!L326+'DIETOLOGÍA(S)'!L326)</f>
        <v>0</v>
      </c>
      <c r="M326" s="6">
        <f>SUM(PACIENTES!M326+COMEDOR!M326+JORNADA!M326+'DIETOLOGÍA(S)'!M326)</f>
        <v>0</v>
      </c>
      <c r="N326" s="6">
        <f>SUM(PACIENTES!N326+COMEDOR!N326+JORNADA!N326+'DIETOLOGÍA(S)'!N326)</f>
        <v>0</v>
      </c>
      <c r="O326" s="6">
        <f>SUM(PACIENTES!O326+COMEDOR!O326+JORNADA!O326+'DIETOLOGÍA(S)'!O326)</f>
        <v>0</v>
      </c>
      <c r="P326" s="6">
        <f>SUM(PACIENTES!P326+COMEDOR!P326+JORNADA!P326+'DIETOLOGÍA(S)'!P326)</f>
        <v>0</v>
      </c>
      <c r="Q326" s="6">
        <f>SUM(PACIENTES!Q326+COMEDOR!Q326+JORNADA!Q326+'DIETOLOGÍA(S)'!Q326)</f>
        <v>0</v>
      </c>
      <c r="R326" s="6">
        <f>SUM(PACIENTES!R326+COMEDOR!R326+JORNADA!R326+'DIETOLOGÍA(S)'!R326)</f>
        <v>0</v>
      </c>
      <c r="S326" s="6">
        <f>SUM(PACIENTES!S326+COMEDOR!S326+JORNADA!S326+'DIETOLOGÍA(S)'!S326)</f>
        <v>0</v>
      </c>
      <c r="T326" s="6">
        <f>SUM(PACIENTES!T326+COMEDOR!T326+JORNADA!T326+'DIETOLOGÍA(S)'!T326)</f>
        <v>0</v>
      </c>
      <c r="U326" s="6">
        <f>SUM(PACIENTES!U326+COMEDOR!U326+JORNADA!U326+'DIETOLOGÍA(S)'!U326)</f>
        <v>0</v>
      </c>
      <c r="V326" s="6">
        <f>SUM(PACIENTES!V326+COMEDOR!V326+JORNADA!V326+'DIETOLOGÍA(S)'!V326)</f>
        <v>0</v>
      </c>
      <c r="W326" s="6">
        <f>SUM(PACIENTES!W326+COMEDOR!W326+JORNADA!W326+'DIETOLOGÍA(S)'!W326)</f>
        <v>0</v>
      </c>
      <c r="X326" s="6">
        <f>SUM(PACIENTES!X326+COMEDOR!X326+JORNADA!X326+'DIETOLOGÍA(S)'!X326)</f>
        <v>1</v>
      </c>
      <c r="Y326" s="6">
        <f>SUM(PACIENTES!Y326+COMEDOR!Y326+JORNADA!Y326+'DIETOLOGÍA(S)'!Y326)</f>
        <v>0</v>
      </c>
      <c r="Z326" s="6">
        <f>SUM(PACIENTES!Z326+COMEDOR!Z326+JORNADA!Z326+'DIETOLOGÍA(S)'!Z326)</f>
        <v>0</v>
      </c>
      <c r="AA326" s="6">
        <f>SUM(PACIENTES!AA326+COMEDOR!AA326+JORNADA!AA326+'DIETOLOGÍA(S)'!AA326)</f>
        <v>0</v>
      </c>
      <c r="AB326" s="6">
        <f>SUM(PACIENTES!AB326+COMEDOR!AB326+JORNADA!AB326+'DIETOLOGÍA(S)'!AB326)</f>
        <v>0</v>
      </c>
      <c r="AC326" s="6">
        <f>SUM(PACIENTES!AC326+COMEDOR!AC326+JORNADA!AC326+'DIETOLOGÍA(S)'!AC326)</f>
        <v>0</v>
      </c>
      <c r="AD326" s="6">
        <f>SUM(PACIENTES!AD326+COMEDOR!AD326+JORNADA!AD326+'DIETOLOGÍA(S)'!AD326)</f>
        <v>0</v>
      </c>
      <c r="AE326" s="6">
        <f>SUM(PACIENTES!AE326+COMEDOR!AE326+JORNADA!AE326+'DIETOLOGÍA(S)'!AE326)</f>
        <v>0</v>
      </c>
      <c r="AF326" s="6">
        <f>SUM(PACIENTES!AF326+COMEDOR!AF326+JORNADA!AF326+'DIETOLOGÍA(S)'!AF326)</f>
        <v>0</v>
      </c>
      <c r="AG326" s="6">
        <f>SUM(PACIENTES!AG326+COMEDOR!AG326+JORNADA!AG326+'DIETOLOGÍA(S)'!AG326)</f>
        <v>0</v>
      </c>
      <c r="AH326" s="6">
        <f>SUM(PACIENTES!AH326+COMEDOR!AH326+JORNADA!AH326+'DIETOLOGÍA(S)'!AH326)</f>
        <v>0</v>
      </c>
      <c r="AI326" s="9">
        <f t="shared" si="11"/>
        <v>4</v>
      </c>
    </row>
    <row r="327" spans="1:35" ht="15.75" customHeight="1">
      <c r="A327" s="238">
        <v>2212001065</v>
      </c>
      <c r="B327" s="239" t="s">
        <v>341</v>
      </c>
      <c r="C327" s="240" t="s">
        <v>8</v>
      </c>
      <c r="D327" s="6">
        <f>SUM(PACIENTES!D327+COMEDOR!D327+JORNADA!D327+'DIETOLOGÍA(S)'!D327)</f>
        <v>0</v>
      </c>
      <c r="E327" s="6">
        <f>SUM(PACIENTES!E327+COMEDOR!E327+JORNADA!E327+'DIETOLOGÍA(S)'!E327)</f>
        <v>0</v>
      </c>
      <c r="F327" s="6">
        <f>SUM(PACIENTES!F327+COMEDOR!F327+JORNADA!F327+'DIETOLOGÍA(S)'!F327)</f>
        <v>0</v>
      </c>
      <c r="G327" s="6">
        <f>SUM(PACIENTES!G327+COMEDOR!G327+JORNADA!G327+'DIETOLOGÍA(S)'!G327)</f>
        <v>0</v>
      </c>
      <c r="H327" s="6">
        <f>SUM(PACIENTES!H327+COMEDOR!H327+JORNADA!H327+'DIETOLOGÍA(S)'!H327)</f>
        <v>0</v>
      </c>
      <c r="I327" s="6">
        <f>SUM(PACIENTES!I327+COMEDOR!I327+JORNADA!I327+'DIETOLOGÍA(S)'!I327)</f>
        <v>0</v>
      </c>
      <c r="J327" s="6">
        <f>SUM(PACIENTES!J327+COMEDOR!J327+JORNADA!J327+'DIETOLOGÍA(S)'!J327)</f>
        <v>0</v>
      </c>
      <c r="K327" s="6">
        <f>SUM(PACIENTES!K327+COMEDOR!K327+JORNADA!K327+'DIETOLOGÍA(S)'!K327)</f>
        <v>0</v>
      </c>
      <c r="L327" s="6">
        <f>SUM(PACIENTES!L327+COMEDOR!L327+JORNADA!L327+'DIETOLOGÍA(S)'!L327)</f>
        <v>0</v>
      </c>
      <c r="M327" s="6">
        <f>SUM(PACIENTES!M327+COMEDOR!M327+JORNADA!M327+'DIETOLOGÍA(S)'!M327)</f>
        <v>0</v>
      </c>
      <c r="N327" s="6">
        <f>SUM(PACIENTES!N327+COMEDOR!N327+JORNADA!N327+'DIETOLOGÍA(S)'!N327)</f>
        <v>0</v>
      </c>
      <c r="O327" s="6">
        <f>SUM(PACIENTES!O327+COMEDOR!O327+JORNADA!O327+'DIETOLOGÍA(S)'!O327)</f>
        <v>0</v>
      </c>
      <c r="P327" s="6">
        <f>SUM(PACIENTES!P327+COMEDOR!P327+JORNADA!P327+'DIETOLOGÍA(S)'!P327)</f>
        <v>30</v>
      </c>
      <c r="Q327" s="6">
        <f>SUM(PACIENTES!Q327+COMEDOR!Q327+JORNADA!Q327+'DIETOLOGÍA(S)'!Q327)</f>
        <v>0</v>
      </c>
      <c r="R327" s="6">
        <f>SUM(PACIENTES!R327+COMEDOR!R327+JORNADA!R327+'DIETOLOGÍA(S)'!R327)</f>
        <v>0</v>
      </c>
      <c r="S327" s="6">
        <f>SUM(PACIENTES!S327+COMEDOR!S327+JORNADA!S327+'DIETOLOGÍA(S)'!S327)</f>
        <v>0</v>
      </c>
      <c r="T327" s="6">
        <f>SUM(PACIENTES!T327+COMEDOR!T327+JORNADA!T327+'DIETOLOGÍA(S)'!T327)</f>
        <v>0</v>
      </c>
      <c r="U327" s="6">
        <f>SUM(PACIENTES!U327+COMEDOR!U327+JORNADA!U327+'DIETOLOGÍA(S)'!U327)</f>
        <v>0</v>
      </c>
      <c r="V327" s="6">
        <f>SUM(PACIENTES!V327+COMEDOR!V327+JORNADA!V327+'DIETOLOGÍA(S)'!V327)</f>
        <v>0</v>
      </c>
      <c r="W327" s="6">
        <f>SUM(PACIENTES!W327+COMEDOR!W327+JORNADA!W327+'DIETOLOGÍA(S)'!W327)</f>
        <v>0</v>
      </c>
      <c r="X327" s="6">
        <f>SUM(PACIENTES!X327+COMEDOR!X327+JORNADA!X327+'DIETOLOGÍA(S)'!X327)</f>
        <v>0</v>
      </c>
      <c r="Y327" s="6">
        <f>SUM(PACIENTES!Y327+COMEDOR!Y327+JORNADA!Y327+'DIETOLOGÍA(S)'!Y327)</f>
        <v>0</v>
      </c>
      <c r="Z327" s="6">
        <f>SUM(PACIENTES!Z327+COMEDOR!Z327+JORNADA!Z327+'DIETOLOGÍA(S)'!Z327)</f>
        <v>0</v>
      </c>
      <c r="AA327" s="6">
        <f>SUM(PACIENTES!AA327+COMEDOR!AA327+JORNADA!AA327+'DIETOLOGÍA(S)'!AA327)</f>
        <v>0</v>
      </c>
      <c r="AB327" s="6">
        <f>SUM(PACIENTES!AB327+COMEDOR!AB327+JORNADA!AB327+'DIETOLOGÍA(S)'!AB327)</f>
        <v>0</v>
      </c>
      <c r="AC327" s="6">
        <f>SUM(PACIENTES!AC327+COMEDOR!AC327+JORNADA!AC327+'DIETOLOGÍA(S)'!AC327)</f>
        <v>0</v>
      </c>
      <c r="AD327" s="6">
        <f>SUM(PACIENTES!AD327+COMEDOR!AD327+JORNADA!AD327+'DIETOLOGÍA(S)'!AD327)</f>
        <v>60</v>
      </c>
      <c r="AE327" s="6">
        <f>SUM(PACIENTES!AE327+COMEDOR!AE327+JORNADA!AE327+'DIETOLOGÍA(S)'!AE327)</f>
        <v>0</v>
      </c>
      <c r="AF327" s="6">
        <f>SUM(PACIENTES!AF327+COMEDOR!AF327+JORNADA!AF327+'DIETOLOGÍA(S)'!AF327)</f>
        <v>0</v>
      </c>
      <c r="AG327" s="6">
        <f>SUM(PACIENTES!AG327+COMEDOR!AG327+JORNADA!AG327+'DIETOLOGÍA(S)'!AG327)</f>
        <v>0</v>
      </c>
      <c r="AH327" s="6">
        <f>SUM(PACIENTES!AH327+COMEDOR!AH327+JORNADA!AH327+'DIETOLOGÍA(S)'!AH327)</f>
        <v>0</v>
      </c>
      <c r="AI327" s="9">
        <f t="shared" si="11"/>
        <v>90</v>
      </c>
    </row>
    <row r="328" spans="1:35" ht="15.75" customHeight="1">
      <c r="A328" s="238">
        <v>2212001066</v>
      </c>
      <c r="B328" s="239" t="s">
        <v>342</v>
      </c>
      <c r="C328" s="240" t="s">
        <v>171</v>
      </c>
      <c r="D328" s="6">
        <f>SUM(PACIENTES!D328+COMEDOR!D328+JORNADA!D328+'DIETOLOGÍA(S)'!D328)</f>
        <v>0</v>
      </c>
      <c r="E328" s="6">
        <f>SUM(PACIENTES!E328+COMEDOR!E328+JORNADA!E328+'DIETOLOGÍA(S)'!E328)</f>
        <v>0</v>
      </c>
      <c r="F328" s="6">
        <f>SUM(PACIENTES!F328+COMEDOR!F328+JORNADA!F328+'DIETOLOGÍA(S)'!F328)</f>
        <v>0</v>
      </c>
      <c r="G328" s="6">
        <f>SUM(PACIENTES!G328+COMEDOR!G328+JORNADA!G328+'DIETOLOGÍA(S)'!G328)</f>
        <v>0</v>
      </c>
      <c r="H328" s="6">
        <f>SUM(PACIENTES!H328+COMEDOR!H328+JORNADA!H328+'DIETOLOGÍA(S)'!H328)</f>
        <v>0</v>
      </c>
      <c r="I328" s="6">
        <f>SUM(PACIENTES!I328+COMEDOR!I328+JORNADA!I328+'DIETOLOGÍA(S)'!I328)</f>
        <v>0</v>
      </c>
      <c r="J328" s="6">
        <f>SUM(PACIENTES!J328+COMEDOR!J328+JORNADA!J328+'DIETOLOGÍA(S)'!J328)</f>
        <v>0</v>
      </c>
      <c r="K328" s="6">
        <f>SUM(PACIENTES!K328+COMEDOR!K328+JORNADA!K328+'DIETOLOGÍA(S)'!K328)</f>
        <v>0</v>
      </c>
      <c r="L328" s="6">
        <f>SUM(PACIENTES!L328+COMEDOR!L328+JORNADA!L328+'DIETOLOGÍA(S)'!L328)</f>
        <v>0</v>
      </c>
      <c r="M328" s="6">
        <f>SUM(PACIENTES!M328+COMEDOR!M328+JORNADA!M328+'DIETOLOGÍA(S)'!M328)</f>
        <v>0</v>
      </c>
      <c r="N328" s="6">
        <f>SUM(PACIENTES!N328+COMEDOR!N328+JORNADA!N328+'DIETOLOGÍA(S)'!N328)</f>
        <v>0</v>
      </c>
      <c r="O328" s="6">
        <f>SUM(PACIENTES!O328+COMEDOR!O328+JORNADA!O328+'DIETOLOGÍA(S)'!O328)</f>
        <v>0</v>
      </c>
      <c r="P328" s="6">
        <f>SUM(PACIENTES!P328+COMEDOR!P328+JORNADA!P328+'DIETOLOGÍA(S)'!P328)</f>
        <v>1</v>
      </c>
      <c r="Q328" s="6">
        <f>SUM(PACIENTES!Q328+COMEDOR!Q328+JORNADA!Q328+'DIETOLOGÍA(S)'!Q328)</f>
        <v>0</v>
      </c>
      <c r="R328" s="6">
        <f>SUM(PACIENTES!R328+COMEDOR!R328+JORNADA!R328+'DIETOLOGÍA(S)'!R328)</f>
        <v>0</v>
      </c>
      <c r="S328" s="6">
        <f>SUM(PACIENTES!S328+COMEDOR!S328+JORNADA!S328+'DIETOLOGÍA(S)'!S328)</f>
        <v>0</v>
      </c>
      <c r="T328" s="6">
        <f>SUM(PACIENTES!T328+COMEDOR!T328+JORNADA!T328+'DIETOLOGÍA(S)'!T328)</f>
        <v>0</v>
      </c>
      <c r="U328" s="6">
        <f>SUM(PACIENTES!U328+COMEDOR!U328+JORNADA!U328+'DIETOLOGÍA(S)'!U328)</f>
        <v>0</v>
      </c>
      <c r="V328" s="6">
        <f>SUM(PACIENTES!V328+COMEDOR!V328+JORNADA!V328+'DIETOLOGÍA(S)'!V328)</f>
        <v>0</v>
      </c>
      <c r="W328" s="6">
        <f>SUM(PACIENTES!W328+COMEDOR!W328+JORNADA!W328+'DIETOLOGÍA(S)'!W328)</f>
        <v>0</v>
      </c>
      <c r="X328" s="6">
        <f>SUM(PACIENTES!X328+COMEDOR!X328+JORNADA!X328+'DIETOLOGÍA(S)'!X328)</f>
        <v>0</v>
      </c>
      <c r="Y328" s="6">
        <f>SUM(PACIENTES!Y328+COMEDOR!Y328+JORNADA!Y328+'DIETOLOGÍA(S)'!Y328)</f>
        <v>0</v>
      </c>
      <c r="Z328" s="6">
        <f>SUM(PACIENTES!Z328+COMEDOR!Z328+JORNADA!Z328+'DIETOLOGÍA(S)'!Z328)</f>
        <v>0</v>
      </c>
      <c r="AA328" s="6">
        <f>SUM(PACIENTES!AA328+COMEDOR!AA328+JORNADA!AA328+'DIETOLOGÍA(S)'!AA328)</f>
        <v>0</v>
      </c>
      <c r="AB328" s="6">
        <f>SUM(PACIENTES!AB328+COMEDOR!AB328+JORNADA!AB328+'DIETOLOGÍA(S)'!AB328)</f>
        <v>0</v>
      </c>
      <c r="AC328" s="6">
        <f>SUM(PACIENTES!AC328+COMEDOR!AC328+JORNADA!AC328+'DIETOLOGÍA(S)'!AC328)</f>
        <v>0</v>
      </c>
      <c r="AD328" s="6">
        <f>SUM(PACIENTES!AD328+COMEDOR!AD328+JORNADA!AD328+'DIETOLOGÍA(S)'!AD328)</f>
        <v>0</v>
      </c>
      <c r="AE328" s="6">
        <f>SUM(PACIENTES!AE328+COMEDOR!AE328+JORNADA!AE328+'DIETOLOGÍA(S)'!AE328)</f>
        <v>1</v>
      </c>
      <c r="AF328" s="6">
        <f>SUM(PACIENTES!AF328+COMEDOR!AF328+JORNADA!AF328+'DIETOLOGÍA(S)'!AF328)</f>
        <v>0</v>
      </c>
      <c r="AG328" s="6">
        <f>SUM(PACIENTES!AG328+COMEDOR!AG328+JORNADA!AG328+'DIETOLOGÍA(S)'!AG328)</f>
        <v>0</v>
      </c>
      <c r="AH328" s="6">
        <f>SUM(PACIENTES!AH328+COMEDOR!AH328+JORNADA!AH328+'DIETOLOGÍA(S)'!AH328)</f>
        <v>0</v>
      </c>
      <c r="AI328" s="9">
        <f t="shared" si="11"/>
        <v>2</v>
      </c>
    </row>
    <row r="329" spans="1:35" ht="15.75" customHeight="1">
      <c r="A329" s="238">
        <v>2212001067</v>
      </c>
      <c r="B329" s="239" t="s">
        <v>343</v>
      </c>
      <c r="C329" s="240" t="s">
        <v>267</v>
      </c>
      <c r="D329" s="6">
        <f>SUM(PACIENTES!D329+COMEDOR!D329+JORNADA!D329+'DIETOLOGÍA(S)'!D329)</f>
        <v>0</v>
      </c>
      <c r="E329" s="6">
        <f>SUM(PACIENTES!E329+COMEDOR!E329+JORNADA!E329+'DIETOLOGÍA(S)'!E329)</f>
        <v>0</v>
      </c>
      <c r="F329" s="6">
        <f>SUM(PACIENTES!F329+COMEDOR!F329+JORNADA!F329+'DIETOLOGÍA(S)'!F329)</f>
        <v>0</v>
      </c>
      <c r="G329" s="6">
        <f>SUM(PACIENTES!G329+COMEDOR!G329+JORNADA!G329+'DIETOLOGÍA(S)'!G329)</f>
        <v>0</v>
      </c>
      <c r="H329" s="6">
        <f>SUM(PACIENTES!H329+COMEDOR!H329+JORNADA!H329+'DIETOLOGÍA(S)'!H329)</f>
        <v>0</v>
      </c>
      <c r="I329" s="6">
        <f>SUM(PACIENTES!I329+COMEDOR!I329+JORNADA!I329+'DIETOLOGÍA(S)'!I329)</f>
        <v>0</v>
      </c>
      <c r="J329" s="6">
        <f>SUM(PACIENTES!J329+COMEDOR!J329+JORNADA!J329+'DIETOLOGÍA(S)'!J329)</f>
        <v>1</v>
      </c>
      <c r="K329" s="6">
        <f>SUM(PACIENTES!K329+COMEDOR!K329+JORNADA!K329+'DIETOLOGÍA(S)'!K329)</f>
        <v>0</v>
      </c>
      <c r="L329" s="6">
        <f>SUM(PACIENTES!L329+COMEDOR!L329+JORNADA!L329+'DIETOLOGÍA(S)'!L329)</f>
        <v>0</v>
      </c>
      <c r="M329" s="6">
        <f>SUM(PACIENTES!M329+COMEDOR!M329+JORNADA!M329+'DIETOLOGÍA(S)'!M329)</f>
        <v>0</v>
      </c>
      <c r="N329" s="6">
        <f>SUM(PACIENTES!N329+COMEDOR!N329+JORNADA!N329+'DIETOLOGÍA(S)'!N329)</f>
        <v>0</v>
      </c>
      <c r="O329" s="6">
        <f>SUM(PACIENTES!O329+COMEDOR!O329+JORNADA!O329+'DIETOLOGÍA(S)'!O329)</f>
        <v>0</v>
      </c>
      <c r="P329" s="6">
        <f>SUM(PACIENTES!P329+COMEDOR!P329+JORNADA!P329+'DIETOLOGÍA(S)'!P329)</f>
        <v>1</v>
      </c>
      <c r="Q329" s="6">
        <f>SUM(PACIENTES!Q329+COMEDOR!Q329+JORNADA!Q329+'DIETOLOGÍA(S)'!Q329)</f>
        <v>0</v>
      </c>
      <c r="R329" s="6">
        <f>SUM(PACIENTES!R329+COMEDOR!R329+JORNADA!R329+'DIETOLOGÍA(S)'!R329)</f>
        <v>0</v>
      </c>
      <c r="S329" s="6">
        <f>SUM(PACIENTES!S329+COMEDOR!S329+JORNADA!S329+'DIETOLOGÍA(S)'!S329)</f>
        <v>0</v>
      </c>
      <c r="T329" s="6">
        <f>SUM(PACIENTES!T329+COMEDOR!T329+JORNADA!T329+'DIETOLOGÍA(S)'!T329)</f>
        <v>0</v>
      </c>
      <c r="U329" s="6">
        <f>SUM(PACIENTES!U329+COMEDOR!U329+JORNADA!U329+'DIETOLOGÍA(S)'!U329)</f>
        <v>0</v>
      </c>
      <c r="V329" s="6">
        <f>SUM(PACIENTES!V329+COMEDOR!V329+JORNADA!V329+'DIETOLOGÍA(S)'!V329)</f>
        <v>0</v>
      </c>
      <c r="W329" s="6">
        <f>SUM(PACIENTES!W329+COMEDOR!W329+JORNADA!W329+'DIETOLOGÍA(S)'!W329)</f>
        <v>0</v>
      </c>
      <c r="X329" s="6">
        <f>SUM(PACIENTES!X329+COMEDOR!X329+JORNADA!X329+'DIETOLOGÍA(S)'!X329)</f>
        <v>0</v>
      </c>
      <c r="Y329" s="6">
        <f>SUM(PACIENTES!Y329+COMEDOR!Y329+JORNADA!Y329+'DIETOLOGÍA(S)'!Y329)</f>
        <v>0</v>
      </c>
      <c r="Z329" s="6">
        <f>SUM(PACIENTES!Z329+COMEDOR!Z329+JORNADA!Z329+'DIETOLOGÍA(S)'!Z329)</f>
        <v>0</v>
      </c>
      <c r="AA329" s="6">
        <f>SUM(PACIENTES!AA329+COMEDOR!AA329+JORNADA!AA329+'DIETOLOGÍA(S)'!AA329)</f>
        <v>0</v>
      </c>
      <c r="AB329" s="6">
        <f>SUM(PACIENTES!AB329+COMEDOR!AB329+JORNADA!AB329+'DIETOLOGÍA(S)'!AB329)</f>
        <v>0</v>
      </c>
      <c r="AC329" s="6">
        <f>SUM(PACIENTES!AC329+COMEDOR!AC329+JORNADA!AC329+'DIETOLOGÍA(S)'!AC329)</f>
        <v>0</v>
      </c>
      <c r="AD329" s="6">
        <f>SUM(PACIENTES!AD329+COMEDOR!AD329+JORNADA!AD329+'DIETOLOGÍA(S)'!AD329)</f>
        <v>0</v>
      </c>
      <c r="AE329" s="6">
        <f>SUM(PACIENTES!AE329+COMEDOR!AE329+JORNADA!AE329+'DIETOLOGÍA(S)'!AE329)</f>
        <v>1</v>
      </c>
      <c r="AF329" s="6">
        <f>SUM(PACIENTES!AF329+COMEDOR!AF329+JORNADA!AF329+'DIETOLOGÍA(S)'!AF329)</f>
        <v>0</v>
      </c>
      <c r="AG329" s="6">
        <f>SUM(PACIENTES!AG329+COMEDOR!AG329+JORNADA!AG329+'DIETOLOGÍA(S)'!AG329)</f>
        <v>0</v>
      </c>
      <c r="AH329" s="6">
        <f>SUM(PACIENTES!AH329+COMEDOR!AH329+JORNADA!AH329+'DIETOLOGÍA(S)'!AH329)</f>
        <v>0</v>
      </c>
      <c r="AI329" s="9">
        <f t="shared" si="11"/>
        <v>3</v>
      </c>
    </row>
    <row r="330" spans="1:35" ht="15.75" customHeight="1">
      <c r="A330" s="241">
        <v>2212007013</v>
      </c>
      <c r="B330" s="242" t="s">
        <v>344</v>
      </c>
      <c r="C330" s="241" t="s">
        <v>313</v>
      </c>
      <c r="D330" s="6">
        <f>SUM(PACIENTES!D330+COMEDOR!D330+JORNADA!D330+'DIETOLOGÍA(S)'!D330)</f>
        <v>0</v>
      </c>
      <c r="E330" s="6">
        <f>SUM(PACIENTES!E330+COMEDOR!E330+JORNADA!E330+'DIETOLOGÍA(S)'!E330)</f>
        <v>0</v>
      </c>
      <c r="F330" s="6">
        <f>SUM(PACIENTES!F330+COMEDOR!F330+JORNADA!F330+'DIETOLOGÍA(S)'!F330)</f>
        <v>0</v>
      </c>
      <c r="G330" s="6">
        <f>SUM(PACIENTES!G330+COMEDOR!G330+JORNADA!G330+'DIETOLOGÍA(S)'!G330)</f>
        <v>0</v>
      </c>
      <c r="H330" s="6">
        <f>SUM(PACIENTES!H330+COMEDOR!H330+JORNADA!H330+'DIETOLOGÍA(S)'!H330)</f>
        <v>0</v>
      </c>
      <c r="I330" s="6">
        <f>SUM(PACIENTES!I330+COMEDOR!I330+JORNADA!I330+'DIETOLOGÍA(S)'!I330)</f>
        <v>0</v>
      </c>
      <c r="J330" s="6">
        <f>SUM(PACIENTES!J330+COMEDOR!J330+JORNADA!J330+'DIETOLOGÍA(S)'!J330)</f>
        <v>0</v>
      </c>
      <c r="K330" s="6">
        <f>SUM(PACIENTES!K330+COMEDOR!K330+JORNADA!K330+'DIETOLOGÍA(S)'!K330)</f>
        <v>0</v>
      </c>
      <c r="L330" s="6">
        <f>SUM(PACIENTES!L330+COMEDOR!L330+JORNADA!L330+'DIETOLOGÍA(S)'!L330)</f>
        <v>0</v>
      </c>
      <c r="M330" s="6">
        <f>SUM(PACIENTES!M330+COMEDOR!M330+JORNADA!M330+'DIETOLOGÍA(S)'!M330)</f>
        <v>0</v>
      </c>
      <c r="N330" s="6">
        <f>SUM(PACIENTES!N330+COMEDOR!N330+JORNADA!N330+'DIETOLOGÍA(S)'!N330)</f>
        <v>0</v>
      </c>
      <c r="O330" s="6">
        <f>SUM(PACIENTES!O330+COMEDOR!O330+JORNADA!O330+'DIETOLOGÍA(S)'!O330)</f>
        <v>0</v>
      </c>
      <c r="P330" s="6">
        <f>SUM(PACIENTES!P330+COMEDOR!P330+JORNADA!P330+'DIETOLOGÍA(S)'!P330)</f>
        <v>0</v>
      </c>
      <c r="Q330" s="6">
        <f>SUM(PACIENTES!Q330+COMEDOR!Q330+JORNADA!Q330+'DIETOLOGÍA(S)'!Q330)</f>
        <v>0</v>
      </c>
      <c r="R330" s="6">
        <f>SUM(PACIENTES!R330+COMEDOR!R330+JORNADA!R330+'DIETOLOGÍA(S)'!R330)</f>
        <v>0</v>
      </c>
      <c r="S330" s="6">
        <f>SUM(PACIENTES!S330+COMEDOR!S330+JORNADA!S330+'DIETOLOGÍA(S)'!S330)</f>
        <v>0</v>
      </c>
      <c r="T330" s="6">
        <f>SUM(PACIENTES!T330+COMEDOR!T330+JORNADA!T330+'DIETOLOGÍA(S)'!T330)</f>
        <v>0</v>
      </c>
      <c r="U330" s="6">
        <f>SUM(PACIENTES!U330+COMEDOR!U330+JORNADA!U330+'DIETOLOGÍA(S)'!U330)</f>
        <v>0</v>
      </c>
      <c r="V330" s="6">
        <f>SUM(PACIENTES!V330+COMEDOR!V330+JORNADA!V330+'DIETOLOGÍA(S)'!V330)</f>
        <v>0</v>
      </c>
      <c r="W330" s="6">
        <f>SUM(PACIENTES!W330+COMEDOR!W330+JORNADA!W330+'DIETOLOGÍA(S)'!W330)</f>
        <v>0</v>
      </c>
      <c r="X330" s="6">
        <f>SUM(PACIENTES!X330+COMEDOR!X330+JORNADA!X330+'DIETOLOGÍA(S)'!X330)</f>
        <v>0</v>
      </c>
      <c r="Y330" s="6">
        <f>SUM(PACIENTES!Y330+COMEDOR!Y330+JORNADA!Y330+'DIETOLOGÍA(S)'!Y330)</f>
        <v>0</v>
      </c>
      <c r="Z330" s="6">
        <f>SUM(PACIENTES!Z330+COMEDOR!Z330+JORNADA!Z330+'DIETOLOGÍA(S)'!Z330)</f>
        <v>0</v>
      </c>
      <c r="AA330" s="6">
        <f>SUM(PACIENTES!AA330+COMEDOR!AA330+JORNADA!AA330+'DIETOLOGÍA(S)'!AA330)</f>
        <v>0</v>
      </c>
      <c r="AB330" s="6">
        <f>SUM(PACIENTES!AB330+COMEDOR!AB330+JORNADA!AB330+'DIETOLOGÍA(S)'!AB330)</f>
        <v>0</v>
      </c>
      <c r="AC330" s="6">
        <f>SUM(PACIENTES!AC330+COMEDOR!AC330+JORNADA!AC330+'DIETOLOGÍA(S)'!AC330)</f>
        <v>0</v>
      </c>
      <c r="AD330" s="6">
        <f>SUM(PACIENTES!AD330+COMEDOR!AD330+JORNADA!AD330+'DIETOLOGÍA(S)'!AD330)</f>
        <v>0</v>
      </c>
      <c r="AE330" s="6">
        <f>SUM(PACIENTES!AE330+COMEDOR!AE330+JORNADA!AE330+'DIETOLOGÍA(S)'!AE330)</f>
        <v>0</v>
      </c>
      <c r="AF330" s="6">
        <f>SUM(PACIENTES!AF330+COMEDOR!AF330+JORNADA!AF330+'DIETOLOGÍA(S)'!AF330)</f>
        <v>0</v>
      </c>
      <c r="AG330" s="6">
        <f>SUM(PACIENTES!AG330+COMEDOR!AG330+JORNADA!AG330+'DIETOLOGÍA(S)'!AG330)</f>
        <v>0</v>
      </c>
      <c r="AH330" s="6">
        <f>SUM(PACIENTES!AH330+COMEDOR!AH330+JORNADA!AH330+'DIETOLOGÍA(S)'!AH330)</f>
        <v>0</v>
      </c>
      <c r="AI330" s="9">
        <f t="shared" si="11"/>
        <v>0</v>
      </c>
    </row>
    <row r="331" spans="1:35" ht="15.75" customHeight="1">
      <c r="A331" s="241">
        <v>2212007014</v>
      </c>
      <c r="B331" s="242" t="s">
        <v>345</v>
      </c>
      <c r="C331" s="241" t="s">
        <v>313</v>
      </c>
      <c r="D331" s="6">
        <f>SUM(PACIENTES!D331+COMEDOR!D331+JORNADA!D331+'DIETOLOGÍA(S)'!D331)</f>
        <v>0</v>
      </c>
      <c r="E331" s="6">
        <f>SUM(PACIENTES!E331+COMEDOR!E331+JORNADA!E331+'DIETOLOGÍA(S)'!E331)</f>
        <v>0</v>
      </c>
      <c r="F331" s="6">
        <f>SUM(PACIENTES!F331+COMEDOR!F331+JORNADA!F331+'DIETOLOGÍA(S)'!F331)</f>
        <v>0</v>
      </c>
      <c r="G331" s="6">
        <f>SUM(PACIENTES!G331+COMEDOR!G331+JORNADA!G331+'DIETOLOGÍA(S)'!G331)</f>
        <v>0</v>
      </c>
      <c r="H331" s="6">
        <f>SUM(PACIENTES!H331+COMEDOR!H331+JORNADA!H331+'DIETOLOGÍA(S)'!H331)</f>
        <v>0</v>
      </c>
      <c r="I331" s="6">
        <f>SUM(PACIENTES!I331+COMEDOR!I331+JORNADA!I331+'DIETOLOGÍA(S)'!I331)</f>
        <v>3</v>
      </c>
      <c r="J331" s="6">
        <f>SUM(PACIENTES!J331+COMEDOR!J331+JORNADA!J331+'DIETOLOGÍA(S)'!J331)</f>
        <v>0</v>
      </c>
      <c r="K331" s="6">
        <f>SUM(PACIENTES!K331+COMEDOR!K331+JORNADA!K331+'DIETOLOGÍA(S)'!K331)</f>
        <v>0</v>
      </c>
      <c r="L331" s="6">
        <f>SUM(PACIENTES!L331+COMEDOR!L331+JORNADA!L331+'DIETOLOGÍA(S)'!L331)</f>
        <v>0</v>
      </c>
      <c r="M331" s="6">
        <f>SUM(PACIENTES!M331+COMEDOR!M331+JORNADA!M331+'DIETOLOGÍA(S)'!M331)</f>
        <v>0</v>
      </c>
      <c r="N331" s="6">
        <f>SUM(PACIENTES!N331+COMEDOR!N331+JORNADA!N331+'DIETOLOGÍA(S)'!N331)</f>
        <v>0</v>
      </c>
      <c r="O331" s="6">
        <f>SUM(PACIENTES!O331+COMEDOR!O331+JORNADA!O331+'DIETOLOGÍA(S)'!O331)</f>
        <v>0</v>
      </c>
      <c r="P331" s="6">
        <f>SUM(PACIENTES!P331+COMEDOR!P331+JORNADA!P331+'DIETOLOGÍA(S)'!P331)</f>
        <v>0</v>
      </c>
      <c r="Q331" s="6">
        <f>SUM(PACIENTES!Q331+COMEDOR!Q331+JORNADA!Q331+'DIETOLOGÍA(S)'!Q331)</f>
        <v>1</v>
      </c>
      <c r="R331" s="6">
        <f>SUM(PACIENTES!R331+COMEDOR!R331+JORNADA!R331+'DIETOLOGÍA(S)'!R331)</f>
        <v>0</v>
      </c>
      <c r="S331" s="6">
        <f>SUM(PACIENTES!S331+COMEDOR!S331+JORNADA!S331+'DIETOLOGÍA(S)'!S331)</f>
        <v>0</v>
      </c>
      <c r="T331" s="6">
        <f>SUM(PACIENTES!T331+COMEDOR!T331+JORNADA!T331+'DIETOLOGÍA(S)'!T331)</f>
        <v>0</v>
      </c>
      <c r="U331" s="6">
        <f>SUM(PACIENTES!U331+COMEDOR!U331+JORNADA!U331+'DIETOLOGÍA(S)'!U331)</f>
        <v>0</v>
      </c>
      <c r="V331" s="6">
        <f>SUM(PACIENTES!V331+COMEDOR!V331+JORNADA!V331+'DIETOLOGÍA(S)'!V331)</f>
        <v>0</v>
      </c>
      <c r="W331" s="6">
        <f>SUM(PACIENTES!W331+COMEDOR!W331+JORNADA!W331+'DIETOLOGÍA(S)'!W331)</f>
        <v>0</v>
      </c>
      <c r="X331" s="6">
        <f>SUM(PACIENTES!X331+COMEDOR!X331+JORNADA!X331+'DIETOLOGÍA(S)'!X331)</f>
        <v>0</v>
      </c>
      <c r="Y331" s="6">
        <f>SUM(PACIENTES!Y331+COMEDOR!Y331+JORNADA!Y331+'DIETOLOGÍA(S)'!Y331)</f>
        <v>0</v>
      </c>
      <c r="Z331" s="6">
        <f>SUM(PACIENTES!Z331+COMEDOR!Z331+JORNADA!Z331+'DIETOLOGÍA(S)'!Z331)</f>
        <v>0</v>
      </c>
      <c r="AA331" s="6">
        <f>SUM(PACIENTES!AA331+COMEDOR!AA331+JORNADA!AA331+'DIETOLOGÍA(S)'!AA331)</f>
        <v>0</v>
      </c>
      <c r="AB331" s="6">
        <f>SUM(PACIENTES!AB331+COMEDOR!AB331+JORNADA!AB331+'DIETOLOGÍA(S)'!AB331)</f>
        <v>0</v>
      </c>
      <c r="AC331" s="6">
        <f>SUM(PACIENTES!AC331+COMEDOR!AC331+JORNADA!AC331+'DIETOLOGÍA(S)'!AC331)</f>
        <v>0</v>
      </c>
      <c r="AD331" s="6">
        <f>SUM(PACIENTES!AD331+COMEDOR!AD331+JORNADA!AD331+'DIETOLOGÍA(S)'!AD331)</f>
        <v>0</v>
      </c>
      <c r="AE331" s="6">
        <f>SUM(PACIENTES!AE331+COMEDOR!AE331+JORNADA!AE331+'DIETOLOGÍA(S)'!AE331)</f>
        <v>0</v>
      </c>
      <c r="AF331" s="6">
        <f>SUM(PACIENTES!AF331+COMEDOR!AF331+JORNADA!AF331+'DIETOLOGÍA(S)'!AF331)</f>
        <v>0</v>
      </c>
      <c r="AG331" s="6">
        <f>SUM(PACIENTES!AG331+COMEDOR!AG331+JORNADA!AG331+'DIETOLOGÍA(S)'!AG331)</f>
        <v>0</v>
      </c>
      <c r="AH331" s="6">
        <f>SUM(PACIENTES!AH331+COMEDOR!AH331+JORNADA!AH331+'DIETOLOGÍA(S)'!AH331)</f>
        <v>0</v>
      </c>
      <c r="AI331" s="9">
        <f t="shared" si="11"/>
        <v>4</v>
      </c>
    </row>
    <row r="332" spans="1:35" ht="15.75" customHeight="1">
      <c r="A332" s="241">
        <v>2212007015</v>
      </c>
      <c r="B332" s="252" t="s">
        <v>346</v>
      </c>
      <c r="C332" s="253" t="s">
        <v>313</v>
      </c>
      <c r="D332" s="6">
        <f>SUM(PACIENTES!D332+COMEDOR!D332+JORNADA!D332+'DIETOLOGÍA(S)'!D332)</f>
        <v>0</v>
      </c>
      <c r="E332" s="6">
        <f>SUM(PACIENTES!E332+COMEDOR!E332+JORNADA!E332+'DIETOLOGÍA(S)'!E332)</f>
        <v>0</v>
      </c>
      <c r="F332" s="6">
        <f>SUM(PACIENTES!F332+COMEDOR!F332+JORNADA!F332+'DIETOLOGÍA(S)'!F332)</f>
        <v>0</v>
      </c>
      <c r="G332" s="6">
        <f>SUM(PACIENTES!G332+COMEDOR!G332+JORNADA!G332+'DIETOLOGÍA(S)'!G332)</f>
        <v>0</v>
      </c>
      <c r="H332" s="6">
        <f>SUM(PACIENTES!H332+COMEDOR!H332+JORNADA!H332+'DIETOLOGÍA(S)'!H332)</f>
        <v>0</v>
      </c>
      <c r="I332" s="6">
        <f>SUM(PACIENTES!I332+COMEDOR!I332+JORNADA!I332+'DIETOLOGÍA(S)'!I332)</f>
        <v>0</v>
      </c>
      <c r="J332" s="6">
        <f>SUM(PACIENTES!J332+COMEDOR!J332+JORNADA!J332+'DIETOLOGÍA(S)'!J332)</f>
        <v>0</v>
      </c>
      <c r="K332" s="6">
        <f>SUM(PACIENTES!K332+COMEDOR!K332+JORNADA!K332+'DIETOLOGÍA(S)'!K332)</f>
        <v>0</v>
      </c>
      <c r="L332" s="6">
        <f>SUM(PACIENTES!L332+COMEDOR!L332+JORNADA!L332+'DIETOLOGÍA(S)'!L332)</f>
        <v>0</v>
      </c>
      <c r="M332" s="6">
        <f>SUM(PACIENTES!M332+COMEDOR!M332+JORNADA!M332+'DIETOLOGÍA(S)'!M332)</f>
        <v>0</v>
      </c>
      <c r="N332" s="6">
        <f>SUM(PACIENTES!N332+COMEDOR!N332+JORNADA!N332+'DIETOLOGÍA(S)'!N332)</f>
        <v>0</v>
      </c>
      <c r="O332" s="6">
        <f>SUM(PACIENTES!O332+COMEDOR!O332+JORNADA!O332+'DIETOLOGÍA(S)'!O332)</f>
        <v>0</v>
      </c>
      <c r="P332" s="6">
        <f>SUM(PACIENTES!P332+COMEDOR!P332+JORNADA!P332+'DIETOLOGÍA(S)'!P332)</f>
        <v>0</v>
      </c>
      <c r="Q332" s="6">
        <f>SUM(PACIENTES!Q332+COMEDOR!Q332+JORNADA!Q332+'DIETOLOGÍA(S)'!Q332)</f>
        <v>0</v>
      </c>
      <c r="R332" s="6">
        <f>SUM(PACIENTES!R332+COMEDOR!R332+JORNADA!R332+'DIETOLOGÍA(S)'!R332)</f>
        <v>0</v>
      </c>
      <c r="S332" s="6">
        <f>SUM(PACIENTES!S332+COMEDOR!S332+JORNADA!S332+'DIETOLOGÍA(S)'!S332)</f>
        <v>0</v>
      </c>
      <c r="T332" s="6">
        <f>SUM(PACIENTES!T332+COMEDOR!T332+JORNADA!T332+'DIETOLOGÍA(S)'!T332)</f>
        <v>0</v>
      </c>
      <c r="U332" s="6">
        <f>SUM(PACIENTES!U332+COMEDOR!U332+JORNADA!U332+'DIETOLOGÍA(S)'!U332)</f>
        <v>0</v>
      </c>
      <c r="V332" s="6">
        <f>SUM(PACIENTES!V332+COMEDOR!V332+JORNADA!V332+'DIETOLOGÍA(S)'!V332)</f>
        <v>0</v>
      </c>
      <c r="W332" s="6">
        <f>SUM(PACIENTES!W332+COMEDOR!W332+JORNADA!W332+'DIETOLOGÍA(S)'!W332)</f>
        <v>0</v>
      </c>
      <c r="X332" s="6">
        <f>SUM(PACIENTES!X332+COMEDOR!X332+JORNADA!X332+'DIETOLOGÍA(S)'!X332)</f>
        <v>0</v>
      </c>
      <c r="Y332" s="6">
        <f>SUM(PACIENTES!Y332+COMEDOR!Y332+JORNADA!Y332+'DIETOLOGÍA(S)'!Y332)</f>
        <v>0</v>
      </c>
      <c r="Z332" s="6">
        <f>SUM(PACIENTES!Z332+COMEDOR!Z332+JORNADA!Z332+'DIETOLOGÍA(S)'!Z332)</f>
        <v>0</v>
      </c>
      <c r="AA332" s="6">
        <f>SUM(PACIENTES!AA332+COMEDOR!AA332+JORNADA!AA332+'DIETOLOGÍA(S)'!AA332)</f>
        <v>0</v>
      </c>
      <c r="AB332" s="6">
        <f>SUM(PACIENTES!AB332+COMEDOR!AB332+JORNADA!AB332+'DIETOLOGÍA(S)'!AB332)</f>
        <v>0</v>
      </c>
      <c r="AC332" s="6">
        <f>SUM(PACIENTES!AC332+COMEDOR!AC332+JORNADA!AC332+'DIETOLOGÍA(S)'!AC332)</f>
        <v>0</v>
      </c>
      <c r="AD332" s="6">
        <f>SUM(PACIENTES!AD332+COMEDOR!AD332+JORNADA!AD332+'DIETOLOGÍA(S)'!AD332)</f>
        <v>0</v>
      </c>
      <c r="AE332" s="6">
        <f>SUM(PACIENTES!AE332+COMEDOR!AE332+JORNADA!AE332+'DIETOLOGÍA(S)'!AE332)</f>
        <v>0</v>
      </c>
      <c r="AF332" s="6">
        <f>SUM(PACIENTES!AF332+COMEDOR!AF332+JORNADA!AF332+'DIETOLOGÍA(S)'!AF332)</f>
        <v>0</v>
      </c>
      <c r="AG332" s="6">
        <f>SUM(PACIENTES!AG332+COMEDOR!AG332+JORNADA!AG332+'DIETOLOGÍA(S)'!AG332)</f>
        <v>0</v>
      </c>
      <c r="AH332" s="6">
        <f>SUM(PACIENTES!AH332+COMEDOR!AH332+JORNADA!AH332+'DIETOLOGÍA(S)'!AH332)</f>
        <v>0</v>
      </c>
      <c r="AI332" s="9">
        <f t="shared" si="11"/>
        <v>0</v>
      </c>
    </row>
    <row r="333" spans="1:35" ht="15.75" customHeight="1">
      <c r="A333" s="241">
        <v>2212007016</v>
      </c>
      <c r="B333" s="242" t="s">
        <v>347</v>
      </c>
      <c r="C333" s="241" t="s">
        <v>313</v>
      </c>
      <c r="D333" s="6">
        <f>SUM(PACIENTES!D333+COMEDOR!D333+JORNADA!D333+'DIETOLOGÍA(S)'!D333)</f>
        <v>0</v>
      </c>
      <c r="E333" s="6">
        <f>SUM(PACIENTES!E333+COMEDOR!E333+JORNADA!E333+'DIETOLOGÍA(S)'!E333)</f>
        <v>0</v>
      </c>
      <c r="F333" s="6">
        <f>SUM(PACIENTES!F333+COMEDOR!F333+JORNADA!F333+'DIETOLOGÍA(S)'!F333)</f>
        <v>0</v>
      </c>
      <c r="G333" s="6">
        <f>SUM(PACIENTES!G333+COMEDOR!G333+JORNADA!G333+'DIETOLOGÍA(S)'!G333)</f>
        <v>0</v>
      </c>
      <c r="H333" s="6">
        <f>SUM(PACIENTES!H333+COMEDOR!H333+JORNADA!H333+'DIETOLOGÍA(S)'!H333)</f>
        <v>0</v>
      </c>
      <c r="I333" s="6">
        <f>SUM(PACIENTES!I333+COMEDOR!I333+JORNADA!I333+'DIETOLOGÍA(S)'!I333)</f>
        <v>3</v>
      </c>
      <c r="J333" s="6">
        <f>SUM(PACIENTES!J333+COMEDOR!J333+JORNADA!J333+'DIETOLOGÍA(S)'!J333)</f>
        <v>0</v>
      </c>
      <c r="K333" s="6">
        <f>SUM(PACIENTES!K333+COMEDOR!K333+JORNADA!K333+'DIETOLOGÍA(S)'!K333)</f>
        <v>0</v>
      </c>
      <c r="L333" s="6">
        <f>SUM(PACIENTES!L333+COMEDOR!L333+JORNADA!L333+'DIETOLOGÍA(S)'!L333)</f>
        <v>0</v>
      </c>
      <c r="M333" s="6">
        <f>SUM(PACIENTES!M333+COMEDOR!M333+JORNADA!M333+'DIETOLOGÍA(S)'!M333)</f>
        <v>0</v>
      </c>
      <c r="N333" s="6">
        <f>SUM(PACIENTES!N333+COMEDOR!N333+JORNADA!N333+'DIETOLOGÍA(S)'!N333)</f>
        <v>0</v>
      </c>
      <c r="O333" s="6">
        <f>SUM(PACIENTES!O333+COMEDOR!O333+JORNADA!O333+'DIETOLOGÍA(S)'!O333)</f>
        <v>0</v>
      </c>
      <c r="P333" s="6">
        <f>SUM(PACIENTES!P333+COMEDOR!P333+JORNADA!P333+'DIETOLOGÍA(S)'!P333)</f>
        <v>0</v>
      </c>
      <c r="Q333" s="6">
        <f>SUM(PACIENTES!Q333+COMEDOR!Q333+JORNADA!Q333+'DIETOLOGÍA(S)'!Q333)</f>
        <v>0</v>
      </c>
      <c r="R333" s="6">
        <f>SUM(PACIENTES!R333+COMEDOR!R333+JORNADA!R333+'DIETOLOGÍA(S)'!R333)</f>
        <v>0</v>
      </c>
      <c r="S333" s="6">
        <f>SUM(PACIENTES!S333+COMEDOR!S333+JORNADA!S333+'DIETOLOGÍA(S)'!S333)</f>
        <v>0</v>
      </c>
      <c r="T333" s="6">
        <f>SUM(PACIENTES!T333+COMEDOR!T333+JORNADA!T333+'DIETOLOGÍA(S)'!T333)</f>
        <v>0</v>
      </c>
      <c r="U333" s="6">
        <f>SUM(PACIENTES!U333+COMEDOR!U333+JORNADA!U333+'DIETOLOGÍA(S)'!U333)</f>
        <v>0</v>
      </c>
      <c r="V333" s="6">
        <f>SUM(PACIENTES!V333+COMEDOR!V333+JORNADA!V333+'DIETOLOGÍA(S)'!V333)</f>
        <v>0</v>
      </c>
      <c r="W333" s="6">
        <f>SUM(PACIENTES!W333+COMEDOR!W333+JORNADA!W333+'DIETOLOGÍA(S)'!W333)</f>
        <v>0</v>
      </c>
      <c r="X333" s="6">
        <f>SUM(PACIENTES!X333+COMEDOR!X333+JORNADA!X333+'DIETOLOGÍA(S)'!X333)</f>
        <v>1</v>
      </c>
      <c r="Y333" s="6">
        <f>SUM(PACIENTES!Y333+COMEDOR!Y333+JORNADA!Y333+'DIETOLOGÍA(S)'!Y333)</f>
        <v>0</v>
      </c>
      <c r="Z333" s="6">
        <f>SUM(PACIENTES!Z333+COMEDOR!Z333+JORNADA!Z333+'DIETOLOGÍA(S)'!Z333)</f>
        <v>0</v>
      </c>
      <c r="AA333" s="6">
        <f>SUM(PACIENTES!AA333+COMEDOR!AA333+JORNADA!AA333+'DIETOLOGÍA(S)'!AA333)</f>
        <v>0</v>
      </c>
      <c r="AB333" s="6">
        <f>SUM(PACIENTES!AB333+COMEDOR!AB333+JORNADA!AB333+'DIETOLOGÍA(S)'!AB333)</f>
        <v>0</v>
      </c>
      <c r="AC333" s="6">
        <f>SUM(PACIENTES!AC333+COMEDOR!AC333+JORNADA!AC333+'DIETOLOGÍA(S)'!AC333)</f>
        <v>0</v>
      </c>
      <c r="AD333" s="6">
        <f>SUM(PACIENTES!AD333+COMEDOR!AD333+JORNADA!AD333+'DIETOLOGÍA(S)'!AD333)</f>
        <v>0</v>
      </c>
      <c r="AE333" s="6">
        <f>SUM(PACIENTES!AE333+COMEDOR!AE333+JORNADA!AE333+'DIETOLOGÍA(S)'!AE333)</f>
        <v>0</v>
      </c>
      <c r="AF333" s="6">
        <f>SUM(PACIENTES!AF333+COMEDOR!AF333+JORNADA!AF333+'DIETOLOGÍA(S)'!AF333)</f>
        <v>0</v>
      </c>
      <c r="AG333" s="6">
        <f>SUM(PACIENTES!AG333+COMEDOR!AG333+JORNADA!AG333+'DIETOLOGÍA(S)'!AG333)</f>
        <v>0</v>
      </c>
      <c r="AH333" s="6">
        <f>SUM(PACIENTES!AH333+COMEDOR!AH333+JORNADA!AH333+'DIETOLOGÍA(S)'!AH333)</f>
        <v>0</v>
      </c>
      <c r="AI333" s="9">
        <f t="shared" si="11"/>
        <v>4</v>
      </c>
    </row>
    <row r="334" spans="1:35" ht="15.75" customHeight="1">
      <c r="A334" s="241">
        <v>2212007017</v>
      </c>
      <c r="B334" s="242" t="s">
        <v>348</v>
      </c>
      <c r="C334" s="241" t="s">
        <v>313</v>
      </c>
      <c r="D334" s="6">
        <f>SUM(PACIENTES!D334+COMEDOR!D334+JORNADA!D334+'DIETOLOGÍA(S)'!D334)</f>
        <v>0</v>
      </c>
      <c r="E334" s="6">
        <f>SUM(PACIENTES!E334+COMEDOR!E334+JORNADA!E334+'DIETOLOGÍA(S)'!E334)</f>
        <v>0</v>
      </c>
      <c r="F334" s="6">
        <f>SUM(PACIENTES!F334+COMEDOR!F334+JORNADA!F334+'DIETOLOGÍA(S)'!F334)</f>
        <v>0</v>
      </c>
      <c r="G334" s="6">
        <f>SUM(PACIENTES!G334+COMEDOR!G334+JORNADA!G334+'DIETOLOGÍA(S)'!G334)</f>
        <v>0</v>
      </c>
      <c r="H334" s="6">
        <f>SUM(PACIENTES!H334+COMEDOR!H334+JORNADA!H334+'DIETOLOGÍA(S)'!H334)</f>
        <v>0</v>
      </c>
      <c r="I334" s="6">
        <f>SUM(PACIENTES!I334+COMEDOR!I334+JORNADA!I334+'DIETOLOGÍA(S)'!I334)</f>
        <v>0</v>
      </c>
      <c r="J334" s="6">
        <f>SUM(PACIENTES!J334+COMEDOR!J334+JORNADA!J334+'DIETOLOGÍA(S)'!J334)</f>
        <v>1</v>
      </c>
      <c r="K334" s="6">
        <f>SUM(PACIENTES!K334+COMEDOR!K334+JORNADA!K334+'DIETOLOGÍA(S)'!K334)</f>
        <v>0</v>
      </c>
      <c r="L334" s="6">
        <f>SUM(PACIENTES!L334+COMEDOR!L334+JORNADA!L334+'DIETOLOGÍA(S)'!L334)</f>
        <v>0</v>
      </c>
      <c r="M334" s="6">
        <f>SUM(PACIENTES!M334+COMEDOR!M334+JORNADA!M334+'DIETOLOGÍA(S)'!M334)</f>
        <v>0</v>
      </c>
      <c r="N334" s="6">
        <f>SUM(PACIENTES!N334+COMEDOR!N334+JORNADA!N334+'DIETOLOGÍA(S)'!N334)</f>
        <v>0</v>
      </c>
      <c r="O334" s="6">
        <f>SUM(PACIENTES!O334+COMEDOR!O334+JORNADA!O334+'DIETOLOGÍA(S)'!O334)</f>
        <v>0</v>
      </c>
      <c r="P334" s="6">
        <f>SUM(PACIENTES!P334+COMEDOR!P334+JORNADA!P334+'DIETOLOGÍA(S)'!P334)</f>
        <v>0</v>
      </c>
      <c r="Q334" s="6">
        <f>SUM(PACIENTES!Q334+COMEDOR!Q334+JORNADA!Q334+'DIETOLOGÍA(S)'!Q334)</f>
        <v>0</v>
      </c>
      <c r="R334" s="6">
        <f>SUM(PACIENTES!R334+COMEDOR!R334+JORNADA!R334+'DIETOLOGÍA(S)'!R334)</f>
        <v>0</v>
      </c>
      <c r="S334" s="6">
        <f>SUM(PACIENTES!S334+COMEDOR!S334+JORNADA!S334+'DIETOLOGÍA(S)'!S334)</f>
        <v>0</v>
      </c>
      <c r="T334" s="6">
        <f>SUM(PACIENTES!T334+COMEDOR!T334+JORNADA!T334+'DIETOLOGÍA(S)'!T334)</f>
        <v>0</v>
      </c>
      <c r="U334" s="6">
        <f>SUM(PACIENTES!U334+COMEDOR!U334+JORNADA!U334+'DIETOLOGÍA(S)'!U334)</f>
        <v>0</v>
      </c>
      <c r="V334" s="6">
        <f>SUM(PACIENTES!V334+COMEDOR!V334+JORNADA!V334+'DIETOLOGÍA(S)'!V334)</f>
        <v>0</v>
      </c>
      <c r="W334" s="6">
        <f>SUM(PACIENTES!W334+COMEDOR!W334+JORNADA!W334+'DIETOLOGÍA(S)'!W334)</f>
        <v>0</v>
      </c>
      <c r="X334" s="6">
        <f>SUM(PACIENTES!X334+COMEDOR!X334+JORNADA!X334+'DIETOLOGÍA(S)'!X334)</f>
        <v>1</v>
      </c>
      <c r="Y334" s="6">
        <f>SUM(PACIENTES!Y334+COMEDOR!Y334+JORNADA!Y334+'DIETOLOGÍA(S)'!Y334)</f>
        <v>0</v>
      </c>
      <c r="Z334" s="6">
        <f>SUM(PACIENTES!Z334+COMEDOR!Z334+JORNADA!Z334+'DIETOLOGÍA(S)'!Z334)</f>
        <v>0</v>
      </c>
      <c r="AA334" s="6">
        <f>SUM(PACIENTES!AA334+COMEDOR!AA334+JORNADA!AA334+'DIETOLOGÍA(S)'!AA334)</f>
        <v>0</v>
      </c>
      <c r="AB334" s="6">
        <f>SUM(PACIENTES!AB334+COMEDOR!AB334+JORNADA!AB334+'DIETOLOGÍA(S)'!AB334)</f>
        <v>0</v>
      </c>
      <c r="AC334" s="6">
        <f>SUM(PACIENTES!AC334+COMEDOR!AC334+JORNADA!AC334+'DIETOLOGÍA(S)'!AC334)</f>
        <v>0</v>
      </c>
      <c r="AD334" s="6">
        <f>SUM(PACIENTES!AD334+COMEDOR!AD334+JORNADA!AD334+'DIETOLOGÍA(S)'!AD334)</f>
        <v>0</v>
      </c>
      <c r="AE334" s="6">
        <f>SUM(PACIENTES!AE334+COMEDOR!AE334+JORNADA!AE334+'DIETOLOGÍA(S)'!AE334)</f>
        <v>0</v>
      </c>
      <c r="AF334" s="6">
        <f>SUM(PACIENTES!AF334+COMEDOR!AF334+JORNADA!AF334+'DIETOLOGÍA(S)'!AF334)</f>
        <v>0</v>
      </c>
      <c r="AG334" s="6">
        <f>SUM(PACIENTES!AG334+COMEDOR!AG334+JORNADA!AG334+'DIETOLOGÍA(S)'!AG334)</f>
        <v>0</v>
      </c>
      <c r="AH334" s="6">
        <f>SUM(PACIENTES!AH334+COMEDOR!AH334+JORNADA!AH334+'DIETOLOGÍA(S)'!AH334)</f>
        <v>0</v>
      </c>
      <c r="AI334" s="9">
        <f t="shared" si="11"/>
        <v>2</v>
      </c>
    </row>
    <row r="335" spans="1:35" ht="15.75" customHeight="1">
      <c r="A335" s="238">
        <v>2212001071</v>
      </c>
      <c r="B335" s="239" t="s">
        <v>349</v>
      </c>
      <c r="C335" s="240" t="s">
        <v>171</v>
      </c>
      <c r="D335" s="6">
        <f>SUM(PACIENTES!D335+COMEDOR!D335+JORNADA!D335+'DIETOLOGÍA(S)'!D335+'NUTRICIÓN CLÍNICA'!D12)</f>
        <v>0</v>
      </c>
      <c r="E335" s="6">
        <f>SUM(PACIENTES!E335+COMEDOR!E335+JORNADA!E335+'DIETOLOGÍA(S)'!E335+'NUTRICIÓN CLÍNICA'!E12)</f>
        <v>0</v>
      </c>
      <c r="F335" s="6">
        <f>SUM(PACIENTES!F335+COMEDOR!F335+JORNADA!F335+'DIETOLOGÍA(S)'!F335+'NUTRICIÓN CLÍNICA'!F12)</f>
        <v>0</v>
      </c>
      <c r="G335" s="6">
        <f>SUM(PACIENTES!G335+COMEDOR!G335+JORNADA!G335+'DIETOLOGÍA(S)'!G335+'NUTRICIÓN CLÍNICA'!G12)</f>
        <v>0</v>
      </c>
      <c r="H335" s="6">
        <f>SUM(PACIENTES!H335+COMEDOR!H335+JORNADA!H335+'DIETOLOGÍA(S)'!H335+'NUTRICIÓN CLÍNICA'!H12)</f>
        <v>0</v>
      </c>
      <c r="I335" s="6">
        <f>SUM(PACIENTES!I335+COMEDOR!I335+JORNADA!I335+'DIETOLOGÍA(S)'!I335+'NUTRICIÓN CLÍNICA'!I12)</f>
        <v>1</v>
      </c>
      <c r="J335" s="6">
        <f>SUM(PACIENTES!J335+COMEDOR!J335+JORNADA!J335+'DIETOLOGÍA(S)'!J335+'NUTRICIÓN CLÍNICA'!J12)</f>
        <v>0</v>
      </c>
      <c r="K335" s="6">
        <f>SUM(PACIENTES!K335+COMEDOR!K335+JORNADA!K335+'DIETOLOGÍA(S)'!K335+'NUTRICIÓN CLÍNICA'!K12)</f>
        <v>0</v>
      </c>
      <c r="L335" s="6">
        <f>SUM(PACIENTES!L335+COMEDOR!L335+JORNADA!L335+'DIETOLOGÍA(S)'!L335+'NUTRICIÓN CLÍNICA'!L12)</f>
        <v>0</v>
      </c>
      <c r="M335" s="6">
        <f>SUM(PACIENTES!M335+COMEDOR!M335+JORNADA!M335+'DIETOLOGÍA(S)'!M335+'NUTRICIÓN CLÍNICA'!M12)</f>
        <v>1</v>
      </c>
      <c r="N335" s="6">
        <f>SUM(PACIENTES!N335+COMEDOR!N335+JORNADA!N335+'DIETOLOGÍA(S)'!N335+'NUTRICIÓN CLÍNICA'!N12)</f>
        <v>0</v>
      </c>
      <c r="O335" s="6">
        <f>SUM(PACIENTES!O335+COMEDOR!O335+JORNADA!O335+'DIETOLOGÍA(S)'!O335+'NUTRICIÓN CLÍNICA'!O12)</f>
        <v>0</v>
      </c>
      <c r="P335" s="6">
        <f>SUM(PACIENTES!P335+COMEDOR!P335+JORNADA!P335+'DIETOLOGÍA(S)'!P335+'NUTRICIÓN CLÍNICA'!P12)</f>
        <v>0</v>
      </c>
      <c r="Q335" s="6">
        <f>SUM(PACIENTES!Q335+COMEDOR!Q335+JORNADA!Q335+'DIETOLOGÍA(S)'!Q335+'NUTRICIÓN CLÍNICA'!Q12)</f>
        <v>0</v>
      </c>
      <c r="R335" s="6">
        <f>SUM(PACIENTES!R335+COMEDOR!R335+JORNADA!R335+'DIETOLOGÍA(S)'!R335+'NUTRICIÓN CLÍNICA'!R12)</f>
        <v>0</v>
      </c>
      <c r="S335" s="6">
        <f>SUM(PACIENTES!S335+COMEDOR!S335+JORNADA!S335+'DIETOLOGÍA(S)'!S335+'NUTRICIÓN CLÍNICA'!S12)</f>
        <v>0</v>
      </c>
      <c r="T335" s="6">
        <f>SUM(PACIENTES!T335+COMEDOR!T335+JORNADA!T335+'DIETOLOGÍA(S)'!T335+'NUTRICIÓN CLÍNICA'!T12)</f>
        <v>0</v>
      </c>
      <c r="U335" s="6">
        <f>SUM(PACIENTES!U335+COMEDOR!U335+JORNADA!U335+'DIETOLOGÍA(S)'!U335+'NUTRICIÓN CLÍNICA'!U12)</f>
        <v>0</v>
      </c>
      <c r="V335" s="6">
        <f>SUM(PACIENTES!V335+COMEDOR!V335+JORNADA!V335+'DIETOLOGÍA(S)'!V335+'NUTRICIÓN CLÍNICA'!V12)</f>
        <v>0</v>
      </c>
      <c r="W335" s="6">
        <f>SUM(PACIENTES!W335+COMEDOR!W335+JORNADA!W335+'DIETOLOGÍA(S)'!W335+'NUTRICIÓN CLÍNICA'!W12)</f>
        <v>1</v>
      </c>
      <c r="X335" s="6">
        <f>SUM(PACIENTES!X335+COMEDOR!X335+JORNADA!X335+'DIETOLOGÍA(S)'!X335+'NUTRICIÓN CLÍNICA'!X12)</f>
        <v>0</v>
      </c>
      <c r="Y335" s="6">
        <f>SUM(PACIENTES!Y335+COMEDOR!Y335+JORNADA!Y335+'DIETOLOGÍA(S)'!Y335+'NUTRICIÓN CLÍNICA'!Y12)</f>
        <v>0</v>
      </c>
      <c r="Z335" s="6">
        <f>SUM(PACIENTES!Z335+COMEDOR!Z335+JORNADA!Z335+'DIETOLOGÍA(S)'!Z335+'NUTRICIÓN CLÍNICA'!Z12)</f>
        <v>0</v>
      </c>
      <c r="AA335" s="6">
        <f>SUM(PACIENTES!AA335+COMEDOR!AA335+JORNADA!AA335+'DIETOLOGÍA(S)'!AA335+'NUTRICIÓN CLÍNICA'!AA12)</f>
        <v>1</v>
      </c>
      <c r="AB335" s="6">
        <f>SUM(PACIENTES!AB335+COMEDOR!AB335+JORNADA!AB335+'DIETOLOGÍA(S)'!AB335+'NUTRICIÓN CLÍNICA'!AB12)</f>
        <v>0</v>
      </c>
      <c r="AC335" s="6">
        <f>SUM(PACIENTES!AC335+COMEDOR!AC335+JORNADA!AC335+'DIETOLOGÍA(S)'!AC335+'NUTRICIÓN CLÍNICA'!AC12)</f>
        <v>1</v>
      </c>
      <c r="AD335" s="6">
        <f>SUM(PACIENTES!AD335+COMEDOR!AD335+JORNADA!AD335+'DIETOLOGÍA(S)'!AD335+'NUTRICIÓN CLÍNICA'!AD12)</f>
        <v>1</v>
      </c>
      <c r="AE335" s="6">
        <f>SUM(PACIENTES!AE335+COMEDOR!AE335+JORNADA!AE335+'DIETOLOGÍA(S)'!AE335+'NUTRICIÓN CLÍNICA'!AE12)</f>
        <v>1</v>
      </c>
      <c r="AF335" s="6">
        <f>SUM(PACIENTES!AF335+COMEDOR!AF335+JORNADA!AF335+'DIETOLOGÍA(S)'!AF335+'NUTRICIÓN CLÍNICA'!AF12)</f>
        <v>0</v>
      </c>
      <c r="AG335" s="6">
        <f>SUM(PACIENTES!AG335+COMEDOR!AG335+JORNADA!AG335+'DIETOLOGÍA(S)'!AG335+'NUTRICIÓN CLÍNICA'!AG12)</f>
        <v>0</v>
      </c>
      <c r="AH335" s="6">
        <f>SUM(PACIENTES!AH335+COMEDOR!AH335+JORNADA!AH335+'DIETOLOGÍA(S)'!AH335+'NUTRICIÓN CLÍNICA'!AH12)</f>
        <v>0</v>
      </c>
      <c r="AI335" s="9">
        <f t="shared" si="11"/>
        <v>7</v>
      </c>
    </row>
    <row r="336" spans="1:35" ht="15.75" customHeight="1">
      <c r="A336" s="238">
        <v>2212001072</v>
      </c>
      <c r="B336" s="239" t="s">
        <v>350</v>
      </c>
      <c r="C336" s="240" t="s">
        <v>307</v>
      </c>
      <c r="D336" s="6">
        <f>SUM(PACIENTES!D336+COMEDOR!D336+JORNADA!D336+'DIETOLOGÍA(S)'!D336)</f>
        <v>25</v>
      </c>
      <c r="E336" s="6">
        <f>SUM(PACIENTES!E336+COMEDOR!E336+JORNADA!E336+'DIETOLOGÍA(S)'!E336)</f>
        <v>0</v>
      </c>
      <c r="F336" s="6">
        <f>SUM(PACIENTES!F336+COMEDOR!F336+JORNADA!F336+'DIETOLOGÍA(S)'!F336)</f>
        <v>0</v>
      </c>
      <c r="G336" s="6">
        <f>SUM(PACIENTES!G336+COMEDOR!G336+JORNADA!G336+'DIETOLOGÍA(S)'!G336)</f>
        <v>0</v>
      </c>
      <c r="H336" s="6">
        <f>SUM(PACIENTES!H336+COMEDOR!H336+JORNADA!H336+'DIETOLOGÍA(S)'!H336)</f>
        <v>0</v>
      </c>
      <c r="I336" s="6">
        <f>SUM(PACIENTES!I336+COMEDOR!I336+JORNADA!I336+'DIETOLOGÍA(S)'!I336)</f>
        <v>1</v>
      </c>
      <c r="J336" s="6">
        <f>SUM(PACIENTES!J336+COMEDOR!J336+JORNADA!J336+'DIETOLOGÍA(S)'!J336)</f>
        <v>1</v>
      </c>
      <c r="K336" s="6">
        <f>SUM(PACIENTES!K336+COMEDOR!K336+JORNADA!K336+'DIETOLOGÍA(S)'!K336)</f>
        <v>25</v>
      </c>
      <c r="L336" s="6">
        <f>SUM(PACIENTES!L336+COMEDOR!L336+JORNADA!L336+'DIETOLOGÍA(S)'!L336)</f>
        <v>0</v>
      </c>
      <c r="M336" s="6">
        <f>SUM(PACIENTES!M336+COMEDOR!M336+JORNADA!M336+'DIETOLOGÍA(S)'!M336)</f>
        <v>0</v>
      </c>
      <c r="N336" s="6">
        <f>SUM(PACIENTES!N336+COMEDOR!N336+JORNADA!N336+'DIETOLOGÍA(S)'!N336)</f>
        <v>0</v>
      </c>
      <c r="O336" s="6">
        <f>SUM(PACIENTES!O336+COMEDOR!O336+JORNADA!O336+'DIETOLOGÍA(S)'!O336)</f>
        <v>0</v>
      </c>
      <c r="P336" s="6">
        <f>SUM(PACIENTES!P336+COMEDOR!P336+JORNADA!P336+'DIETOLOGÍA(S)'!P336)</f>
        <v>0</v>
      </c>
      <c r="Q336" s="6">
        <f>SUM(PACIENTES!Q336+COMEDOR!Q336+JORNADA!Q336+'DIETOLOGÍA(S)'!Q336)</f>
        <v>1</v>
      </c>
      <c r="R336" s="6">
        <f>SUM(PACIENTES!R336+COMEDOR!R336+JORNADA!R336+'DIETOLOGÍA(S)'!R336)</f>
        <v>25</v>
      </c>
      <c r="S336" s="6">
        <f>SUM(PACIENTES!S336+COMEDOR!S336+JORNADA!S336+'DIETOLOGÍA(S)'!S336)</f>
        <v>0</v>
      </c>
      <c r="T336" s="6">
        <f>SUM(PACIENTES!T336+COMEDOR!T336+JORNADA!T336+'DIETOLOGÍA(S)'!T336)</f>
        <v>0</v>
      </c>
      <c r="U336" s="6">
        <f>SUM(PACIENTES!U336+COMEDOR!U336+JORNADA!U336+'DIETOLOGÍA(S)'!U336)</f>
        <v>0</v>
      </c>
      <c r="V336" s="6">
        <f>SUM(PACIENTES!V336+COMEDOR!V336+JORNADA!V336+'DIETOLOGÍA(S)'!V336)</f>
        <v>0</v>
      </c>
      <c r="W336" s="6">
        <f>SUM(PACIENTES!W336+COMEDOR!W336+JORNADA!W336+'DIETOLOGÍA(S)'!W336)</f>
        <v>0</v>
      </c>
      <c r="X336" s="6">
        <f>SUM(PACIENTES!X336+COMEDOR!X336+JORNADA!X336+'DIETOLOGÍA(S)'!X336)</f>
        <v>1</v>
      </c>
      <c r="Y336" s="6">
        <f>SUM(PACIENTES!Y336+COMEDOR!Y336+JORNADA!Y336+'DIETOLOGÍA(S)'!Y336)</f>
        <v>25</v>
      </c>
      <c r="Z336" s="6">
        <f>SUM(PACIENTES!Z336+COMEDOR!Z336+JORNADA!Z336+'DIETOLOGÍA(S)'!Z336)</f>
        <v>0</v>
      </c>
      <c r="AA336" s="6">
        <f>SUM(PACIENTES!AA336+COMEDOR!AA336+JORNADA!AA336+'DIETOLOGÍA(S)'!AA336)</f>
        <v>0</v>
      </c>
      <c r="AB336" s="6">
        <f>SUM(PACIENTES!AB336+COMEDOR!AB336+JORNADA!AB336+'DIETOLOGÍA(S)'!AB336)</f>
        <v>0</v>
      </c>
      <c r="AC336" s="6">
        <f>SUM(PACIENTES!AC336+COMEDOR!AC336+JORNADA!AC336+'DIETOLOGÍA(S)'!AC336)</f>
        <v>0</v>
      </c>
      <c r="AD336" s="6">
        <f>SUM(PACIENTES!AD336+COMEDOR!AD336+JORNADA!AD336+'DIETOLOGÍA(S)'!AD336)</f>
        <v>0</v>
      </c>
      <c r="AE336" s="6">
        <f>SUM(PACIENTES!AE336+COMEDOR!AE336+JORNADA!AE336+'DIETOLOGÍA(S)'!AE336)</f>
        <v>1</v>
      </c>
      <c r="AF336" s="6">
        <f>SUM(PACIENTES!AF336+COMEDOR!AF336+JORNADA!AF336+'DIETOLOGÍA(S)'!AF336)</f>
        <v>25</v>
      </c>
      <c r="AG336" s="6">
        <f>SUM(PACIENTES!AG336+COMEDOR!AG336+JORNADA!AG336+'DIETOLOGÍA(S)'!AG336)</f>
        <v>0</v>
      </c>
      <c r="AH336" s="6">
        <f>SUM(PACIENTES!AH336+COMEDOR!AH336+JORNADA!AH336+'DIETOLOGÍA(S)'!AH336)</f>
        <v>0</v>
      </c>
      <c r="AI336" s="9">
        <f t="shared" si="11"/>
        <v>130</v>
      </c>
    </row>
    <row r="337" spans="1:35" ht="15.75" customHeight="1">
      <c r="A337" s="238">
        <v>2212001075</v>
      </c>
      <c r="B337" s="239" t="s">
        <v>351</v>
      </c>
      <c r="C337" s="240" t="s">
        <v>8</v>
      </c>
      <c r="D337" s="6">
        <f>SUM(PACIENTES!D337+COMEDOR!D337+JORNADA!D337+'DIETOLOGÍA(S)'!D337)</f>
        <v>416</v>
      </c>
      <c r="E337" s="6">
        <f>SUM(PACIENTES!E337+COMEDOR!E337+JORNADA!E337+'DIETOLOGÍA(S)'!E337)</f>
        <v>416</v>
      </c>
      <c r="F337" s="6">
        <f>SUM(PACIENTES!F337+COMEDOR!F337+JORNADA!F337+'DIETOLOGÍA(S)'!F337)</f>
        <v>336</v>
      </c>
      <c r="G337" s="6">
        <f>SUM(PACIENTES!G337+COMEDOR!G337+JORNADA!G337+'DIETOLOGÍA(S)'!G337)</f>
        <v>336</v>
      </c>
      <c r="H337" s="6">
        <f>SUM(PACIENTES!H337+COMEDOR!H337+JORNADA!H337+'DIETOLOGÍA(S)'!H337)</f>
        <v>416</v>
      </c>
      <c r="I337" s="6">
        <f>SUM(PACIENTES!I337+COMEDOR!I337+JORNADA!I337+'DIETOLOGÍA(S)'!I337)</f>
        <v>416</v>
      </c>
      <c r="J337" s="6">
        <f>SUM(PACIENTES!J337+COMEDOR!J337+JORNADA!J337+'DIETOLOGÍA(S)'!J337)</f>
        <v>426</v>
      </c>
      <c r="K337" s="6">
        <f>SUM(PACIENTES!K337+COMEDOR!K337+JORNADA!K337+'DIETOLOGÍA(S)'!K337)</f>
        <v>416</v>
      </c>
      <c r="L337" s="6">
        <f>SUM(PACIENTES!L337+COMEDOR!L337+JORNADA!L337+'DIETOLOGÍA(S)'!L337)</f>
        <v>416</v>
      </c>
      <c r="M337" s="6">
        <f>SUM(PACIENTES!M337+COMEDOR!M337+JORNADA!M337+'DIETOLOGÍA(S)'!M337)</f>
        <v>336</v>
      </c>
      <c r="N337" s="6">
        <f>SUM(PACIENTES!N337+COMEDOR!N337+JORNADA!N337+'DIETOLOGÍA(S)'!N337)</f>
        <v>336</v>
      </c>
      <c r="O337" s="6">
        <f>SUM(PACIENTES!O337+COMEDOR!O337+JORNADA!O337+'DIETOLOGÍA(S)'!O337)</f>
        <v>544</v>
      </c>
      <c r="P337" s="6">
        <f>SUM(PACIENTES!P337+COMEDOR!P337+JORNADA!P337+'DIETOLOGÍA(S)'!P337)</f>
        <v>416</v>
      </c>
      <c r="Q337" s="6">
        <f>SUM(PACIENTES!Q337+COMEDOR!Q337+JORNADA!Q337+'DIETOLOGÍA(S)'!Q337)</f>
        <v>426</v>
      </c>
      <c r="R337" s="6">
        <f>SUM(PACIENTES!R337+COMEDOR!R337+JORNADA!R337+'DIETOLOGÍA(S)'!R337)</f>
        <v>416</v>
      </c>
      <c r="S337" s="6">
        <f>SUM(PACIENTES!S337+COMEDOR!S337+JORNADA!S337+'DIETOLOGÍA(S)'!S337)</f>
        <v>416</v>
      </c>
      <c r="T337" s="6">
        <f>SUM(PACIENTES!T337+COMEDOR!T337+JORNADA!T337+'DIETOLOGÍA(S)'!T337)</f>
        <v>336</v>
      </c>
      <c r="U337" s="6">
        <f>SUM(PACIENTES!U337+COMEDOR!U337+JORNADA!U337+'DIETOLOGÍA(S)'!U337)</f>
        <v>336</v>
      </c>
      <c r="V337" s="6">
        <f>SUM(PACIENTES!V337+COMEDOR!V337+JORNADA!V337+'DIETOLOGÍA(S)'!V337)</f>
        <v>416</v>
      </c>
      <c r="W337" s="6">
        <f>SUM(PACIENTES!W337+COMEDOR!W337+JORNADA!W337+'DIETOLOGÍA(S)'!W337)</f>
        <v>416</v>
      </c>
      <c r="X337" s="6">
        <f>SUM(PACIENTES!X337+COMEDOR!X337+JORNADA!X337+'DIETOLOGÍA(S)'!X337)</f>
        <v>426</v>
      </c>
      <c r="Y337" s="6">
        <f>SUM(PACIENTES!Y337+COMEDOR!Y337+JORNADA!Y337+'DIETOLOGÍA(S)'!Y337)</f>
        <v>416</v>
      </c>
      <c r="Z337" s="6">
        <f>SUM(PACIENTES!Z337+COMEDOR!Z337+JORNADA!Z337+'DIETOLOGÍA(S)'!Z337)</f>
        <v>416</v>
      </c>
      <c r="AA337" s="6">
        <f>SUM(PACIENTES!AA337+COMEDOR!AA337+JORNADA!AA337+'DIETOLOGÍA(S)'!AA337)</f>
        <v>336</v>
      </c>
      <c r="AB337" s="6">
        <f>SUM(PACIENTES!AB337+COMEDOR!AB337+JORNADA!AB337+'DIETOLOGÍA(S)'!AB337)</f>
        <v>336</v>
      </c>
      <c r="AC337" s="6">
        <f>SUM(PACIENTES!AC337+COMEDOR!AC337+JORNADA!AC337+'DIETOLOGÍA(S)'!AC337)</f>
        <v>416</v>
      </c>
      <c r="AD337" s="6">
        <f>SUM(PACIENTES!AD337+COMEDOR!AD337+JORNADA!AD337+'DIETOLOGÍA(S)'!AD337)</f>
        <v>416</v>
      </c>
      <c r="AE337" s="6">
        <f>SUM(PACIENTES!AE337+COMEDOR!AE337+JORNADA!AE337+'DIETOLOGÍA(S)'!AE337)</f>
        <v>426</v>
      </c>
      <c r="AF337" s="6">
        <f>SUM(PACIENTES!AF337+COMEDOR!AF337+JORNADA!AF337+'DIETOLOGÍA(S)'!AF337)</f>
        <v>416</v>
      </c>
      <c r="AG337" s="6">
        <f>SUM(PACIENTES!AG337+COMEDOR!AG337+JORNADA!AG337+'DIETOLOGÍA(S)'!AG337)</f>
        <v>416</v>
      </c>
      <c r="AH337" s="6">
        <f>SUM(PACIENTES!AH337+COMEDOR!AH337+JORNADA!AH337+'DIETOLOGÍA(S)'!AH337)</f>
        <v>336</v>
      </c>
      <c r="AI337" s="9">
        <f t="shared" si="11"/>
        <v>12344</v>
      </c>
    </row>
    <row r="338" spans="1:35" ht="15.75" customHeight="1">
      <c r="A338" s="238">
        <v>2212001079</v>
      </c>
      <c r="B338" s="239" t="s">
        <v>352</v>
      </c>
      <c r="C338" s="240" t="s">
        <v>86</v>
      </c>
      <c r="D338" s="6">
        <f>SUM(PACIENTES!D338+COMEDOR!D338+JORNADA!D338+'DIETOLOGÍA(S)'!D338)</f>
        <v>0</v>
      </c>
      <c r="E338" s="6">
        <f>SUM(PACIENTES!E338+COMEDOR!E338+JORNADA!E338+'DIETOLOGÍA(S)'!E338)</f>
        <v>0</v>
      </c>
      <c r="F338" s="6">
        <f>SUM(PACIENTES!F338+COMEDOR!F338+JORNADA!F338+'DIETOLOGÍA(S)'!F338)</f>
        <v>0</v>
      </c>
      <c r="G338" s="6">
        <f>SUM(PACIENTES!G338+COMEDOR!G338+JORNADA!G338+'DIETOLOGÍA(S)'!G338)</f>
        <v>0</v>
      </c>
      <c r="H338" s="6">
        <f>SUM(PACIENTES!H338+COMEDOR!H338+JORNADA!H338+'DIETOLOGÍA(S)'!H338)</f>
        <v>0</v>
      </c>
      <c r="I338" s="6">
        <f>SUM(PACIENTES!I338+COMEDOR!I338+JORNADA!I338+'DIETOLOGÍA(S)'!I338)</f>
        <v>0</v>
      </c>
      <c r="J338" s="6">
        <f>SUM(PACIENTES!J338+COMEDOR!J338+JORNADA!J338+'DIETOLOGÍA(S)'!J338)</f>
        <v>0</v>
      </c>
      <c r="K338" s="6">
        <f>SUM(PACIENTES!K338+COMEDOR!K338+JORNADA!K338+'DIETOLOGÍA(S)'!K338)</f>
        <v>0</v>
      </c>
      <c r="L338" s="6">
        <f>SUM(PACIENTES!L338+COMEDOR!L338+JORNADA!L338+'DIETOLOGÍA(S)'!L338)</f>
        <v>0</v>
      </c>
      <c r="M338" s="6">
        <f>SUM(PACIENTES!M338+COMEDOR!M338+JORNADA!M338+'DIETOLOGÍA(S)'!M338)</f>
        <v>0</v>
      </c>
      <c r="N338" s="6">
        <f>SUM(PACIENTES!N338+COMEDOR!N338+JORNADA!N338+'DIETOLOGÍA(S)'!N338)</f>
        <v>0</v>
      </c>
      <c r="O338" s="6">
        <f>SUM(PACIENTES!O338+COMEDOR!O338+JORNADA!O338+'DIETOLOGÍA(S)'!O338)</f>
        <v>0</v>
      </c>
      <c r="P338" s="6">
        <f>SUM(PACIENTES!P338+COMEDOR!P338+JORNADA!P338+'DIETOLOGÍA(S)'!P338)</f>
        <v>0</v>
      </c>
      <c r="Q338" s="6">
        <f>SUM(PACIENTES!Q338+COMEDOR!Q338+JORNADA!Q338+'DIETOLOGÍA(S)'!Q338)</f>
        <v>0</v>
      </c>
      <c r="R338" s="6">
        <f>SUM(PACIENTES!R338+COMEDOR!R338+JORNADA!R338+'DIETOLOGÍA(S)'!R338)</f>
        <v>0</v>
      </c>
      <c r="S338" s="6">
        <f>SUM(PACIENTES!S338+COMEDOR!S338+JORNADA!S338+'DIETOLOGÍA(S)'!S338)</f>
        <v>0</v>
      </c>
      <c r="T338" s="6">
        <f>SUM(PACIENTES!T338+COMEDOR!T338+JORNADA!T338+'DIETOLOGÍA(S)'!T338)</f>
        <v>0</v>
      </c>
      <c r="U338" s="6">
        <f>SUM(PACIENTES!U338+COMEDOR!U338+JORNADA!U338+'DIETOLOGÍA(S)'!U338)</f>
        <v>0</v>
      </c>
      <c r="V338" s="6">
        <f>SUM(PACIENTES!V338+COMEDOR!V338+JORNADA!V338+'DIETOLOGÍA(S)'!V338)</f>
        <v>0</v>
      </c>
      <c r="W338" s="6">
        <f>SUM(PACIENTES!W338+COMEDOR!U339+JORNADA!W338+'DIETOLOGÍA(S)'!W338)</f>
        <v>0</v>
      </c>
      <c r="X338" s="6">
        <f>SUM(PACIENTES!X338+COMEDOR!V339+JORNADA!X338+'DIETOLOGÍA(S)'!X338)</f>
        <v>0</v>
      </c>
      <c r="Y338" s="6">
        <f>SUM(PACIENTES!Y338+COMEDOR!W339+JORNADA!Y338+'DIETOLOGÍA(S)'!Y338)</f>
        <v>0</v>
      </c>
      <c r="Z338" s="6">
        <f>SUM(PACIENTES!Z338+COMEDOR!X339+JORNADA!Z338+'DIETOLOGÍA(S)'!Z338)</f>
        <v>0</v>
      </c>
      <c r="AA338" s="6">
        <f>SUM(PACIENTES!AA338+COMEDOR!AA338+JORNADA!AA338+'DIETOLOGÍA(S)'!AA338)</f>
        <v>0</v>
      </c>
      <c r="AB338" s="6">
        <f>SUM(PACIENTES!AB338+COMEDOR!AB338+JORNADA!AB338+'DIETOLOGÍA(S)'!AB338)</f>
        <v>0</v>
      </c>
      <c r="AC338" s="6">
        <f>SUM(PACIENTES!AC338+COMEDOR!AC338+JORNADA!AC338+'DIETOLOGÍA(S)'!AC338)</f>
        <v>0</v>
      </c>
      <c r="AD338" s="6">
        <f>SUM(PACIENTES!AD338+COMEDOR!AD338+JORNADA!AD338+'DIETOLOGÍA(S)'!AD338)</f>
        <v>0</v>
      </c>
      <c r="AE338" s="6">
        <f>SUM(PACIENTES!AE338+COMEDOR!AE338+JORNADA!AE338+'DIETOLOGÍA(S)'!AE338)</f>
        <v>0</v>
      </c>
      <c r="AF338" s="6">
        <f>SUM(PACIENTES!AF338+COMEDOR!AF338+JORNADA!AF338+'DIETOLOGÍA(S)'!AF338)</f>
        <v>0</v>
      </c>
      <c r="AG338" s="6">
        <f>SUM(PACIENTES!AG338+COMEDOR!AG338+JORNADA!AG338+'DIETOLOGÍA(S)'!AG338)</f>
        <v>0</v>
      </c>
      <c r="AH338" s="6">
        <f>SUM(PACIENTES!AH338+COMEDOR!AH338+JORNADA!AH338+'DIETOLOGÍA(S)'!AH338)</f>
        <v>0</v>
      </c>
      <c r="AI338" s="9">
        <f t="shared" si="11"/>
        <v>0</v>
      </c>
    </row>
    <row r="339" spans="1:35" ht="15.75" customHeight="1">
      <c r="A339" s="238">
        <v>2212001080</v>
      </c>
      <c r="B339" s="239" t="s">
        <v>353</v>
      </c>
      <c r="C339" s="240" t="s">
        <v>86</v>
      </c>
      <c r="D339" s="6">
        <f>SUM(PACIENTES!D339+COMEDOR!D339+JORNADA!D339+'DIETOLOGÍA(S)'!D339)</f>
        <v>0</v>
      </c>
      <c r="E339" s="6">
        <f>SUM(PACIENTES!E339+COMEDOR!E339+JORNADA!E339+'DIETOLOGÍA(S)'!E339)</f>
        <v>0</v>
      </c>
      <c r="F339" s="6">
        <f>SUM(PACIENTES!F339+COMEDOR!F339+JORNADA!F339+'DIETOLOGÍA(S)'!F339)</f>
        <v>0</v>
      </c>
      <c r="G339" s="6">
        <f>SUM(PACIENTES!G339+COMEDOR!G339+JORNADA!G339+'DIETOLOGÍA(S)'!G339)</f>
        <v>0</v>
      </c>
      <c r="H339" s="6">
        <f>SUM(PACIENTES!H339+COMEDOR!H339+JORNADA!H339+'DIETOLOGÍA(S)'!H339)</f>
        <v>0</v>
      </c>
      <c r="I339" s="6">
        <f>SUM(PACIENTES!I339+COMEDOR!I339+JORNADA!I339+'DIETOLOGÍA(S)'!I339)</f>
        <v>0</v>
      </c>
      <c r="J339" s="6">
        <f>SUM(PACIENTES!J339+COMEDOR!J339+JORNADA!J339+'DIETOLOGÍA(S)'!J339)</f>
        <v>0</v>
      </c>
      <c r="K339" s="6">
        <f>SUM(PACIENTES!K339+COMEDOR!K339+JORNADA!K339+'DIETOLOGÍA(S)'!K339)</f>
        <v>0</v>
      </c>
      <c r="L339" s="6">
        <f>SUM(PACIENTES!L339+COMEDOR!L339+JORNADA!L339+'DIETOLOGÍA(S)'!L339)</f>
        <v>0</v>
      </c>
      <c r="M339" s="6">
        <f>SUM(PACIENTES!M339+COMEDOR!M339+JORNADA!M339+'DIETOLOGÍA(S)'!M339)</f>
        <v>0</v>
      </c>
      <c r="N339" s="6">
        <f>SUM(PACIENTES!N339+COMEDOR!N339+JORNADA!N339+'DIETOLOGÍA(S)'!N339)</f>
        <v>0</v>
      </c>
      <c r="O339" s="6">
        <f>SUM(PACIENTES!O339+COMEDOR!O339+JORNADA!O339+'DIETOLOGÍA(S)'!O339)</f>
        <v>0</v>
      </c>
      <c r="P339" s="6">
        <f>SUM(PACIENTES!P339+COMEDOR!P339+JORNADA!P339+'DIETOLOGÍA(S)'!P339)</f>
        <v>0</v>
      </c>
      <c r="Q339" s="6">
        <f>SUM(PACIENTES!Q339+COMEDOR!Q339+JORNADA!Q339+'DIETOLOGÍA(S)'!Q339)</f>
        <v>0</v>
      </c>
      <c r="R339" s="6">
        <f>SUM(PACIENTES!R339+COMEDOR!R339+JORNADA!R339+'DIETOLOGÍA(S)'!R339)</f>
        <v>0</v>
      </c>
      <c r="S339" s="6">
        <f>SUM(PACIENTES!S339+COMEDOR!S339+JORNADA!S339+'DIETOLOGÍA(S)'!S339)</f>
        <v>0</v>
      </c>
      <c r="T339" s="6">
        <f>SUM(PACIENTES!T339+COMEDOR!T339+JORNADA!T339+'DIETOLOGÍA(S)'!T339)</f>
        <v>0</v>
      </c>
      <c r="U339" s="6">
        <f>SUM(PACIENTES!U339+COMEDOR!U339+JORNADA!U339+'DIETOLOGÍA(S)'!U339)</f>
        <v>0</v>
      </c>
      <c r="V339" s="6">
        <f>SUM(PACIENTES!V339+COMEDOR!V339+JORNADA!V339+'DIETOLOGÍA(S)'!V339)</f>
        <v>0</v>
      </c>
      <c r="W339" s="6">
        <f>SUM(PACIENTES!W339+COMEDOR!U340+JORNADA!W339+'DIETOLOGÍA(S)'!W339)</f>
        <v>0</v>
      </c>
      <c r="X339" s="6">
        <f>SUM(PACIENTES!X339+COMEDOR!V340+JORNADA!X339+'DIETOLOGÍA(S)'!X339)</f>
        <v>0</v>
      </c>
      <c r="Y339" s="6">
        <f>SUM(PACIENTES!Y339+COMEDOR!W340+JORNADA!Y339+'DIETOLOGÍA(S)'!Y339)</f>
        <v>0</v>
      </c>
      <c r="Z339" s="6">
        <f>SUM(PACIENTES!Z339+COMEDOR!X340+JORNADA!Z339+'DIETOLOGÍA(S)'!Z339)</f>
        <v>0</v>
      </c>
      <c r="AA339" s="6">
        <f>SUM(PACIENTES!AA339+COMEDOR!AA339+JORNADA!AA339+'DIETOLOGÍA(S)'!AA339)</f>
        <v>0</v>
      </c>
      <c r="AB339" s="6">
        <f>SUM(PACIENTES!AB339+COMEDOR!AB339+JORNADA!AB339+'DIETOLOGÍA(S)'!AB339)</f>
        <v>0</v>
      </c>
      <c r="AC339" s="6">
        <f>SUM(PACIENTES!AC339+COMEDOR!AC339+JORNADA!AC339+'DIETOLOGÍA(S)'!AC339)</f>
        <v>0</v>
      </c>
      <c r="AD339" s="6">
        <f>SUM(PACIENTES!AD339+COMEDOR!AD339+JORNADA!AD339+'DIETOLOGÍA(S)'!AD339)</f>
        <v>0</v>
      </c>
      <c r="AE339" s="6">
        <f>SUM(PACIENTES!AE339+COMEDOR!AE339+JORNADA!AE339+'DIETOLOGÍA(S)'!AE339)</f>
        <v>0</v>
      </c>
      <c r="AF339" s="6">
        <f>SUM(PACIENTES!AF339+COMEDOR!AF339+JORNADA!AF339+'DIETOLOGÍA(S)'!AF339)</f>
        <v>0</v>
      </c>
      <c r="AG339" s="6">
        <f>SUM(PACIENTES!AG339+COMEDOR!AG339+JORNADA!AG339+'DIETOLOGÍA(S)'!AG339)</f>
        <v>0</v>
      </c>
      <c r="AH339" s="6">
        <f>SUM(PACIENTES!AH339+COMEDOR!AH339+JORNADA!AH339+'DIETOLOGÍA(S)'!AH339)</f>
        <v>0</v>
      </c>
      <c r="AI339" s="9">
        <f t="shared" si="11"/>
        <v>0</v>
      </c>
    </row>
    <row r="340" spans="1:35" ht="15.75" customHeight="1">
      <c r="A340" s="238">
        <v>2212001085</v>
      </c>
      <c r="B340" s="239" t="s">
        <v>354</v>
      </c>
      <c r="C340" s="240" t="s">
        <v>8</v>
      </c>
      <c r="D340" s="6">
        <f>SUM(PACIENTES!D340+COMEDOR!D340+JORNADA!D340+'DIETOLOGÍA(S)'!D340)</f>
        <v>0</v>
      </c>
      <c r="E340" s="6">
        <f>SUM(PACIENTES!E340+COMEDOR!E340+JORNADA!E340+'DIETOLOGÍA(S)'!E340)</f>
        <v>0</v>
      </c>
      <c r="F340" s="6">
        <f>SUM(PACIENTES!F340+COMEDOR!F340+JORNADA!F340+'DIETOLOGÍA(S)'!F340)</f>
        <v>0</v>
      </c>
      <c r="G340" s="6">
        <f>SUM(PACIENTES!G340+COMEDOR!G340+JORNADA!G340+'DIETOLOGÍA(S)'!G340)</f>
        <v>0</v>
      </c>
      <c r="H340" s="6">
        <f>SUM(PACIENTES!H340+COMEDOR!H340+JORNADA!H340+'DIETOLOGÍA(S)'!H340)</f>
        <v>0</v>
      </c>
      <c r="I340" s="6">
        <f>SUM(PACIENTES!I340+COMEDOR!I340+JORNADA!I340+'DIETOLOGÍA(S)'!I340)</f>
        <v>0</v>
      </c>
      <c r="J340" s="6">
        <f>SUM(PACIENTES!J340+COMEDOR!J340+JORNADA!J340+'DIETOLOGÍA(S)'!J340)</f>
        <v>0</v>
      </c>
      <c r="K340" s="6">
        <f>SUM(PACIENTES!K340+COMEDOR!K340+JORNADA!K340+'DIETOLOGÍA(S)'!K340)</f>
        <v>0</v>
      </c>
      <c r="L340" s="6">
        <f>SUM(PACIENTES!L340+COMEDOR!L340+JORNADA!L340+'DIETOLOGÍA(S)'!L340)</f>
        <v>0</v>
      </c>
      <c r="M340" s="6">
        <f>SUM(PACIENTES!M340+COMEDOR!M340+JORNADA!M340+'DIETOLOGÍA(S)'!M340)</f>
        <v>0</v>
      </c>
      <c r="N340" s="6">
        <f>SUM(PACIENTES!N340+COMEDOR!N340+JORNADA!N340+'DIETOLOGÍA(S)'!N340)</f>
        <v>0</v>
      </c>
      <c r="O340" s="6">
        <f>SUM(PACIENTES!O340+COMEDOR!O340+JORNADA!O340+'DIETOLOGÍA(S)'!O340)</f>
        <v>0</v>
      </c>
      <c r="P340" s="6">
        <f>SUM(PACIENTES!P340+COMEDOR!P340+JORNADA!P340+'DIETOLOGÍA(S)'!P340)</f>
        <v>0</v>
      </c>
      <c r="Q340" s="6">
        <f>SUM(PACIENTES!Q340+COMEDOR!Q340+JORNADA!Q340+'DIETOLOGÍA(S)'!Q340)</f>
        <v>0</v>
      </c>
      <c r="R340" s="6">
        <f>SUM(PACIENTES!R340+COMEDOR!R340+JORNADA!R340+'DIETOLOGÍA(S)'!R340)</f>
        <v>0</v>
      </c>
      <c r="S340" s="6">
        <f>SUM(PACIENTES!S340+COMEDOR!S340+JORNADA!S340+'DIETOLOGÍA(S)'!S340)</f>
        <v>0</v>
      </c>
      <c r="T340" s="6">
        <f>SUM(PACIENTES!T340+COMEDOR!T340+JORNADA!T340+'DIETOLOGÍA(S)'!T340)</f>
        <v>0</v>
      </c>
      <c r="U340" s="6">
        <f>SUM(PACIENTES!U340+COMEDOR!U340+JORNADA!U340+'DIETOLOGÍA(S)'!U340)</f>
        <v>0</v>
      </c>
      <c r="V340" s="6">
        <f>SUM(PACIENTES!V340+COMEDOR!V340+JORNADA!V340+'DIETOLOGÍA(S)'!V340)</f>
        <v>0</v>
      </c>
      <c r="W340" s="6">
        <f>SUM(PACIENTES!W340+COMEDOR!U341+JORNADA!W340+'DIETOLOGÍA(S)'!W340)</f>
        <v>0</v>
      </c>
      <c r="X340" s="6">
        <f>SUM(PACIENTES!X340+COMEDOR!V341+JORNADA!X340+'DIETOLOGÍA(S)'!X340)</f>
        <v>0</v>
      </c>
      <c r="Y340" s="6">
        <f>SUM(PACIENTES!Y340+COMEDOR!W341+JORNADA!Y340+'DIETOLOGÍA(S)'!Y340)</f>
        <v>0</v>
      </c>
      <c r="Z340" s="6">
        <f>SUM(PACIENTES!Z340+COMEDOR!X341+JORNADA!Z340+'DIETOLOGÍA(S)'!Z340)</f>
        <v>0</v>
      </c>
      <c r="AA340" s="6">
        <f>SUM(PACIENTES!AA340+COMEDOR!AA340+JORNADA!AA340+'DIETOLOGÍA(S)'!AA340)</f>
        <v>0</v>
      </c>
      <c r="AB340" s="6">
        <f>SUM(PACIENTES!AB340+COMEDOR!AB340+JORNADA!AB340+'DIETOLOGÍA(S)'!AB340)</f>
        <v>0</v>
      </c>
      <c r="AC340" s="6">
        <f>SUM(PACIENTES!AC340+COMEDOR!AC340+JORNADA!AC340+'DIETOLOGÍA(S)'!AC340)</f>
        <v>0</v>
      </c>
      <c r="AD340" s="6">
        <f>SUM(PACIENTES!AD340+COMEDOR!AD340+JORNADA!AD340+'DIETOLOGÍA(S)'!AD340)</f>
        <v>0</v>
      </c>
      <c r="AE340" s="6">
        <f>SUM(PACIENTES!AE340+COMEDOR!AE340+JORNADA!AE340+'DIETOLOGÍA(S)'!AE340)</f>
        <v>0</v>
      </c>
      <c r="AF340" s="6">
        <f>SUM(PACIENTES!AF340+COMEDOR!AF340+JORNADA!AF340+'DIETOLOGÍA(S)'!AF340)</f>
        <v>0</v>
      </c>
      <c r="AG340" s="6">
        <f>SUM(PACIENTES!AG340+COMEDOR!AG340+JORNADA!AG340+'DIETOLOGÍA(S)'!AG340)</f>
        <v>0</v>
      </c>
      <c r="AH340" s="6">
        <f>SUM(PACIENTES!AH340+COMEDOR!AH340+JORNADA!AH340+'DIETOLOGÍA(S)'!AH340)</f>
        <v>0</v>
      </c>
      <c r="AI340" s="9">
        <f t="shared" si="11"/>
        <v>0</v>
      </c>
    </row>
    <row r="341" spans="1:35" ht="15.75" customHeight="1">
      <c r="A341" s="238">
        <v>2212001086</v>
      </c>
      <c r="B341" s="239" t="s">
        <v>355</v>
      </c>
      <c r="C341" s="240" t="s">
        <v>307</v>
      </c>
      <c r="D341" s="6">
        <f>SUM(PACIENTES!D341+COMEDOR!D341+JORNADA!D341+'DIETOLOGÍA(S)'!D341)</f>
        <v>0</v>
      </c>
      <c r="E341" s="6">
        <f>SUM(PACIENTES!E341+COMEDOR!E341+JORNADA!E341+'DIETOLOGÍA(S)'!E341)</f>
        <v>0</v>
      </c>
      <c r="F341" s="6">
        <f>SUM(PACIENTES!F341+COMEDOR!F341+JORNADA!F341+'DIETOLOGÍA(S)'!F341)</f>
        <v>0</v>
      </c>
      <c r="G341" s="6">
        <f>SUM(PACIENTES!G341+COMEDOR!G341+JORNADA!G341+'DIETOLOGÍA(S)'!G341)</f>
        <v>3</v>
      </c>
      <c r="H341" s="6">
        <f>SUM(PACIENTES!H341+COMEDOR!H341+JORNADA!H341+'DIETOLOGÍA(S)'!H341)</f>
        <v>0</v>
      </c>
      <c r="I341" s="6">
        <f>SUM(PACIENTES!I341+COMEDOR!I341+JORNADA!I341+'DIETOLOGÍA(S)'!I341)</f>
        <v>0</v>
      </c>
      <c r="J341" s="6">
        <f>SUM(PACIENTES!J341+COMEDOR!J341+JORNADA!J341+'DIETOLOGÍA(S)'!J341)</f>
        <v>3</v>
      </c>
      <c r="K341" s="6">
        <f>SUM(PACIENTES!K341+COMEDOR!K341+JORNADA!K341+'DIETOLOGÍA(S)'!K341)</f>
        <v>0</v>
      </c>
      <c r="L341" s="6">
        <f>SUM(PACIENTES!L341+COMEDOR!L341+JORNADA!L341+'DIETOLOGÍA(S)'!L341)</f>
        <v>0</v>
      </c>
      <c r="M341" s="6">
        <f>SUM(PACIENTES!M341+COMEDOR!M341+JORNADA!M341+'DIETOLOGÍA(S)'!M341)</f>
        <v>0</v>
      </c>
      <c r="N341" s="6">
        <f>SUM(PACIENTES!N341+COMEDOR!N341+JORNADA!N341+'DIETOLOGÍA(S)'!N341)</f>
        <v>0</v>
      </c>
      <c r="O341" s="6">
        <f>SUM(PACIENTES!O341+COMEDOR!O341+JORNADA!O341+'DIETOLOGÍA(S)'!O341)</f>
        <v>3</v>
      </c>
      <c r="P341" s="6">
        <f>SUM(PACIENTES!P341+COMEDOR!P341+JORNADA!P341+'DIETOLOGÍA(S)'!P341)</f>
        <v>0</v>
      </c>
      <c r="Q341" s="6">
        <f>SUM(PACIENTES!Q341+COMEDOR!Q341+JORNADA!Q341+'DIETOLOGÍA(S)'!Q341)</f>
        <v>0</v>
      </c>
      <c r="R341" s="6">
        <f>SUM(PACIENTES!R341+COMEDOR!R341+JORNADA!R341+'DIETOLOGÍA(S)'!R341)</f>
        <v>0</v>
      </c>
      <c r="S341" s="6">
        <f>SUM(PACIENTES!S341+COMEDOR!S341+JORNADA!S341+'DIETOLOGÍA(S)'!S341)</f>
        <v>0</v>
      </c>
      <c r="T341" s="6">
        <f>SUM(PACIENTES!T341+COMEDOR!T341+JORNADA!T341+'DIETOLOGÍA(S)'!T341)</f>
        <v>3</v>
      </c>
      <c r="U341" s="6">
        <f>SUM(PACIENTES!U341+COMEDOR!U341+JORNADA!U341+'DIETOLOGÍA(S)'!U341)</f>
        <v>0</v>
      </c>
      <c r="V341" s="6">
        <f>SUM(PACIENTES!V341+COMEDOR!V341+JORNADA!V341+'DIETOLOGÍA(S)'!V341)</f>
        <v>0</v>
      </c>
      <c r="W341" s="6">
        <f>SUM(PACIENTES!W341+COMEDOR!U342+JORNADA!W341+'DIETOLOGÍA(S)'!W341)</f>
        <v>0</v>
      </c>
      <c r="X341" s="6">
        <f>SUM(PACIENTES!X341+COMEDOR!V342+JORNADA!X341+'DIETOLOGÍA(S)'!X341)</f>
        <v>0</v>
      </c>
      <c r="Y341" s="6">
        <f>SUM(PACIENTES!Y341+COMEDOR!W342+JORNADA!Y341+'DIETOLOGÍA(S)'!Y341)</f>
        <v>0</v>
      </c>
      <c r="Z341" s="6">
        <f>SUM(PACIENTES!Z341+COMEDOR!X342+JORNADA!Z341+'DIETOLOGÍA(S)'!Z341)</f>
        <v>0</v>
      </c>
      <c r="AA341" s="6">
        <f>SUM(PACIENTES!AA341+COMEDOR!AA341+JORNADA!AA341+'DIETOLOGÍA(S)'!AA341)</f>
        <v>0</v>
      </c>
      <c r="AB341" s="6">
        <f>SUM(PACIENTES!AB341+COMEDOR!AB341+JORNADA!AB341+'DIETOLOGÍA(S)'!AB341)</f>
        <v>3</v>
      </c>
      <c r="AC341" s="6">
        <f>SUM(PACIENTES!AC341+COMEDOR!AC341+JORNADA!AC341+'DIETOLOGÍA(S)'!AC341)</f>
        <v>0</v>
      </c>
      <c r="AD341" s="6">
        <f>SUM(PACIENTES!AD341+COMEDOR!AD341+JORNADA!AD341+'DIETOLOGÍA(S)'!AD341)</f>
        <v>0</v>
      </c>
      <c r="AE341" s="6">
        <f>SUM(PACIENTES!AE341+COMEDOR!AE341+JORNADA!AE341+'DIETOLOGÍA(S)'!AE341)</f>
        <v>0</v>
      </c>
      <c r="AF341" s="6">
        <f>SUM(PACIENTES!AF341+COMEDOR!AF341+JORNADA!AF341+'DIETOLOGÍA(S)'!AF341)</f>
        <v>0</v>
      </c>
      <c r="AG341" s="6">
        <f>SUM(PACIENTES!AG341+COMEDOR!AG341+JORNADA!AG341+'DIETOLOGÍA(S)'!AG341)</f>
        <v>0</v>
      </c>
      <c r="AH341" s="6">
        <f>SUM(PACIENTES!AH341+COMEDOR!AH341+JORNADA!AH341+'DIETOLOGÍA(S)'!AH341)</f>
        <v>0</v>
      </c>
      <c r="AI341" s="9">
        <f t="shared" si="11"/>
        <v>15</v>
      </c>
    </row>
    <row r="342" spans="1:35" ht="15.75" customHeight="1">
      <c r="A342" s="238">
        <v>2212001087</v>
      </c>
      <c r="B342" s="239" t="s">
        <v>356</v>
      </c>
      <c r="C342" s="240" t="s">
        <v>313</v>
      </c>
      <c r="D342" s="6">
        <f>SUM(PACIENTES!D342+COMEDOR!D342+JORNADA!D342+'DIETOLOGÍA(S)'!D342)</f>
        <v>0</v>
      </c>
      <c r="E342" s="6">
        <f>SUM(PACIENTES!E342+COMEDOR!E342+JORNADA!E342+'DIETOLOGÍA(S)'!E342)</f>
        <v>0</v>
      </c>
      <c r="F342" s="6">
        <f>SUM(PACIENTES!F342+COMEDOR!F342+JORNADA!F342+'DIETOLOGÍA(S)'!F342)</f>
        <v>0</v>
      </c>
      <c r="G342" s="6">
        <f>SUM(PACIENTES!G342+COMEDOR!G342+JORNADA!G342+'DIETOLOGÍA(S)'!G342)</f>
        <v>0</v>
      </c>
      <c r="H342" s="6">
        <f>SUM(PACIENTES!H342+COMEDOR!H342+JORNADA!H342+'DIETOLOGÍA(S)'!H342)</f>
        <v>0</v>
      </c>
      <c r="I342" s="6">
        <f>SUM(PACIENTES!I342+COMEDOR!I342+JORNADA!I342+'DIETOLOGÍA(S)'!I342)</f>
        <v>0</v>
      </c>
      <c r="J342" s="6">
        <f>SUM(PACIENTES!J342+COMEDOR!J342+JORNADA!J342+'DIETOLOGÍA(S)'!J342)</f>
        <v>0</v>
      </c>
      <c r="K342" s="6">
        <f>SUM(PACIENTES!K342+COMEDOR!K342+JORNADA!K342+'DIETOLOGÍA(S)'!K342)</f>
        <v>0</v>
      </c>
      <c r="L342" s="6">
        <f>SUM(PACIENTES!L342+COMEDOR!L342+JORNADA!L342+'DIETOLOGÍA(S)'!L342)</f>
        <v>0</v>
      </c>
      <c r="M342" s="6">
        <f>SUM(PACIENTES!M342+COMEDOR!M342+JORNADA!M342+'DIETOLOGÍA(S)'!M342)</f>
        <v>0</v>
      </c>
      <c r="N342" s="6">
        <f>SUM(PACIENTES!N342+COMEDOR!N342+JORNADA!N342+'DIETOLOGÍA(S)'!N342)</f>
        <v>0</v>
      </c>
      <c r="O342" s="6">
        <f>SUM(PACIENTES!O342+COMEDOR!O342+JORNADA!O342+'DIETOLOGÍA(S)'!O342)</f>
        <v>0</v>
      </c>
      <c r="P342" s="6">
        <f>SUM(PACIENTES!P342+COMEDOR!P342+JORNADA!P342+'DIETOLOGÍA(S)'!P342)</f>
        <v>0</v>
      </c>
      <c r="Q342" s="6">
        <f>SUM(PACIENTES!Q342+COMEDOR!Q342+JORNADA!Q342+'DIETOLOGÍA(S)'!Q342)</f>
        <v>0</v>
      </c>
      <c r="R342" s="6">
        <f>SUM(PACIENTES!R342+COMEDOR!R342+JORNADA!R342+'DIETOLOGÍA(S)'!R342)</f>
        <v>0</v>
      </c>
      <c r="S342" s="6">
        <f>SUM(PACIENTES!S342+COMEDOR!S342+JORNADA!S342+'DIETOLOGÍA(S)'!S342)</f>
        <v>0</v>
      </c>
      <c r="T342" s="6">
        <f>SUM(PACIENTES!T342+COMEDOR!T342+JORNADA!T342+'DIETOLOGÍA(S)'!T342)</f>
        <v>0</v>
      </c>
      <c r="U342" s="6">
        <f>SUM(PACIENTES!U342+COMEDOR!U342+JORNADA!U342+'DIETOLOGÍA(S)'!U342)</f>
        <v>0</v>
      </c>
      <c r="V342" s="6">
        <f>SUM(PACIENTES!V342+COMEDOR!V342+JORNADA!V342+'DIETOLOGÍA(S)'!V342)</f>
        <v>0</v>
      </c>
      <c r="W342" s="6">
        <f>SUM(PACIENTES!W342+COMEDOR!W342+JORNADA!W342+'DIETOLOGÍA(S)'!W342)</f>
        <v>0</v>
      </c>
      <c r="X342" s="6">
        <f>SUM(PACIENTES!X342+COMEDOR!X342+JORNADA!X342+'DIETOLOGÍA(S)'!X342)</f>
        <v>0</v>
      </c>
      <c r="Y342" s="6">
        <f>SUM(PACIENTES!Y342+COMEDOR!Y342+JORNADA!Y342+'DIETOLOGÍA(S)'!Y342)</f>
        <v>0</v>
      </c>
      <c r="Z342" s="6">
        <f>SUM(PACIENTES!Z342+COMEDOR!Z342+JORNADA!Z342+'DIETOLOGÍA(S)'!Z342)</f>
        <v>0</v>
      </c>
      <c r="AA342" s="6">
        <f>SUM(PACIENTES!AA342+COMEDOR!AA342+JORNADA!AA342+'DIETOLOGÍA(S)'!AA342)</f>
        <v>0</v>
      </c>
      <c r="AB342" s="6">
        <f>SUM(PACIENTES!AB342+COMEDOR!AB342+JORNADA!AB342+'DIETOLOGÍA(S)'!AB342)</f>
        <v>0</v>
      </c>
      <c r="AC342" s="6">
        <f>SUM(PACIENTES!AC342+COMEDOR!AC342+JORNADA!AC342+'DIETOLOGÍA(S)'!AC342)</f>
        <v>0</v>
      </c>
      <c r="AD342" s="6">
        <f>SUM(PACIENTES!AD342+COMEDOR!AD342+JORNADA!AD342+'DIETOLOGÍA(S)'!AD342)</f>
        <v>0</v>
      </c>
      <c r="AE342" s="6">
        <f>SUM(PACIENTES!AE342+COMEDOR!AE342+JORNADA!AE342+'DIETOLOGÍA(S)'!AE342)</f>
        <v>0</v>
      </c>
      <c r="AF342" s="6">
        <f>SUM(PACIENTES!AF342+COMEDOR!AF342+JORNADA!AF342+'DIETOLOGÍA(S)'!AF342)</f>
        <v>0</v>
      </c>
      <c r="AG342" s="6">
        <f>SUM(PACIENTES!AG342+COMEDOR!AG342+JORNADA!AG342+'DIETOLOGÍA(S)'!AG342)</f>
        <v>0</v>
      </c>
      <c r="AH342" s="6">
        <f>SUM(PACIENTES!AH342+COMEDOR!AH342+JORNADA!AH342+'DIETOLOGÍA(S)'!AH342)</f>
        <v>0</v>
      </c>
      <c r="AI342" s="9">
        <f t="shared" si="11"/>
        <v>0</v>
      </c>
    </row>
    <row r="343" spans="1:35" ht="15.75" customHeight="1">
      <c r="A343" s="238">
        <v>2212001089</v>
      </c>
      <c r="B343" s="239" t="s">
        <v>357</v>
      </c>
      <c r="C343" s="240" t="s">
        <v>296</v>
      </c>
      <c r="D343" s="6">
        <f>SUM(PACIENTES!D343+COMEDOR!D343+JORNADA!D343+'DIETOLOGÍA(S)'!D343)</f>
        <v>0</v>
      </c>
      <c r="E343" s="6">
        <f>SUM(PACIENTES!E343+COMEDOR!E343+JORNADA!E343+'DIETOLOGÍA(S)'!E343)</f>
        <v>0</v>
      </c>
      <c r="F343" s="6">
        <f>SUM(PACIENTES!F343+COMEDOR!F343+JORNADA!F343+'DIETOLOGÍA(S)'!F343)</f>
        <v>0</v>
      </c>
      <c r="G343" s="6">
        <f>SUM(PACIENTES!G343+COMEDOR!G343+JORNADA!G343+'DIETOLOGÍA(S)'!G343)</f>
        <v>0</v>
      </c>
      <c r="H343" s="6">
        <f>SUM(PACIENTES!H343+COMEDOR!H343+JORNADA!H343+'DIETOLOGÍA(S)'!H343)</f>
        <v>0</v>
      </c>
      <c r="I343" s="6">
        <f>SUM(PACIENTES!I343+COMEDOR!I343+JORNADA!I343+'DIETOLOGÍA(S)'!I343)</f>
        <v>0</v>
      </c>
      <c r="J343" s="6">
        <f>SUM(PACIENTES!J343+COMEDOR!J343+JORNADA!J343+'DIETOLOGÍA(S)'!J343)</f>
        <v>0</v>
      </c>
      <c r="K343" s="6">
        <f>SUM(PACIENTES!K343+COMEDOR!K343+JORNADA!K343+'DIETOLOGÍA(S)'!K343)</f>
        <v>0</v>
      </c>
      <c r="L343" s="6">
        <f>SUM(PACIENTES!L343+COMEDOR!L343+JORNADA!L343+'DIETOLOGÍA(S)'!L343)</f>
        <v>0</v>
      </c>
      <c r="M343" s="6">
        <f>SUM(PACIENTES!M343+COMEDOR!M343+JORNADA!M343+'DIETOLOGÍA(S)'!M343)</f>
        <v>0</v>
      </c>
      <c r="N343" s="6">
        <f>SUM(PACIENTES!N343+COMEDOR!N343+JORNADA!N343+'DIETOLOGÍA(S)'!N343)</f>
        <v>0</v>
      </c>
      <c r="O343" s="6">
        <f>SUM(PACIENTES!O343+COMEDOR!O343+JORNADA!O343+'DIETOLOGÍA(S)'!O343)</f>
        <v>0</v>
      </c>
      <c r="P343" s="6">
        <f>SUM(PACIENTES!P343+COMEDOR!P343+JORNADA!P343+'DIETOLOGÍA(S)'!P343)</f>
        <v>0</v>
      </c>
      <c r="Q343" s="6">
        <f>SUM(PACIENTES!Q343+COMEDOR!Q343+JORNADA!Q343+'DIETOLOGÍA(S)'!Q343)</f>
        <v>0</v>
      </c>
      <c r="R343" s="6">
        <f>SUM(PACIENTES!R343+COMEDOR!R343+JORNADA!R343+'DIETOLOGÍA(S)'!R343)</f>
        <v>0</v>
      </c>
      <c r="S343" s="6">
        <f>SUM(PACIENTES!S343+COMEDOR!S343+JORNADA!S343+'DIETOLOGÍA(S)'!S343)</f>
        <v>0</v>
      </c>
      <c r="T343" s="6">
        <f>SUM(PACIENTES!T343+COMEDOR!T343+JORNADA!T343+'DIETOLOGÍA(S)'!T343)</f>
        <v>0</v>
      </c>
      <c r="U343" s="6">
        <f>SUM(PACIENTES!U343+COMEDOR!U343+JORNADA!U343+'DIETOLOGÍA(S)'!U343)</f>
        <v>0</v>
      </c>
      <c r="V343" s="6">
        <f>SUM(PACIENTES!V343+COMEDOR!V343+JORNADA!V343+'DIETOLOGÍA(S)'!V343)</f>
        <v>0</v>
      </c>
      <c r="W343" s="6">
        <f>SUM(PACIENTES!W343+COMEDOR!W343+JORNADA!W343+'DIETOLOGÍA(S)'!W343)</f>
        <v>0</v>
      </c>
      <c r="X343" s="6">
        <f>SUM(PACIENTES!X343+COMEDOR!X343+JORNADA!X343+'DIETOLOGÍA(S)'!X343)</f>
        <v>0</v>
      </c>
      <c r="Y343" s="6">
        <f>SUM(PACIENTES!Y343+COMEDOR!Y343+JORNADA!Y343+'DIETOLOGÍA(S)'!Y343)</f>
        <v>0</v>
      </c>
      <c r="Z343" s="6">
        <f>SUM(PACIENTES!Z343+COMEDOR!Z343+JORNADA!Z343+'DIETOLOGÍA(S)'!Z343)</f>
        <v>0</v>
      </c>
      <c r="AA343" s="6">
        <f>SUM(PACIENTES!AA343+COMEDOR!AA343+JORNADA!AA343+'DIETOLOGÍA(S)'!AA343)</f>
        <v>0</v>
      </c>
      <c r="AB343" s="6">
        <f>SUM(PACIENTES!AB343+COMEDOR!AB343+JORNADA!AB343+'DIETOLOGÍA(S)'!AB343)</f>
        <v>0</v>
      </c>
      <c r="AC343" s="6">
        <f>SUM(PACIENTES!AC343+COMEDOR!AC343+JORNADA!AC343+'DIETOLOGÍA(S)'!AC343)</f>
        <v>0</v>
      </c>
      <c r="AD343" s="6">
        <f>SUM(PACIENTES!AD343+COMEDOR!AD343+JORNADA!AD343+'DIETOLOGÍA(S)'!AD343)</f>
        <v>0</v>
      </c>
      <c r="AE343" s="6">
        <f>SUM(PACIENTES!AE343+COMEDOR!AE343+JORNADA!AE343+'DIETOLOGÍA(S)'!AE343)</f>
        <v>0</v>
      </c>
      <c r="AF343" s="6">
        <f>SUM(PACIENTES!AF343+COMEDOR!AF343+JORNADA!AF343+'DIETOLOGÍA(S)'!AF343)</f>
        <v>0</v>
      </c>
      <c r="AG343" s="6">
        <f>SUM(PACIENTES!AG343+COMEDOR!AG343+JORNADA!AG343+'DIETOLOGÍA(S)'!AG343)</f>
        <v>0</v>
      </c>
      <c r="AH343" s="6">
        <f>SUM(PACIENTES!AH343+COMEDOR!AH343+JORNADA!AH343+'DIETOLOGÍA(S)'!AH343)</f>
        <v>0</v>
      </c>
      <c r="AI343" s="9">
        <f t="shared" si="11"/>
        <v>0</v>
      </c>
    </row>
    <row r="344" spans="1:35" ht="15.75" customHeight="1">
      <c r="A344" s="238">
        <v>2212001100</v>
      </c>
      <c r="B344" s="239" t="s">
        <v>358</v>
      </c>
      <c r="C344" s="240" t="s">
        <v>313</v>
      </c>
      <c r="D344" s="6">
        <f>SUM(PACIENTES!D344+COMEDOR!D344+JORNADA!D344+'DIETOLOGÍA(S)'!D344)</f>
        <v>0</v>
      </c>
      <c r="E344" s="6">
        <f>SUM(PACIENTES!E344+COMEDOR!E344+JORNADA!E344+'DIETOLOGÍA(S)'!E344)</f>
        <v>0</v>
      </c>
      <c r="F344" s="6">
        <f>SUM(PACIENTES!F344+COMEDOR!F344+JORNADA!F344+'DIETOLOGÍA(S)'!F344)</f>
        <v>0</v>
      </c>
      <c r="G344" s="6">
        <f>SUM(PACIENTES!G344+COMEDOR!G344+JORNADA!G344+'DIETOLOGÍA(S)'!G344)</f>
        <v>0</v>
      </c>
      <c r="H344" s="6">
        <f>SUM(PACIENTES!H344+COMEDOR!H344+JORNADA!H344+'DIETOLOGÍA(S)'!H344)</f>
        <v>0</v>
      </c>
      <c r="I344" s="6">
        <f>SUM(PACIENTES!I344+COMEDOR!I344+JORNADA!I344+'DIETOLOGÍA(S)'!I344)</f>
        <v>0</v>
      </c>
      <c r="J344" s="6">
        <f>SUM(PACIENTES!J344+COMEDOR!J344+JORNADA!J344+'DIETOLOGÍA(S)'!J344)</f>
        <v>0</v>
      </c>
      <c r="K344" s="6">
        <f>SUM(PACIENTES!K344+COMEDOR!K344+JORNADA!K344+'DIETOLOGÍA(S)'!K344)</f>
        <v>0</v>
      </c>
      <c r="L344" s="6">
        <f>SUM(PACIENTES!L344+COMEDOR!L344+JORNADA!L344+'DIETOLOGÍA(S)'!L344)</f>
        <v>0</v>
      </c>
      <c r="M344" s="6">
        <f>SUM(PACIENTES!M344+COMEDOR!M344+JORNADA!M344+'DIETOLOGÍA(S)'!M344)</f>
        <v>0</v>
      </c>
      <c r="N344" s="6">
        <f>SUM(PACIENTES!N344+COMEDOR!N344+JORNADA!N344+'DIETOLOGÍA(S)'!N344)</f>
        <v>0</v>
      </c>
      <c r="O344" s="6">
        <f>SUM(PACIENTES!O344+COMEDOR!O344+JORNADA!O344+'DIETOLOGÍA(S)'!O344)</f>
        <v>0</v>
      </c>
      <c r="P344" s="6">
        <f>SUM(PACIENTES!P344+COMEDOR!P344+JORNADA!P344+'DIETOLOGÍA(S)'!P344)</f>
        <v>3</v>
      </c>
      <c r="Q344" s="6">
        <f>SUM(PACIENTES!Q344+COMEDOR!Q344+JORNADA!Q344+'DIETOLOGÍA(S)'!Q344)</f>
        <v>0</v>
      </c>
      <c r="R344" s="6">
        <f>SUM(PACIENTES!R344+COMEDOR!R344+JORNADA!R344+'DIETOLOGÍA(S)'!R344)</f>
        <v>0</v>
      </c>
      <c r="S344" s="6">
        <f>SUM(PACIENTES!S344+COMEDOR!S344+JORNADA!S344+'DIETOLOGÍA(S)'!S344)</f>
        <v>0</v>
      </c>
      <c r="T344" s="6">
        <f>SUM(PACIENTES!T344+COMEDOR!T344+JORNADA!T344+'DIETOLOGÍA(S)'!T344)</f>
        <v>0</v>
      </c>
      <c r="U344" s="6">
        <f>SUM(PACIENTES!U344+COMEDOR!U344+JORNADA!U344+'DIETOLOGÍA(S)'!U344)</f>
        <v>0</v>
      </c>
      <c r="V344" s="6">
        <f>SUM(PACIENTES!V344+COMEDOR!V344+JORNADA!V344+'DIETOLOGÍA(S)'!V344)</f>
        <v>3</v>
      </c>
      <c r="W344" s="6">
        <f>SUM(PACIENTES!W344+COMEDOR!W344+JORNADA!W344+'DIETOLOGÍA(S)'!W344)</f>
        <v>0</v>
      </c>
      <c r="X344" s="6">
        <f>SUM(PACIENTES!X344+COMEDOR!X344+JORNADA!X344+'DIETOLOGÍA(S)'!X344)</f>
        <v>0</v>
      </c>
      <c r="Y344" s="6">
        <f>SUM(PACIENTES!Y344+COMEDOR!Y344+JORNADA!Y344+'DIETOLOGÍA(S)'!Y344)</f>
        <v>0</v>
      </c>
      <c r="Z344" s="6">
        <f>SUM(PACIENTES!Z344+COMEDOR!Z344+JORNADA!Z344+'DIETOLOGÍA(S)'!Z344)</f>
        <v>0</v>
      </c>
      <c r="AA344" s="6">
        <f>SUM(PACIENTES!AA344+COMEDOR!AA344+JORNADA!AA344+'DIETOLOGÍA(S)'!AA344)</f>
        <v>0</v>
      </c>
      <c r="AB344" s="6">
        <f>SUM(PACIENTES!AB344+COMEDOR!AB344+JORNADA!AB344+'DIETOLOGÍA(S)'!AB344)</f>
        <v>0</v>
      </c>
      <c r="AC344" s="6">
        <f>SUM(PACIENTES!AC344+COMEDOR!AC344+JORNADA!AC344+'DIETOLOGÍA(S)'!AC344)</f>
        <v>0</v>
      </c>
      <c r="AD344" s="6">
        <f>SUM(PACIENTES!AD344+COMEDOR!AD344+JORNADA!AD344+'DIETOLOGÍA(S)'!AD344)</f>
        <v>3</v>
      </c>
      <c r="AE344" s="6">
        <f>SUM(PACIENTES!AE344+COMEDOR!AE344+JORNADA!AE344+'DIETOLOGÍA(S)'!AE344)</f>
        <v>3</v>
      </c>
      <c r="AF344" s="6">
        <f>SUM(PACIENTES!AF344+COMEDOR!AF344+JORNADA!AF344+'DIETOLOGÍA(S)'!AF344)</f>
        <v>0</v>
      </c>
      <c r="AG344" s="6">
        <f>SUM(PACIENTES!AG344+COMEDOR!AG344+JORNADA!AG344+'DIETOLOGÍA(S)'!AG344)</f>
        <v>0</v>
      </c>
      <c r="AH344" s="6">
        <f>SUM(PACIENTES!AH344+COMEDOR!AH344+JORNADA!AH344+'DIETOLOGÍA(S)'!AH344)</f>
        <v>0</v>
      </c>
      <c r="AI344" s="9">
        <f t="shared" si="11"/>
        <v>12</v>
      </c>
    </row>
    <row r="345" spans="1:35" ht="15.75" customHeight="1">
      <c r="A345" s="238">
        <v>2212001101</v>
      </c>
      <c r="B345" s="239" t="s">
        <v>359</v>
      </c>
      <c r="C345" s="240" t="s">
        <v>313</v>
      </c>
      <c r="D345" s="6">
        <f>SUM(PACIENTES!D345+COMEDOR!D345+JORNADA!D345+'DIETOLOGÍA(S)'!D345)</f>
        <v>0</v>
      </c>
      <c r="E345" s="6">
        <f>SUM(PACIENTES!E345+COMEDOR!E345+JORNADA!E345+'DIETOLOGÍA(S)'!E345)</f>
        <v>0</v>
      </c>
      <c r="F345" s="6">
        <f>SUM(PACIENTES!F345+COMEDOR!F345+JORNADA!F345+'DIETOLOGÍA(S)'!F345)</f>
        <v>0</v>
      </c>
      <c r="G345" s="6">
        <f>SUM(PACIENTES!G345+COMEDOR!G345+JORNADA!G345+'DIETOLOGÍA(S)'!G345)</f>
        <v>0</v>
      </c>
      <c r="H345" s="6">
        <f>SUM(PACIENTES!H345+COMEDOR!H345+JORNADA!H345+'DIETOLOGÍA(S)'!H345)</f>
        <v>0</v>
      </c>
      <c r="I345" s="6">
        <f>SUM(PACIENTES!I345+COMEDOR!I345+JORNADA!I345+'DIETOLOGÍA(S)'!I345)</f>
        <v>0</v>
      </c>
      <c r="J345" s="6">
        <f>SUM(PACIENTES!J345+COMEDOR!J345+JORNADA!J345+'DIETOLOGÍA(S)'!J345)</f>
        <v>0</v>
      </c>
      <c r="K345" s="6">
        <f>SUM(PACIENTES!K345+COMEDOR!K345+JORNADA!K345+'DIETOLOGÍA(S)'!K345)</f>
        <v>0</v>
      </c>
      <c r="L345" s="6">
        <f>SUM(PACIENTES!L345+COMEDOR!L345+JORNADA!L345+'DIETOLOGÍA(S)'!L345)</f>
        <v>3</v>
      </c>
      <c r="M345" s="6">
        <f>SUM(PACIENTES!M345+COMEDOR!M345+JORNADA!M345+'DIETOLOGÍA(S)'!M345)</f>
        <v>0</v>
      </c>
      <c r="N345" s="6">
        <f>SUM(PACIENTES!N345+COMEDOR!N345+JORNADA!N345+'DIETOLOGÍA(S)'!N345)</f>
        <v>1</v>
      </c>
      <c r="O345" s="6">
        <f>SUM(PACIENTES!O345+COMEDOR!O345+JORNADA!O345+'DIETOLOGÍA(S)'!O345)</f>
        <v>0</v>
      </c>
      <c r="P345" s="6">
        <f>SUM(PACIENTES!P345+COMEDOR!P345+JORNADA!P345+'DIETOLOGÍA(S)'!P345)</f>
        <v>0</v>
      </c>
      <c r="Q345" s="6">
        <f>SUM(PACIENTES!Q345+COMEDOR!Q345+JORNADA!Q345+'DIETOLOGÍA(S)'!Q345)</f>
        <v>2</v>
      </c>
      <c r="R345" s="6">
        <f>SUM(PACIENTES!R345+COMEDOR!R345+JORNADA!R345+'DIETOLOGÍA(S)'!R345)</f>
        <v>0</v>
      </c>
      <c r="S345" s="6">
        <f>SUM(PACIENTES!S345+COMEDOR!S345+JORNADA!S345+'DIETOLOGÍA(S)'!S345)</f>
        <v>0</v>
      </c>
      <c r="T345" s="6">
        <f>SUM(PACIENTES!T345+COMEDOR!T345+JORNADA!T345+'DIETOLOGÍA(S)'!T345)</f>
        <v>0</v>
      </c>
      <c r="U345" s="6">
        <f>SUM(PACIENTES!U345+COMEDOR!U345+JORNADA!U345+'DIETOLOGÍA(S)'!U345)</f>
        <v>0</v>
      </c>
      <c r="V345" s="6">
        <f>SUM(PACIENTES!V345+COMEDOR!V345+JORNADA!V345+'DIETOLOGÍA(S)'!V345)</f>
        <v>0</v>
      </c>
      <c r="W345" s="6">
        <f>SUM(PACIENTES!W345+COMEDOR!W345+JORNADA!W345+'DIETOLOGÍA(S)'!W345)</f>
        <v>0</v>
      </c>
      <c r="X345" s="6">
        <f>SUM(PACIENTES!X345+COMEDOR!X345+JORNADA!X345+'DIETOLOGÍA(S)'!X345)</f>
        <v>0</v>
      </c>
      <c r="Y345" s="6">
        <f>SUM(PACIENTES!Y345+COMEDOR!Y345+JORNADA!Y345+'DIETOLOGÍA(S)'!Y345)</f>
        <v>0</v>
      </c>
      <c r="Z345" s="6">
        <f>SUM(PACIENTES!Z345+COMEDOR!Z345+JORNADA!Z345+'DIETOLOGÍA(S)'!Z345)</f>
        <v>0</v>
      </c>
      <c r="AA345" s="6">
        <f>SUM(PACIENTES!AA345+COMEDOR!AA345+JORNADA!AA345+'DIETOLOGÍA(S)'!AA345)</f>
        <v>0</v>
      </c>
      <c r="AB345" s="6">
        <f>SUM(PACIENTES!AB345+COMEDOR!AB345+JORNADA!AB345+'DIETOLOGÍA(S)'!AB345)</f>
        <v>0</v>
      </c>
      <c r="AC345" s="6">
        <f>SUM(PACIENTES!AC345+COMEDOR!AC345+JORNADA!AC345+'DIETOLOGÍA(S)'!AC345)</f>
        <v>1</v>
      </c>
      <c r="AD345" s="6">
        <f>SUM(PACIENTES!AD345+COMEDOR!AD345+JORNADA!AD345+'DIETOLOGÍA(S)'!AD345)</f>
        <v>0</v>
      </c>
      <c r="AE345" s="6">
        <f>SUM(PACIENTES!AE345+COMEDOR!AE345+JORNADA!AE345+'DIETOLOGÍA(S)'!AE345)</f>
        <v>0</v>
      </c>
      <c r="AF345" s="6">
        <f>SUM(PACIENTES!AF345+COMEDOR!AF345+JORNADA!AF345+'DIETOLOGÍA(S)'!AF345)</f>
        <v>2</v>
      </c>
      <c r="AG345" s="6">
        <f>SUM(PACIENTES!AG345+COMEDOR!AG345+JORNADA!AG345+'DIETOLOGÍA(S)'!AG345)</f>
        <v>0</v>
      </c>
      <c r="AH345" s="6">
        <f>SUM(PACIENTES!AH345+COMEDOR!AH345+JORNADA!AH345+'DIETOLOGÍA(S)'!AH345)</f>
        <v>0</v>
      </c>
      <c r="AI345" s="9">
        <f t="shared" si="11"/>
        <v>9</v>
      </c>
    </row>
    <row r="346" spans="1:35" ht="15.75" customHeight="1">
      <c r="A346" s="238">
        <v>2212001102</v>
      </c>
      <c r="B346" s="239" t="s">
        <v>360</v>
      </c>
      <c r="C346" s="240" t="s">
        <v>313</v>
      </c>
      <c r="D346" s="6">
        <f>SUM(PACIENTES!D346+COMEDOR!D346+JORNADA!D346+'DIETOLOGÍA(S)'!D346)</f>
        <v>0</v>
      </c>
      <c r="E346" s="6">
        <f>SUM(PACIENTES!E346+COMEDOR!E346+JORNADA!E346+'DIETOLOGÍA(S)'!E346)</f>
        <v>0</v>
      </c>
      <c r="F346" s="6">
        <f>SUM(PACIENTES!F346+COMEDOR!F346+JORNADA!F346+'DIETOLOGÍA(S)'!F346)</f>
        <v>0</v>
      </c>
      <c r="G346" s="6">
        <f>SUM(PACIENTES!G346+COMEDOR!G346+JORNADA!G346+'DIETOLOGÍA(S)'!G346)</f>
        <v>0</v>
      </c>
      <c r="H346" s="6">
        <f>SUM(PACIENTES!H346+COMEDOR!H346+JORNADA!H346+'DIETOLOGÍA(S)'!H346)</f>
        <v>0</v>
      </c>
      <c r="I346" s="6">
        <f>SUM(PACIENTES!I346+COMEDOR!I346+JORNADA!I346+'DIETOLOGÍA(S)'!I346)</f>
        <v>0</v>
      </c>
      <c r="J346" s="6">
        <f>SUM(PACIENTES!J346+COMEDOR!J346+JORNADA!J346+'DIETOLOGÍA(S)'!J346)</f>
        <v>0</v>
      </c>
      <c r="K346" s="6">
        <f>SUM(PACIENTES!K346+COMEDOR!K346+JORNADA!K346+'DIETOLOGÍA(S)'!K346)</f>
        <v>0</v>
      </c>
      <c r="L346" s="6">
        <f>SUM(PACIENTES!L346+COMEDOR!L346+JORNADA!L346+'DIETOLOGÍA(S)'!L346)</f>
        <v>0</v>
      </c>
      <c r="M346" s="6">
        <f>SUM(PACIENTES!M346+COMEDOR!M346+JORNADA!M346+'DIETOLOGÍA(S)'!M346)</f>
        <v>0</v>
      </c>
      <c r="N346" s="6">
        <f>SUM(PACIENTES!N346+COMEDOR!N346+JORNADA!N346+'DIETOLOGÍA(S)'!N346)</f>
        <v>0</v>
      </c>
      <c r="O346" s="6">
        <f>SUM(PACIENTES!O346+COMEDOR!O346+JORNADA!O346+'DIETOLOGÍA(S)'!O346)</f>
        <v>0</v>
      </c>
      <c r="P346" s="6">
        <f>SUM(PACIENTES!P346+COMEDOR!P346+JORNADA!P346+'DIETOLOGÍA(S)'!P346)</f>
        <v>0</v>
      </c>
      <c r="Q346" s="6">
        <f>SUM(PACIENTES!Q346+COMEDOR!Q346+JORNADA!Q346+'DIETOLOGÍA(S)'!Q346)</f>
        <v>0</v>
      </c>
      <c r="R346" s="6">
        <f>SUM(PACIENTES!R346+COMEDOR!R346+JORNADA!R346+'DIETOLOGÍA(S)'!R346)</f>
        <v>0</v>
      </c>
      <c r="S346" s="6">
        <f>SUM(PACIENTES!S346+COMEDOR!S346+JORNADA!S346+'DIETOLOGÍA(S)'!S346)</f>
        <v>0</v>
      </c>
      <c r="T346" s="6">
        <f>SUM(PACIENTES!T346+COMEDOR!T346+JORNADA!T346+'DIETOLOGÍA(S)'!T346)</f>
        <v>0</v>
      </c>
      <c r="U346" s="6">
        <f>SUM(PACIENTES!U346+COMEDOR!U346+JORNADA!U346+'DIETOLOGÍA(S)'!U346)</f>
        <v>0</v>
      </c>
      <c r="V346" s="6">
        <f>SUM(PACIENTES!V346+COMEDOR!V346+JORNADA!V346+'DIETOLOGÍA(S)'!V346)</f>
        <v>0</v>
      </c>
      <c r="W346" s="6">
        <f>SUM(PACIENTES!W346+COMEDOR!W346+JORNADA!W346+'DIETOLOGÍA(S)'!W346)</f>
        <v>0</v>
      </c>
      <c r="X346" s="6">
        <f>SUM(PACIENTES!X346+COMEDOR!X346+JORNADA!X346+'DIETOLOGÍA(S)'!X346)</f>
        <v>0</v>
      </c>
      <c r="Y346" s="6">
        <f>SUM(PACIENTES!Y346+COMEDOR!Y346+JORNADA!Y346+'DIETOLOGÍA(S)'!Y346)</f>
        <v>0</v>
      </c>
      <c r="Z346" s="6">
        <f>SUM(PACIENTES!Z346+COMEDOR!Z346+JORNADA!Z346+'DIETOLOGÍA(S)'!Z346)</f>
        <v>0</v>
      </c>
      <c r="AA346" s="6">
        <f>SUM(PACIENTES!AA346+COMEDOR!AA346+JORNADA!AA346+'DIETOLOGÍA(S)'!AA346)</f>
        <v>0</v>
      </c>
      <c r="AB346" s="6">
        <f>SUM(PACIENTES!AB346+COMEDOR!AB346+JORNADA!AB346+'DIETOLOGÍA(S)'!AB346)</f>
        <v>0</v>
      </c>
      <c r="AC346" s="6">
        <f>SUM(PACIENTES!AC346+COMEDOR!AC346+JORNADA!AC346+'DIETOLOGÍA(S)'!AC346)</f>
        <v>0</v>
      </c>
      <c r="AD346" s="6">
        <f>SUM(PACIENTES!AD346+COMEDOR!AD346+JORNADA!AD346+'DIETOLOGÍA(S)'!AD346)</f>
        <v>0</v>
      </c>
      <c r="AE346" s="6">
        <f>SUM(PACIENTES!AE346+COMEDOR!AE346+JORNADA!AE346+'DIETOLOGÍA(S)'!AE346)</f>
        <v>0</v>
      </c>
      <c r="AF346" s="6">
        <f>SUM(PACIENTES!AF346+COMEDOR!AF346+JORNADA!AF346+'DIETOLOGÍA(S)'!AF346)</f>
        <v>0</v>
      </c>
      <c r="AG346" s="6">
        <f>SUM(PACIENTES!AG346+COMEDOR!AG346+JORNADA!AG346+'DIETOLOGÍA(S)'!AG346)</f>
        <v>0</v>
      </c>
      <c r="AH346" s="6">
        <f>SUM(PACIENTES!AH346+COMEDOR!AH346+JORNADA!AH346+'DIETOLOGÍA(S)'!AH346)</f>
        <v>0</v>
      </c>
      <c r="AI346" s="9">
        <f t="shared" si="11"/>
        <v>0</v>
      </c>
    </row>
    <row r="347" spans="1:35" ht="15.75" customHeight="1">
      <c r="A347" s="238">
        <v>2212001103</v>
      </c>
      <c r="B347" s="239" t="s">
        <v>361</v>
      </c>
      <c r="C347" s="240" t="s">
        <v>313</v>
      </c>
      <c r="D347" s="6">
        <f>SUM(PACIENTES!D347+COMEDOR!D347+JORNADA!D347+'DIETOLOGÍA(S)'!D347)</f>
        <v>0</v>
      </c>
      <c r="E347" s="6">
        <f>SUM(PACIENTES!E347+COMEDOR!E347+JORNADA!E347+'DIETOLOGÍA(S)'!E347)</f>
        <v>0</v>
      </c>
      <c r="F347" s="6">
        <f>SUM(PACIENTES!F347+COMEDOR!F347+JORNADA!F347+'DIETOLOGÍA(S)'!F347)</f>
        <v>0</v>
      </c>
      <c r="G347" s="6">
        <f>SUM(PACIENTES!G347+COMEDOR!G347+JORNADA!G347+'DIETOLOGÍA(S)'!G347)</f>
        <v>0</v>
      </c>
      <c r="H347" s="6">
        <f>SUM(PACIENTES!H347+COMEDOR!H347+JORNADA!H347+'DIETOLOGÍA(S)'!H347)</f>
        <v>0</v>
      </c>
      <c r="I347" s="6">
        <f>SUM(PACIENTES!I347+COMEDOR!I347+JORNADA!I347+'DIETOLOGÍA(S)'!I347)</f>
        <v>0</v>
      </c>
      <c r="J347" s="6">
        <f>SUM(PACIENTES!J347+COMEDOR!J347+JORNADA!J347+'DIETOLOGÍA(S)'!J347)</f>
        <v>0</v>
      </c>
      <c r="K347" s="6">
        <f>SUM(PACIENTES!K347+COMEDOR!K347+JORNADA!K347+'DIETOLOGÍA(S)'!K347)</f>
        <v>0</v>
      </c>
      <c r="L347" s="6">
        <f>SUM(PACIENTES!L347+COMEDOR!L347+JORNADA!L347+'DIETOLOGÍA(S)'!L347)</f>
        <v>0</v>
      </c>
      <c r="M347" s="6">
        <f>SUM(PACIENTES!M347+COMEDOR!M347+JORNADA!M347+'DIETOLOGÍA(S)'!M347)</f>
        <v>0</v>
      </c>
      <c r="N347" s="6">
        <f>SUM(PACIENTES!N347+COMEDOR!N347+JORNADA!N347+'DIETOLOGÍA(S)'!N347)</f>
        <v>0</v>
      </c>
      <c r="O347" s="6">
        <f>SUM(PACIENTES!O347+COMEDOR!O347+JORNADA!O347+'DIETOLOGÍA(S)'!O347)</f>
        <v>0</v>
      </c>
      <c r="P347" s="6">
        <f>SUM(PACIENTES!P347+COMEDOR!P347+JORNADA!P347+'DIETOLOGÍA(S)'!P347)</f>
        <v>0</v>
      </c>
      <c r="Q347" s="6">
        <f>SUM(PACIENTES!Q347+COMEDOR!Q347+JORNADA!Q347+'DIETOLOGÍA(S)'!Q347)</f>
        <v>0</v>
      </c>
      <c r="R347" s="6">
        <f>SUM(PACIENTES!R347+COMEDOR!R347+JORNADA!R347+'DIETOLOGÍA(S)'!R347)</f>
        <v>0</v>
      </c>
      <c r="S347" s="6">
        <f>SUM(PACIENTES!S347+COMEDOR!S347+JORNADA!S347+'DIETOLOGÍA(S)'!S347)</f>
        <v>0</v>
      </c>
      <c r="T347" s="6">
        <f>SUM(PACIENTES!T347+COMEDOR!T347+JORNADA!T347+'DIETOLOGÍA(S)'!T347)</f>
        <v>0</v>
      </c>
      <c r="U347" s="6">
        <f>SUM(PACIENTES!U347+COMEDOR!U347+JORNADA!U347+'DIETOLOGÍA(S)'!U347)</f>
        <v>0</v>
      </c>
      <c r="V347" s="6">
        <f>SUM(PACIENTES!V347+COMEDOR!V347+JORNADA!V347+'DIETOLOGÍA(S)'!V347)</f>
        <v>0</v>
      </c>
      <c r="W347" s="6">
        <f>SUM(PACIENTES!W347+COMEDOR!W347+JORNADA!W347+'DIETOLOGÍA(S)'!W347)</f>
        <v>0</v>
      </c>
      <c r="X347" s="6">
        <f>SUM(PACIENTES!X347+COMEDOR!X347+JORNADA!X347+'DIETOLOGÍA(S)'!X347)</f>
        <v>0</v>
      </c>
      <c r="Y347" s="6">
        <f>SUM(PACIENTES!Y347+COMEDOR!Y347+JORNADA!Y347+'DIETOLOGÍA(S)'!Y347)</f>
        <v>0</v>
      </c>
      <c r="Z347" s="6">
        <f>SUM(PACIENTES!Z347+COMEDOR!Z347+JORNADA!Z347+'DIETOLOGÍA(S)'!Z347)</f>
        <v>0</v>
      </c>
      <c r="AA347" s="6">
        <f>SUM(PACIENTES!AA347+COMEDOR!AA347+JORNADA!AA347+'DIETOLOGÍA(S)'!AA347)</f>
        <v>0</v>
      </c>
      <c r="AB347" s="6">
        <f>SUM(PACIENTES!AB347+COMEDOR!AB347+JORNADA!AB347+'DIETOLOGÍA(S)'!AB347)</f>
        <v>0</v>
      </c>
      <c r="AC347" s="6">
        <f>SUM(PACIENTES!AC347+COMEDOR!AC347+JORNADA!AC347+'DIETOLOGÍA(S)'!AC347)</f>
        <v>0</v>
      </c>
      <c r="AD347" s="6">
        <f>SUM(PACIENTES!AD347+COMEDOR!AD347+JORNADA!AD347+'DIETOLOGÍA(S)'!AD347)</f>
        <v>0</v>
      </c>
      <c r="AE347" s="6">
        <f>SUM(PACIENTES!AE347+COMEDOR!AE347+JORNADA!AE347+'DIETOLOGÍA(S)'!AE347)</f>
        <v>0</v>
      </c>
      <c r="AF347" s="6">
        <f>SUM(PACIENTES!AF347+COMEDOR!AF347+JORNADA!AF347+'DIETOLOGÍA(S)'!AF347)</f>
        <v>0</v>
      </c>
      <c r="AG347" s="6">
        <f>SUM(PACIENTES!AG347+COMEDOR!AG347+JORNADA!AG347+'DIETOLOGÍA(S)'!AG347)</f>
        <v>0</v>
      </c>
      <c r="AH347" s="6">
        <f>SUM(PACIENTES!AH347+COMEDOR!AH347+JORNADA!AH347+'DIETOLOGÍA(S)'!AH347)</f>
        <v>0</v>
      </c>
      <c r="AI347" s="9">
        <f t="shared" si="11"/>
        <v>0</v>
      </c>
    </row>
    <row r="348" spans="1:35" ht="15.75" customHeight="1">
      <c r="A348" s="256">
        <v>2212001106</v>
      </c>
      <c r="B348" s="257" t="s">
        <v>362</v>
      </c>
      <c r="C348" s="258" t="s">
        <v>171</v>
      </c>
      <c r="D348" s="6">
        <f>SUM(PACIENTES!D348+COMEDOR!D348+JORNADA!D348+'DIETOLOGÍA(S)'!D348)</f>
        <v>0</v>
      </c>
      <c r="E348" s="6">
        <f>SUM(PACIENTES!E348+COMEDOR!E348+JORNADA!E348+'DIETOLOGÍA(S)'!E348)</f>
        <v>0</v>
      </c>
      <c r="F348" s="6">
        <f>SUM(PACIENTES!F348+COMEDOR!F348+JORNADA!F348+'DIETOLOGÍA(S)'!F348)</f>
        <v>0</v>
      </c>
      <c r="G348" s="6">
        <f>SUM(PACIENTES!G348+COMEDOR!G348+JORNADA!G348+'DIETOLOGÍA(S)'!G348)</f>
        <v>0</v>
      </c>
      <c r="H348" s="6">
        <f>SUM(PACIENTES!H348+COMEDOR!H348+JORNADA!H348+'DIETOLOGÍA(S)'!H348)</f>
        <v>0</v>
      </c>
      <c r="I348" s="6">
        <f>SUM(PACIENTES!I348+COMEDOR!I348+JORNADA!I348+'DIETOLOGÍA(S)'!I348)</f>
        <v>0</v>
      </c>
      <c r="J348" s="6">
        <f>SUM(PACIENTES!J348+COMEDOR!J348+JORNADA!J348+'DIETOLOGÍA(S)'!J348)</f>
        <v>0</v>
      </c>
      <c r="K348" s="6">
        <f>SUM(PACIENTES!K348+COMEDOR!K348+JORNADA!K348+'DIETOLOGÍA(S)'!K348)</f>
        <v>0</v>
      </c>
      <c r="L348" s="6">
        <f>SUM(PACIENTES!L348+COMEDOR!L348+JORNADA!L348+'DIETOLOGÍA(S)'!L348)</f>
        <v>0</v>
      </c>
      <c r="M348" s="6">
        <f>SUM(PACIENTES!M348+COMEDOR!M348+JORNADA!M348+'DIETOLOGÍA(S)'!M348)</f>
        <v>0</v>
      </c>
      <c r="N348" s="6">
        <f>SUM(PACIENTES!N348+COMEDOR!N348+JORNADA!N348+'DIETOLOGÍA(S)'!N348)</f>
        <v>0</v>
      </c>
      <c r="O348" s="6">
        <f>SUM(PACIENTES!O348+COMEDOR!O348+JORNADA!O348+'DIETOLOGÍA(S)'!O348)</f>
        <v>0</v>
      </c>
      <c r="P348" s="6">
        <f>SUM(PACIENTES!P348+COMEDOR!P348+JORNADA!P348+'DIETOLOGÍA(S)'!P348)</f>
        <v>0</v>
      </c>
      <c r="Q348" s="6">
        <f>SUM(PACIENTES!Q348+COMEDOR!Q348+JORNADA!Q348+'DIETOLOGÍA(S)'!Q348)</f>
        <v>0</v>
      </c>
      <c r="R348" s="6">
        <f>SUM(PACIENTES!R348+COMEDOR!R348+JORNADA!R348+'DIETOLOGÍA(S)'!R348)</f>
        <v>0</v>
      </c>
      <c r="S348" s="6">
        <f>SUM(PACIENTES!S348+COMEDOR!S348+JORNADA!S348+'DIETOLOGÍA(S)'!S348)</f>
        <v>0</v>
      </c>
      <c r="T348" s="6">
        <f>SUM(PACIENTES!T348+COMEDOR!T348+JORNADA!T348+'DIETOLOGÍA(S)'!T348)</f>
        <v>0</v>
      </c>
      <c r="U348" s="6">
        <f>SUM(PACIENTES!U348+COMEDOR!U348+JORNADA!U348+'DIETOLOGÍA(S)'!U348)</f>
        <v>0</v>
      </c>
      <c r="V348" s="6">
        <f>SUM(PACIENTES!V348+COMEDOR!V348+JORNADA!V348+'DIETOLOGÍA(S)'!V348)</f>
        <v>0</v>
      </c>
      <c r="W348" s="6">
        <f>SUM(PACIENTES!W348+COMEDOR!W348+JORNADA!W348+'DIETOLOGÍA(S)'!W348)</f>
        <v>0</v>
      </c>
      <c r="X348" s="6">
        <f>SUM(PACIENTES!X348+COMEDOR!X348+JORNADA!X348+'DIETOLOGÍA(S)'!X348)</f>
        <v>0</v>
      </c>
      <c r="Y348" s="6">
        <f>SUM(PACIENTES!Y348+COMEDOR!Y348+JORNADA!Y348+'DIETOLOGÍA(S)'!Y348)</f>
        <v>0</v>
      </c>
      <c r="Z348" s="6">
        <f>SUM(PACIENTES!Z348+COMEDOR!Z348+JORNADA!Z348+'DIETOLOGÍA(S)'!Z348)</f>
        <v>0</v>
      </c>
      <c r="AA348" s="6">
        <f>SUM(PACIENTES!AA348+COMEDOR!AA348+JORNADA!AA348+'DIETOLOGÍA(S)'!AA348)</f>
        <v>0</v>
      </c>
      <c r="AB348" s="6">
        <f>SUM(PACIENTES!AB348+COMEDOR!AB348+JORNADA!AB348+'DIETOLOGÍA(S)'!AB348)</f>
        <v>0</v>
      </c>
      <c r="AC348" s="6">
        <f>SUM(PACIENTES!AC348+COMEDOR!AC348+JORNADA!AC348+'DIETOLOGÍA(S)'!AC348)</f>
        <v>0</v>
      </c>
      <c r="AD348" s="6">
        <f>SUM(PACIENTES!AD348+COMEDOR!AD348+JORNADA!AD348+'DIETOLOGÍA(S)'!AD348)</f>
        <v>0</v>
      </c>
      <c r="AE348" s="6">
        <f>SUM(PACIENTES!AE348+COMEDOR!AE348+JORNADA!AE348+'DIETOLOGÍA(S)'!AE348)</f>
        <v>0</v>
      </c>
      <c r="AF348" s="6">
        <f>SUM(PACIENTES!AF348+COMEDOR!AF348+JORNADA!AF348+'DIETOLOGÍA(S)'!AF348)</f>
        <v>0</v>
      </c>
      <c r="AG348" s="6">
        <f>SUM(PACIENTES!AG348+COMEDOR!AG348+JORNADA!AG348+'DIETOLOGÍA(S)'!AG348)</f>
        <v>0</v>
      </c>
      <c r="AH348" s="6">
        <f>SUM(PACIENTES!AH348+COMEDOR!AH348+JORNADA!AH348+'DIETOLOGÍA(S)'!AH348)</f>
        <v>0</v>
      </c>
      <c r="AI348" s="9">
        <f t="shared" si="11"/>
        <v>0</v>
      </c>
    </row>
    <row r="349" spans="1:35" ht="15.75" customHeight="1">
      <c r="A349" s="259">
        <v>2212001107</v>
      </c>
      <c r="B349" s="260" t="s">
        <v>363</v>
      </c>
      <c r="C349" s="261" t="s">
        <v>171</v>
      </c>
      <c r="D349" s="6">
        <f>SUM(PACIENTES!D349+COMEDOR!D349+JORNADA!D349+'DIETOLOGÍA(S)'!D349)</f>
        <v>0</v>
      </c>
      <c r="E349" s="6">
        <f>SUM(PACIENTES!E349+COMEDOR!E349+JORNADA!E349+'DIETOLOGÍA(S)'!E349)</f>
        <v>0</v>
      </c>
      <c r="F349" s="6">
        <f>SUM(PACIENTES!F349+COMEDOR!F349+JORNADA!F349+'DIETOLOGÍA(S)'!F349)</f>
        <v>0</v>
      </c>
      <c r="G349" s="6">
        <f>SUM(PACIENTES!G349+COMEDOR!G349+JORNADA!G349+'DIETOLOGÍA(S)'!G349)</f>
        <v>0</v>
      </c>
      <c r="H349" s="6">
        <f>SUM(PACIENTES!H349+COMEDOR!H349+JORNADA!H349+'DIETOLOGÍA(S)'!H349)</f>
        <v>0</v>
      </c>
      <c r="I349" s="6">
        <f>SUM(PACIENTES!I349+COMEDOR!I349+JORNADA!I349+'DIETOLOGÍA(S)'!I349)</f>
        <v>0</v>
      </c>
      <c r="J349" s="6">
        <f>SUM(PACIENTES!J349+COMEDOR!J349+JORNADA!J349+'DIETOLOGÍA(S)'!J349)</f>
        <v>0</v>
      </c>
      <c r="K349" s="6">
        <f>SUM(PACIENTES!K349+COMEDOR!K349+JORNADA!K349+'DIETOLOGÍA(S)'!K349)</f>
        <v>0</v>
      </c>
      <c r="L349" s="6">
        <f>SUM(PACIENTES!L349+COMEDOR!L349+JORNADA!L349+'DIETOLOGÍA(S)'!L349)</f>
        <v>0</v>
      </c>
      <c r="M349" s="6">
        <f>SUM(PACIENTES!M349+COMEDOR!M349+JORNADA!M349+'DIETOLOGÍA(S)'!M349)</f>
        <v>0</v>
      </c>
      <c r="N349" s="6">
        <f>SUM(PACIENTES!N349+COMEDOR!N349+JORNADA!N349+'DIETOLOGÍA(S)'!N349)</f>
        <v>0</v>
      </c>
      <c r="O349" s="6">
        <f>SUM(PACIENTES!O349+COMEDOR!O349+JORNADA!O349+'DIETOLOGÍA(S)'!O349)</f>
        <v>0</v>
      </c>
      <c r="P349" s="6">
        <f>SUM(PACIENTES!P349+COMEDOR!P349+JORNADA!P349+'DIETOLOGÍA(S)'!P349)</f>
        <v>0</v>
      </c>
      <c r="Q349" s="6">
        <f>SUM(PACIENTES!Q349+COMEDOR!Q349+JORNADA!Q349+'DIETOLOGÍA(S)'!Q349)</f>
        <v>0</v>
      </c>
      <c r="R349" s="6">
        <f>SUM(PACIENTES!R349+COMEDOR!R349+JORNADA!R349+'DIETOLOGÍA(S)'!R349)</f>
        <v>0</v>
      </c>
      <c r="S349" s="6">
        <f>SUM(PACIENTES!S349+COMEDOR!S349+JORNADA!S349+'DIETOLOGÍA(S)'!S349)</f>
        <v>0</v>
      </c>
      <c r="T349" s="6">
        <f>SUM(PACIENTES!T349+COMEDOR!T349+JORNADA!T349+'DIETOLOGÍA(S)'!T349)</f>
        <v>0</v>
      </c>
      <c r="U349" s="6">
        <f>SUM(PACIENTES!U349+COMEDOR!U349+JORNADA!U349+'DIETOLOGÍA(S)'!U349)</f>
        <v>0</v>
      </c>
      <c r="V349" s="6">
        <f>SUM(PACIENTES!V349+COMEDOR!V349+JORNADA!V349+'DIETOLOGÍA(S)'!V349)</f>
        <v>0</v>
      </c>
      <c r="W349" s="6">
        <f>SUM(PACIENTES!W349+COMEDOR!W349+JORNADA!W349+'DIETOLOGÍA(S)'!W349)</f>
        <v>0</v>
      </c>
      <c r="X349" s="6">
        <f>SUM(PACIENTES!X349+COMEDOR!X349+JORNADA!X349+'DIETOLOGÍA(S)'!X349)</f>
        <v>0</v>
      </c>
      <c r="Y349" s="6">
        <f>SUM(PACIENTES!Y349+COMEDOR!Y349+JORNADA!Y349+'DIETOLOGÍA(S)'!Y349)</f>
        <v>0</v>
      </c>
      <c r="Z349" s="6">
        <f>SUM(PACIENTES!Z349+COMEDOR!Z349+JORNADA!Z349+'DIETOLOGÍA(S)'!Z349)</f>
        <v>0</v>
      </c>
      <c r="AA349" s="6">
        <f>SUM(PACIENTES!AA349+COMEDOR!AA349+JORNADA!AA349+'DIETOLOGÍA(S)'!AA349)</f>
        <v>0</v>
      </c>
      <c r="AB349" s="6">
        <f>SUM(PACIENTES!AB349+COMEDOR!AB349+JORNADA!AB349+'DIETOLOGÍA(S)'!AB349)</f>
        <v>0</v>
      </c>
      <c r="AC349" s="6">
        <f>SUM(PACIENTES!AC349+COMEDOR!AC349+JORNADA!AC349+'DIETOLOGÍA(S)'!AC349)</f>
        <v>0</v>
      </c>
      <c r="AD349" s="6">
        <f>SUM(PACIENTES!AD349+COMEDOR!AD349+JORNADA!AD349+'DIETOLOGÍA(S)'!AD349)</f>
        <v>0</v>
      </c>
      <c r="AE349" s="6">
        <f>SUM(PACIENTES!AE349+COMEDOR!AE349+JORNADA!AE349+'DIETOLOGÍA(S)'!AE349)</f>
        <v>0</v>
      </c>
      <c r="AF349" s="6">
        <f>SUM(PACIENTES!AF349+COMEDOR!AF349+JORNADA!AF349+'DIETOLOGÍA(S)'!AF349)</f>
        <v>0</v>
      </c>
      <c r="AG349" s="6">
        <f>SUM(PACIENTES!AG349+COMEDOR!AG349+JORNADA!AG349+'DIETOLOGÍA(S)'!AG349)</f>
        <v>0</v>
      </c>
      <c r="AH349" s="6">
        <f>SUM(PACIENTES!AH349+COMEDOR!AH349+JORNADA!AH349+'DIETOLOGÍA(S)'!AH349)</f>
        <v>0</v>
      </c>
      <c r="AI349" s="9">
        <f t="shared" si="11"/>
        <v>0</v>
      </c>
    </row>
    <row r="350" spans="1:35" ht="15.75" customHeight="1">
      <c r="A350" s="238">
        <v>2212001109</v>
      </c>
      <c r="B350" s="239" t="s">
        <v>364</v>
      </c>
      <c r="C350" s="240" t="s">
        <v>6</v>
      </c>
      <c r="D350" s="6">
        <f>SUM(PACIENTES!D350+COMEDOR!D350+JORNADA!D350+'DIETOLOGÍA(S)'!D350)</f>
        <v>0</v>
      </c>
      <c r="E350" s="6">
        <f>SUM(PACIENTES!E350+COMEDOR!E350+JORNADA!E350+'DIETOLOGÍA(S)'!E350)</f>
        <v>0</v>
      </c>
      <c r="F350" s="6">
        <f>SUM(PACIENTES!F350+COMEDOR!F350+JORNADA!F350+'DIETOLOGÍA(S)'!F350)</f>
        <v>0</v>
      </c>
      <c r="G350" s="6">
        <f>SUM(PACIENTES!G350+COMEDOR!G350+JORNADA!G350+'DIETOLOGÍA(S)'!G350)</f>
        <v>0</v>
      </c>
      <c r="H350" s="6">
        <f>SUM(PACIENTES!H350+COMEDOR!H350+JORNADA!H350+'DIETOLOGÍA(S)'!H350)</f>
        <v>0</v>
      </c>
      <c r="I350" s="6">
        <f>SUM(PACIENTES!I350+COMEDOR!I350+JORNADA!I350+'DIETOLOGÍA(S)'!I350)</f>
        <v>0</v>
      </c>
      <c r="J350" s="6">
        <f>SUM(PACIENTES!J350+COMEDOR!J350+JORNADA!J350+'DIETOLOGÍA(S)'!J350)</f>
        <v>1</v>
      </c>
      <c r="K350" s="6">
        <f>SUM(PACIENTES!K350+COMEDOR!K350+JORNADA!K350+'DIETOLOGÍA(S)'!K350)</f>
        <v>0</v>
      </c>
      <c r="L350" s="6">
        <f>SUM(PACIENTES!L350+COMEDOR!L350+JORNADA!L350+'DIETOLOGÍA(S)'!L350)</f>
        <v>0</v>
      </c>
      <c r="M350" s="6">
        <f>SUM(PACIENTES!M350+COMEDOR!M350+JORNADA!M350+'DIETOLOGÍA(S)'!M350)</f>
        <v>0</v>
      </c>
      <c r="N350" s="6">
        <f>SUM(PACIENTES!N350+COMEDOR!N350+JORNADA!N350+'DIETOLOGÍA(S)'!N350)</f>
        <v>0</v>
      </c>
      <c r="O350" s="6">
        <f>SUM(PACIENTES!O350+COMEDOR!O350+JORNADA!O350+'DIETOLOGÍA(S)'!O350)</f>
        <v>0</v>
      </c>
      <c r="P350" s="6">
        <f>SUM(PACIENTES!P350+COMEDOR!P350+JORNADA!P350+'DIETOLOGÍA(S)'!P350)</f>
        <v>0</v>
      </c>
      <c r="Q350" s="6">
        <f>SUM(PACIENTES!Q350+COMEDOR!Q350+JORNADA!Q350+'DIETOLOGÍA(S)'!Q350)</f>
        <v>0</v>
      </c>
      <c r="R350" s="6">
        <f>SUM(PACIENTES!R350+COMEDOR!R350+JORNADA!R350+'DIETOLOGÍA(S)'!R350)</f>
        <v>0</v>
      </c>
      <c r="S350" s="6">
        <f>SUM(PACIENTES!S350+COMEDOR!S350+JORNADA!S350+'DIETOLOGÍA(S)'!S350)</f>
        <v>0</v>
      </c>
      <c r="T350" s="6">
        <f>SUM(PACIENTES!T350+COMEDOR!T350+JORNADA!T350+'DIETOLOGÍA(S)'!T350)</f>
        <v>0</v>
      </c>
      <c r="U350" s="6">
        <f>SUM(PACIENTES!U350+COMEDOR!U350+JORNADA!U350+'DIETOLOGÍA(S)'!U350)</f>
        <v>0</v>
      </c>
      <c r="V350" s="6">
        <f>SUM(PACIENTES!V350+COMEDOR!V350+JORNADA!V350+'DIETOLOGÍA(S)'!V350)</f>
        <v>0</v>
      </c>
      <c r="W350" s="6">
        <f>SUM(PACIENTES!W350+COMEDOR!W350+JORNADA!W350+'DIETOLOGÍA(S)'!W350)</f>
        <v>0</v>
      </c>
      <c r="X350" s="6">
        <f>SUM(PACIENTES!X350+COMEDOR!X350+JORNADA!X350+'DIETOLOGÍA(S)'!X350)</f>
        <v>0</v>
      </c>
      <c r="Y350" s="6">
        <f>SUM(PACIENTES!Y350+COMEDOR!Y350+JORNADA!Y350+'DIETOLOGÍA(S)'!Y350)</f>
        <v>0</v>
      </c>
      <c r="Z350" s="6">
        <f>SUM(PACIENTES!Z350+COMEDOR!Z350+JORNADA!Z350+'DIETOLOGÍA(S)'!Z350)</f>
        <v>0</v>
      </c>
      <c r="AA350" s="6">
        <f>SUM(PACIENTES!AA350+COMEDOR!AA350+JORNADA!AA350+'DIETOLOGÍA(S)'!AA350)</f>
        <v>0</v>
      </c>
      <c r="AB350" s="6">
        <f>SUM(PACIENTES!AB350+COMEDOR!AB350+JORNADA!AB350+'DIETOLOGÍA(S)'!AB350)</f>
        <v>0</v>
      </c>
      <c r="AC350" s="6">
        <f>SUM(PACIENTES!AC350+COMEDOR!AC350+JORNADA!AC350+'DIETOLOGÍA(S)'!AC350)</f>
        <v>0</v>
      </c>
      <c r="AD350" s="6">
        <f>SUM(PACIENTES!AD350+COMEDOR!AD350+JORNADA!AD350+'DIETOLOGÍA(S)'!AD350)</f>
        <v>0</v>
      </c>
      <c r="AE350" s="6">
        <f>SUM(PACIENTES!AE350+COMEDOR!AE350+JORNADA!AE350+'DIETOLOGÍA(S)'!AE350)</f>
        <v>0</v>
      </c>
      <c r="AF350" s="6">
        <f>SUM(PACIENTES!AF350+COMEDOR!AF350+JORNADA!AF350+'DIETOLOGÍA(S)'!AF350)</f>
        <v>0</v>
      </c>
      <c r="AG350" s="6">
        <f>SUM(PACIENTES!AG350+COMEDOR!AG350+JORNADA!AG350+'DIETOLOGÍA(S)'!AG350)</f>
        <v>0</v>
      </c>
      <c r="AH350" s="6">
        <f>SUM(PACIENTES!AH350+COMEDOR!AH350+JORNADA!AH350+'DIETOLOGÍA(S)'!AH350)</f>
        <v>0</v>
      </c>
      <c r="AI350" s="9">
        <f t="shared" si="11"/>
        <v>1</v>
      </c>
    </row>
    <row r="351" spans="1:35" ht="15.75" customHeight="1">
      <c r="A351" s="238">
        <v>2212001111</v>
      </c>
      <c r="B351" s="239" t="s">
        <v>365</v>
      </c>
      <c r="C351" s="240" t="s">
        <v>296</v>
      </c>
      <c r="D351" s="6">
        <f>SUM(PACIENTES!D351+COMEDOR!D351+JORNADA!D351+'DIETOLOGÍA(S)'!D351)</f>
        <v>0</v>
      </c>
      <c r="E351" s="6">
        <f>SUM(PACIENTES!E351+COMEDOR!E351+JORNADA!E351+'DIETOLOGÍA(S)'!E351)</f>
        <v>0</v>
      </c>
      <c r="F351" s="6">
        <f>SUM(PACIENTES!F351+COMEDOR!F351+JORNADA!F351+'DIETOLOGÍA(S)'!F351)</f>
        <v>0</v>
      </c>
      <c r="G351" s="6">
        <f>SUM(PACIENTES!G351+COMEDOR!G351+JORNADA!G351+'DIETOLOGÍA(S)'!G351)</f>
        <v>0</v>
      </c>
      <c r="H351" s="6">
        <f>SUM(PACIENTES!H351+COMEDOR!H351+JORNADA!H351+'DIETOLOGÍA(S)'!H351)</f>
        <v>0</v>
      </c>
      <c r="I351" s="6">
        <f>SUM(PACIENTES!I351+COMEDOR!I351+JORNADA!I351+'DIETOLOGÍA(S)'!I351)</f>
        <v>0</v>
      </c>
      <c r="J351" s="6">
        <f>SUM(PACIENTES!J351+COMEDOR!J351+JORNADA!J351+'DIETOLOGÍA(S)'!J351)</f>
        <v>0</v>
      </c>
      <c r="K351" s="6">
        <f>SUM(PACIENTES!K351+COMEDOR!K351+JORNADA!K351+'DIETOLOGÍA(S)'!K351)</f>
        <v>0</v>
      </c>
      <c r="L351" s="6">
        <f>SUM(PACIENTES!L351+COMEDOR!L351+JORNADA!L351+'DIETOLOGÍA(S)'!L351)</f>
        <v>0</v>
      </c>
      <c r="M351" s="6">
        <f>SUM(PACIENTES!M351+COMEDOR!M351+JORNADA!M351+'DIETOLOGÍA(S)'!M351)</f>
        <v>0</v>
      </c>
      <c r="N351" s="6">
        <f>SUM(PACIENTES!N351+COMEDOR!N351+JORNADA!N351+'DIETOLOGÍA(S)'!N351)</f>
        <v>0</v>
      </c>
      <c r="O351" s="6">
        <f>SUM(PACIENTES!O351+COMEDOR!O351+JORNADA!O351+'DIETOLOGÍA(S)'!O351)</f>
        <v>0</v>
      </c>
      <c r="P351" s="6">
        <f>SUM(PACIENTES!P351+COMEDOR!P351+JORNADA!P351+'DIETOLOGÍA(S)'!P351)</f>
        <v>0</v>
      </c>
      <c r="Q351" s="6">
        <f>SUM(PACIENTES!Q351+COMEDOR!Q351+JORNADA!Q351+'DIETOLOGÍA(S)'!Q351)</f>
        <v>5</v>
      </c>
      <c r="R351" s="6">
        <f>SUM(PACIENTES!R351+COMEDOR!R351+JORNADA!R351+'DIETOLOGÍA(S)'!R351)</f>
        <v>0</v>
      </c>
      <c r="S351" s="6">
        <f>SUM(PACIENTES!S351+COMEDOR!S351+JORNADA!S351+'DIETOLOGÍA(S)'!S351)</f>
        <v>0</v>
      </c>
      <c r="T351" s="6">
        <f>SUM(PACIENTES!T351+COMEDOR!T351+JORNADA!T351+'DIETOLOGÍA(S)'!T351)</f>
        <v>0</v>
      </c>
      <c r="U351" s="6">
        <f>SUM(PACIENTES!U351+COMEDOR!U351+JORNADA!U351+'DIETOLOGÍA(S)'!U351)</f>
        <v>0</v>
      </c>
      <c r="V351" s="6">
        <f>SUM(PACIENTES!V351+COMEDOR!V351+JORNADA!V351+'DIETOLOGÍA(S)'!V351)</f>
        <v>0</v>
      </c>
      <c r="W351" s="6">
        <f>SUM(PACIENTES!W351+COMEDOR!W351+JORNADA!W351+'DIETOLOGÍA(S)'!W351)</f>
        <v>0</v>
      </c>
      <c r="X351" s="6">
        <f>SUM(PACIENTES!X351+COMEDOR!X351+JORNADA!X351+'DIETOLOGÍA(S)'!X351)</f>
        <v>0</v>
      </c>
      <c r="Y351" s="6">
        <f>SUM(PACIENTES!Y351+COMEDOR!Y351+JORNADA!Y351+'DIETOLOGÍA(S)'!Y351)</f>
        <v>0</v>
      </c>
      <c r="Z351" s="6">
        <f>SUM(PACIENTES!Z351+COMEDOR!Z351+JORNADA!Z351+'DIETOLOGÍA(S)'!Z351)</f>
        <v>0</v>
      </c>
      <c r="AA351" s="6">
        <f>SUM(PACIENTES!AA351+COMEDOR!AA351+JORNADA!AA351+'DIETOLOGÍA(S)'!AA351)</f>
        <v>0</v>
      </c>
      <c r="AB351" s="6">
        <f>SUM(PACIENTES!AB351+COMEDOR!AB351+JORNADA!AB351+'DIETOLOGÍA(S)'!AB351)</f>
        <v>0</v>
      </c>
      <c r="AC351" s="6">
        <f>SUM(PACIENTES!AC351+COMEDOR!AC351+JORNADA!AC351+'DIETOLOGÍA(S)'!AC351)</f>
        <v>0</v>
      </c>
      <c r="AD351" s="6">
        <f>SUM(PACIENTES!AD351+COMEDOR!AD351+JORNADA!AD351+'DIETOLOGÍA(S)'!AD351)</f>
        <v>0</v>
      </c>
      <c r="AE351" s="6">
        <f>SUM(PACIENTES!AE351+COMEDOR!AE351+JORNADA!AE351+'DIETOLOGÍA(S)'!AE351)</f>
        <v>0</v>
      </c>
      <c r="AF351" s="6">
        <f>SUM(PACIENTES!AF351+COMEDOR!AF351+JORNADA!AF351+'DIETOLOGÍA(S)'!AF351)</f>
        <v>0</v>
      </c>
      <c r="AG351" s="6">
        <f>SUM(PACIENTES!AG351+COMEDOR!AG351+JORNADA!AG351+'DIETOLOGÍA(S)'!AG351)</f>
        <v>0</v>
      </c>
      <c r="AH351" s="6">
        <f>SUM(PACIENTES!AH351+COMEDOR!AH351+JORNADA!AH351+'DIETOLOGÍA(S)'!AH351)</f>
        <v>0</v>
      </c>
      <c r="AI351" s="9">
        <f t="shared" si="11"/>
        <v>5</v>
      </c>
    </row>
    <row r="352" spans="1:35" ht="15.75" customHeight="1">
      <c r="A352" s="238">
        <v>2212001114</v>
      </c>
      <c r="B352" s="239" t="s">
        <v>366</v>
      </c>
      <c r="C352" s="240" t="s">
        <v>86</v>
      </c>
      <c r="D352" s="6">
        <f>SUM(PACIENTES!D352+COMEDOR!D352+JORNADA!D352+'DIETOLOGÍA(S)'!D352)</f>
        <v>0</v>
      </c>
      <c r="E352" s="6">
        <f>SUM(PACIENTES!E352+COMEDOR!E352+JORNADA!E352+'DIETOLOGÍA(S)'!E352)</f>
        <v>0</v>
      </c>
      <c r="F352" s="6">
        <f>SUM(PACIENTES!F352+COMEDOR!F352+JORNADA!F352+'DIETOLOGÍA(S)'!F352)</f>
        <v>0</v>
      </c>
      <c r="G352" s="6">
        <f>SUM(PACIENTES!G352+COMEDOR!G352+JORNADA!G352+'DIETOLOGÍA(S)'!G352)</f>
        <v>0</v>
      </c>
      <c r="H352" s="6">
        <f>SUM(PACIENTES!H352+COMEDOR!H352+JORNADA!H352+'DIETOLOGÍA(S)'!H352)</f>
        <v>0</v>
      </c>
      <c r="I352" s="6">
        <f>SUM(PACIENTES!I352+COMEDOR!I352+JORNADA!I352+'DIETOLOGÍA(S)'!I352)</f>
        <v>1</v>
      </c>
      <c r="J352" s="6">
        <f>SUM(PACIENTES!J352+COMEDOR!J352+JORNADA!J352+'DIETOLOGÍA(S)'!J352)</f>
        <v>3</v>
      </c>
      <c r="K352" s="6">
        <f>SUM(PACIENTES!K352+COMEDOR!K352+JORNADA!K352+'DIETOLOGÍA(S)'!K352)</f>
        <v>0</v>
      </c>
      <c r="L352" s="6">
        <f>SUM(PACIENTES!L352+COMEDOR!L352+JORNADA!L352+'DIETOLOGÍA(S)'!L352)</f>
        <v>0</v>
      </c>
      <c r="M352" s="6">
        <f>SUM(PACIENTES!M352+COMEDOR!M352+JORNADA!M352+'DIETOLOGÍA(S)'!M352)</f>
        <v>0</v>
      </c>
      <c r="N352" s="6">
        <f>SUM(PACIENTES!N352+COMEDOR!N352+JORNADA!N352+'DIETOLOGÍA(S)'!N352)</f>
        <v>0</v>
      </c>
      <c r="O352" s="6">
        <f>SUM(PACIENTES!O352+COMEDOR!O352+JORNADA!O352+'DIETOLOGÍA(S)'!O352)</f>
        <v>0</v>
      </c>
      <c r="P352" s="6">
        <f>SUM(PACIENTES!P352+COMEDOR!P352+JORNADA!P352+'DIETOLOGÍA(S)'!P352)</f>
        <v>0</v>
      </c>
      <c r="Q352" s="6">
        <f>SUM(PACIENTES!Q352+COMEDOR!Q352+JORNADA!Q352+'DIETOLOGÍA(S)'!Q352)</f>
        <v>1</v>
      </c>
      <c r="R352" s="6">
        <f>SUM(PACIENTES!R352+COMEDOR!R352+JORNADA!R352+'DIETOLOGÍA(S)'!R352)</f>
        <v>0</v>
      </c>
      <c r="S352" s="6">
        <f>SUM(PACIENTES!S352+COMEDOR!S352+JORNADA!S352+'DIETOLOGÍA(S)'!S352)</f>
        <v>0</v>
      </c>
      <c r="T352" s="6">
        <f>SUM(PACIENTES!T352+COMEDOR!T352+JORNADA!T352+'DIETOLOGÍA(S)'!T352)</f>
        <v>0</v>
      </c>
      <c r="U352" s="6">
        <f>SUM(PACIENTES!U352+COMEDOR!U352+JORNADA!U352+'DIETOLOGÍA(S)'!U352)</f>
        <v>0</v>
      </c>
      <c r="V352" s="6">
        <f>SUM(PACIENTES!V352+COMEDOR!V352+JORNADA!V352+'DIETOLOGÍA(S)'!V352)</f>
        <v>0</v>
      </c>
      <c r="W352" s="6">
        <f>SUM(PACIENTES!W352+COMEDOR!W352+JORNADA!W352+'DIETOLOGÍA(S)'!W352)</f>
        <v>0</v>
      </c>
      <c r="X352" s="6">
        <f>SUM(PACIENTES!X352+COMEDOR!X352+JORNADA!X352+'DIETOLOGÍA(S)'!X352)</f>
        <v>1</v>
      </c>
      <c r="Y352" s="6">
        <f>SUM(PACIENTES!Y352+COMEDOR!Y352+JORNADA!Y352+'DIETOLOGÍA(S)'!Y352)</f>
        <v>2</v>
      </c>
      <c r="Z352" s="6">
        <f>SUM(PACIENTES!Z352+COMEDOR!Z352+JORNADA!Z352+'DIETOLOGÍA(S)'!Z352)</f>
        <v>0</v>
      </c>
      <c r="AA352" s="6">
        <f>SUM(PACIENTES!AA352+COMEDOR!AA352+JORNADA!AA352+'DIETOLOGÍA(S)'!AA352)</f>
        <v>0</v>
      </c>
      <c r="AB352" s="6">
        <f>SUM(PACIENTES!AB352+COMEDOR!AB352+JORNADA!AB352+'DIETOLOGÍA(S)'!AB352)</f>
        <v>0</v>
      </c>
      <c r="AC352" s="6">
        <f>SUM(PACIENTES!AC352+COMEDOR!AC352+JORNADA!AC352+'DIETOLOGÍA(S)'!AC352)</f>
        <v>0</v>
      </c>
      <c r="AD352" s="6">
        <f>SUM(PACIENTES!AD352+COMEDOR!AD352+JORNADA!AD352+'DIETOLOGÍA(S)'!AD352)</f>
        <v>0</v>
      </c>
      <c r="AE352" s="6">
        <f>SUM(PACIENTES!AE352+COMEDOR!AE352+JORNADA!AE352+'DIETOLOGÍA(S)'!AE352)</f>
        <v>1</v>
      </c>
      <c r="AF352" s="6">
        <f>SUM(PACIENTES!AF352+COMEDOR!AF352+JORNADA!AF352+'DIETOLOGÍA(S)'!AF352)</f>
        <v>0</v>
      </c>
      <c r="AG352" s="6">
        <f>SUM(PACIENTES!AG352+COMEDOR!AG352+JORNADA!AG352+'DIETOLOGÍA(S)'!AG352)</f>
        <v>0</v>
      </c>
      <c r="AH352" s="6">
        <f>SUM(PACIENTES!AH352+COMEDOR!AH352+JORNADA!AH352+'DIETOLOGÍA(S)'!AH352)</f>
        <v>0</v>
      </c>
      <c r="AI352" s="9">
        <f t="shared" si="11"/>
        <v>9</v>
      </c>
    </row>
    <row r="353" spans="1:35" ht="15.75" customHeight="1">
      <c r="A353" s="238">
        <v>2212001121</v>
      </c>
      <c r="B353" s="239" t="s">
        <v>367</v>
      </c>
      <c r="C353" s="240" t="s">
        <v>8</v>
      </c>
      <c r="D353" s="6">
        <f>SUM(PACIENTES!D353+COMEDOR!D353+JORNADA!D353+'DIETOLOGÍA(S)'!D353)</f>
        <v>50</v>
      </c>
      <c r="E353" s="6">
        <f>SUM(PACIENTES!E353+COMEDOR!E353+JORNADA!E353+'DIETOLOGÍA(S)'!E353)</f>
        <v>50</v>
      </c>
      <c r="F353" s="6">
        <f>SUM(PACIENTES!F353+COMEDOR!F353+JORNADA!F353+'DIETOLOGÍA(S)'!F353)</f>
        <v>50</v>
      </c>
      <c r="G353" s="6">
        <f>SUM(PACIENTES!G353+COMEDOR!G353+JORNADA!G353+'DIETOLOGÍA(S)'!G353)</f>
        <v>50</v>
      </c>
      <c r="H353" s="6">
        <f>SUM(PACIENTES!H353+COMEDOR!H353+JORNADA!H353+'DIETOLOGÍA(S)'!H353)</f>
        <v>50</v>
      </c>
      <c r="I353" s="6">
        <f>SUM(PACIENTES!I353+COMEDOR!I353+JORNADA!I353+'DIETOLOGÍA(S)'!I353)</f>
        <v>50</v>
      </c>
      <c r="J353" s="6">
        <f>SUM(PACIENTES!J353+COMEDOR!J353+JORNADA!J353+'DIETOLOGÍA(S)'!J353)</f>
        <v>50</v>
      </c>
      <c r="K353" s="6">
        <f>SUM(PACIENTES!K353+COMEDOR!K353+JORNADA!K353+'DIETOLOGÍA(S)'!K353)</f>
        <v>50</v>
      </c>
      <c r="L353" s="6">
        <f>SUM(PACIENTES!L353+COMEDOR!L353+JORNADA!L353+'DIETOLOGÍA(S)'!L353)</f>
        <v>50</v>
      </c>
      <c r="M353" s="6">
        <f>SUM(PACIENTES!M353+COMEDOR!M353+JORNADA!M353+'DIETOLOGÍA(S)'!M353)</f>
        <v>50</v>
      </c>
      <c r="N353" s="6">
        <f>SUM(PACIENTES!N353+COMEDOR!N353+JORNADA!N353+'DIETOLOGÍA(S)'!N353)</f>
        <v>50</v>
      </c>
      <c r="O353" s="6">
        <f>SUM(PACIENTES!O353+COMEDOR!O353+JORNADA!O353+'DIETOLOGÍA(S)'!O353)</f>
        <v>50</v>
      </c>
      <c r="P353" s="6">
        <f>SUM(PACIENTES!P353+COMEDOR!P353+JORNADA!P353+'DIETOLOGÍA(S)'!P353)</f>
        <v>50</v>
      </c>
      <c r="Q353" s="6">
        <f>SUM(PACIENTES!Q353+COMEDOR!Q353+JORNADA!Q353+'DIETOLOGÍA(S)'!Q353)</f>
        <v>50</v>
      </c>
      <c r="R353" s="6">
        <f>SUM(PACIENTES!R353+COMEDOR!R353+JORNADA!R353+'DIETOLOGÍA(S)'!R353)</f>
        <v>50</v>
      </c>
      <c r="S353" s="6">
        <f>SUM(PACIENTES!S353+COMEDOR!S353+JORNADA!S353+'DIETOLOGÍA(S)'!S353)</f>
        <v>50</v>
      </c>
      <c r="T353" s="6">
        <f>SUM(PACIENTES!T353+COMEDOR!T353+JORNADA!T353+'DIETOLOGÍA(S)'!T353)</f>
        <v>50</v>
      </c>
      <c r="U353" s="6">
        <f>SUM(PACIENTES!U353+COMEDOR!U353+JORNADA!U353+'DIETOLOGÍA(S)'!U353)</f>
        <v>50</v>
      </c>
      <c r="V353" s="6">
        <f>SUM(PACIENTES!V353+COMEDOR!V353+JORNADA!V353+'DIETOLOGÍA(S)'!V353)</f>
        <v>50</v>
      </c>
      <c r="W353" s="6">
        <f>SUM(PACIENTES!W353+COMEDOR!W353+JORNADA!W353+'DIETOLOGÍA(S)'!W353)</f>
        <v>50</v>
      </c>
      <c r="X353" s="6">
        <f>SUM(PACIENTES!X353+COMEDOR!X353+JORNADA!X353+'DIETOLOGÍA(S)'!X353)</f>
        <v>50</v>
      </c>
      <c r="Y353" s="6">
        <f>SUM(PACIENTES!Y353+COMEDOR!Y353+JORNADA!Y353+'DIETOLOGÍA(S)'!Y353)</f>
        <v>50</v>
      </c>
      <c r="Z353" s="6">
        <f>SUM(PACIENTES!Z353+COMEDOR!Z353+JORNADA!Z353+'DIETOLOGÍA(S)'!Z353)</f>
        <v>50</v>
      </c>
      <c r="AA353" s="6">
        <f>SUM(PACIENTES!AA353+COMEDOR!AA353+JORNADA!AA353+'DIETOLOGÍA(S)'!AA353)</f>
        <v>50</v>
      </c>
      <c r="AB353" s="6">
        <f>SUM(PACIENTES!AB353+COMEDOR!AB353+JORNADA!AB353+'DIETOLOGÍA(S)'!AB353)</f>
        <v>50</v>
      </c>
      <c r="AC353" s="6">
        <f>SUM(PACIENTES!AC353+COMEDOR!AC353+JORNADA!AC353+'DIETOLOGÍA(S)'!AC353)</f>
        <v>50</v>
      </c>
      <c r="AD353" s="6">
        <f>SUM(PACIENTES!AD353+COMEDOR!AD353+JORNADA!AD353+'DIETOLOGÍA(S)'!AD353)</f>
        <v>50</v>
      </c>
      <c r="AE353" s="6">
        <f>SUM(PACIENTES!AE353+COMEDOR!AE353+JORNADA!AE353+'DIETOLOGÍA(S)'!AE353)</f>
        <v>50</v>
      </c>
      <c r="AF353" s="6">
        <f>SUM(PACIENTES!AF353+COMEDOR!AF353+JORNADA!AF353+'DIETOLOGÍA(S)'!AF353)</f>
        <v>50</v>
      </c>
      <c r="AG353" s="6">
        <f>SUM(PACIENTES!AG353+COMEDOR!AG353+JORNADA!AG353+'DIETOLOGÍA(S)'!AG353)</f>
        <v>50</v>
      </c>
      <c r="AH353" s="6">
        <f>SUM(PACIENTES!AH353+COMEDOR!AH353+JORNADA!AH353+'DIETOLOGÍA(S)'!AH353)</f>
        <v>50</v>
      </c>
      <c r="AI353" s="9">
        <f t="shared" si="11"/>
        <v>1550</v>
      </c>
    </row>
    <row r="354" spans="1:35" ht="15.75" customHeight="1">
      <c r="A354" s="238">
        <v>2212001122</v>
      </c>
      <c r="B354" s="239" t="s">
        <v>368</v>
      </c>
      <c r="C354" s="240" t="s">
        <v>296</v>
      </c>
      <c r="D354" s="6">
        <f>SUM(PACIENTES!D354+COMEDOR!D354+JORNADA!D354+'DIETOLOGÍA(S)'!D354)</f>
        <v>0</v>
      </c>
      <c r="E354" s="6">
        <f>SUM(PACIENTES!E354+COMEDOR!E354+JORNADA!E354+'DIETOLOGÍA(S)'!E354)</f>
        <v>0</v>
      </c>
      <c r="F354" s="6">
        <f>SUM(PACIENTES!F354+COMEDOR!F354+JORNADA!F354+'DIETOLOGÍA(S)'!F354)</f>
        <v>0</v>
      </c>
      <c r="G354" s="6">
        <f>SUM(PACIENTES!G354+COMEDOR!G354+JORNADA!G354+'DIETOLOGÍA(S)'!G354)</f>
        <v>0</v>
      </c>
      <c r="H354" s="6">
        <f>SUM(PACIENTES!H354+COMEDOR!H354+JORNADA!H354+'DIETOLOGÍA(S)'!H354)</f>
        <v>0</v>
      </c>
      <c r="I354" s="6">
        <f>SUM(PACIENTES!I354+COMEDOR!I354+JORNADA!I354+'DIETOLOGÍA(S)'!I354)</f>
        <v>2</v>
      </c>
      <c r="J354" s="6">
        <f>SUM(PACIENTES!J354+COMEDOR!J354+JORNADA!J354+'DIETOLOGÍA(S)'!J354)</f>
        <v>3</v>
      </c>
      <c r="K354" s="6">
        <f>SUM(PACIENTES!K354+COMEDOR!K354+JORNADA!K354+'DIETOLOGÍA(S)'!K354)</f>
        <v>2</v>
      </c>
      <c r="L354" s="6">
        <f>SUM(PACIENTES!L354+COMEDOR!L354+JORNADA!L354+'DIETOLOGÍA(S)'!L354)</f>
        <v>0</v>
      </c>
      <c r="M354" s="6">
        <f>SUM(PACIENTES!M354+COMEDOR!M354+JORNADA!M354+'DIETOLOGÍA(S)'!M354)</f>
        <v>0</v>
      </c>
      <c r="N354" s="6">
        <f>SUM(PACIENTES!N354+COMEDOR!N354+JORNADA!N354+'DIETOLOGÍA(S)'!N354)</f>
        <v>0</v>
      </c>
      <c r="O354" s="6">
        <f>SUM(PACIENTES!O354+COMEDOR!O354+JORNADA!O354+'DIETOLOGÍA(S)'!O354)</f>
        <v>0</v>
      </c>
      <c r="P354" s="6">
        <f>SUM(PACIENTES!P354+COMEDOR!P354+JORNADA!P354+'DIETOLOGÍA(S)'!P354)</f>
        <v>0</v>
      </c>
      <c r="Q354" s="6">
        <f>SUM(PACIENTES!Q354+COMEDOR!Q354+JORNADA!Q354+'DIETOLOGÍA(S)'!Q354)</f>
        <v>3</v>
      </c>
      <c r="R354" s="6">
        <f>SUM(PACIENTES!R354+COMEDOR!R354+JORNADA!R354+'DIETOLOGÍA(S)'!R354)</f>
        <v>2</v>
      </c>
      <c r="S354" s="6">
        <f>SUM(PACIENTES!S354+COMEDOR!S354+JORNADA!S354+'DIETOLOGÍA(S)'!S354)</f>
        <v>0</v>
      </c>
      <c r="T354" s="6">
        <f>SUM(PACIENTES!T354+COMEDOR!T354+JORNADA!T354+'DIETOLOGÍA(S)'!T354)</f>
        <v>0</v>
      </c>
      <c r="U354" s="6">
        <f>SUM(PACIENTES!U354+COMEDOR!U354+JORNADA!U354+'DIETOLOGÍA(S)'!U354)</f>
        <v>0</v>
      </c>
      <c r="V354" s="6">
        <f>SUM(PACIENTES!V354+COMEDOR!V354+JORNADA!V354+'DIETOLOGÍA(S)'!V354)</f>
        <v>0</v>
      </c>
      <c r="W354" s="6">
        <f>SUM(PACIENTES!W354+COMEDOR!W354+JORNADA!W354+'DIETOLOGÍA(S)'!W354)</f>
        <v>1</v>
      </c>
      <c r="X354" s="6">
        <f>SUM(PACIENTES!X354+COMEDOR!X354+JORNADA!X354+'DIETOLOGÍA(S)'!X354)</f>
        <v>3</v>
      </c>
      <c r="Y354" s="6">
        <f>SUM(PACIENTES!Y354+COMEDOR!Y354+JORNADA!Y354+'DIETOLOGÍA(S)'!Y354)</f>
        <v>0</v>
      </c>
      <c r="Z354" s="6">
        <f>SUM(PACIENTES!Z354+COMEDOR!Z354+JORNADA!Z354+'DIETOLOGÍA(S)'!Z354)</f>
        <v>1</v>
      </c>
      <c r="AA354" s="6">
        <f>SUM(PACIENTES!AA354+COMEDOR!AA354+JORNADA!AA354+'DIETOLOGÍA(S)'!AA354)</f>
        <v>0</v>
      </c>
      <c r="AB354" s="6">
        <f>SUM(PACIENTES!AB354+COMEDOR!AB354+JORNADA!AB354+'DIETOLOGÍA(S)'!AB354)</f>
        <v>0</v>
      </c>
      <c r="AC354" s="6">
        <f>SUM(PACIENTES!AC354+COMEDOR!AC354+JORNADA!AC354+'DIETOLOGÍA(S)'!AC354)</f>
        <v>6</v>
      </c>
      <c r="AD354" s="6">
        <f>SUM(PACIENTES!AD354+COMEDOR!AD354+JORNADA!AD354+'DIETOLOGÍA(S)'!AD354)</f>
        <v>0</v>
      </c>
      <c r="AE354" s="6">
        <f>SUM(PACIENTES!AE354+COMEDOR!AE354+JORNADA!AE354+'DIETOLOGÍA(S)'!AE354)</f>
        <v>3</v>
      </c>
      <c r="AF354" s="6">
        <f>SUM(PACIENTES!AF354+COMEDOR!AF354+JORNADA!AF354+'DIETOLOGÍA(S)'!AF354)</f>
        <v>0</v>
      </c>
      <c r="AG354" s="6">
        <f>SUM(PACIENTES!AG354+COMEDOR!AG354+JORNADA!AG354+'DIETOLOGÍA(S)'!AG354)</f>
        <v>0</v>
      </c>
      <c r="AH354" s="6">
        <f>SUM(PACIENTES!AH354+COMEDOR!AH354+JORNADA!AH354+'DIETOLOGÍA(S)'!AH354)</f>
        <v>4</v>
      </c>
      <c r="AI354" s="9">
        <f t="shared" si="11"/>
        <v>30</v>
      </c>
    </row>
    <row r="355" spans="1:35" ht="15.75" customHeight="1">
      <c r="A355" s="238">
        <v>2212001123</v>
      </c>
      <c r="B355" s="239" t="s">
        <v>369</v>
      </c>
      <c r="C355" s="240" t="s">
        <v>171</v>
      </c>
      <c r="D355" s="6">
        <f>SUM(PACIENTES!D355+COMEDOR!D355+JORNADA!D355+'DIETOLOGÍA(S)'!D355)</f>
        <v>0</v>
      </c>
      <c r="E355" s="6">
        <f>SUM(PACIENTES!E355+COMEDOR!E355+JORNADA!E355+'DIETOLOGÍA(S)'!E355)</f>
        <v>4</v>
      </c>
      <c r="F355" s="6">
        <f>SUM(PACIENTES!F355+COMEDOR!F355+JORNADA!F355+'DIETOLOGÍA(S)'!F355)</f>
        <v>0</v>
      </c>
      <c r="G355" s="6">
        <f>SUM(PACIENTES!G355+COMEDOR!G355+JORNADA!G355+'DIETOLOGÍA(S)'!G355)</f>
        <v>0</v>
      </c>
      <c r="H355" s="6">
        <f>SUM(PACIENTES!H355+COMEDOR!H355+JORNADA!H355+'DIETOLOGÍA(S)'!H355)</f>
        <v>8</v>
      </c>
      <c r="I355" s="6">
        <f>SUM(PACIENTES!I355+COMEDOR!I355+JORNADA!I355+'DIETOLOGÍA(S)'!I355)</f>
        <v>0</v>
      </c>
      <c r="J355" s="6">
        <f>SUM(PACIENTES!J355+COMEDOR!J355+JORNADA!J355+'DIETOLOGÍA(S)'!J355)</f>
        <v>4</v>
      </c>
      <c r="K355" s="6">
        <f>SUM(PACIENTES!K355+COMEDOR!K355+JORNADA!K355+'DIETOLOGÍA(S)'!K355)</f>
        <v>3</v>
      </c>
      <c r="L355" s="6">
        <f>SUM(PACIENTES!L355+COMEDOR!L355+JORNADA!L355+'DIETOLOGÍA(S)'!L355)</f>
        <v>0</v>
      </c>
      <c r="M355" s="6">
        <f>SUM(PACIENTES!M355+COMEDOR!M355+JORNADA!M355+'DIETOLOGÍA(S)'!M355)</f>
        <v>3</v>
      </c>
      <c r="N355" s="6">
        <f>SUM(PACIENTES!N355+COMEDOR!N355+JORNADA!N355+'DIETOLOGÍA(S)'!N355)</f>
        <v>0</v>
      </c>
      <c r="O355" s="6">
        <f>SUM(PACIENTES!O355+COMEDOR!O355+JORNADA!O355+'DIETOLOGÍA(S)'!O355)</f>
        <v>0</v>
      </c>
      <c r="P355" s="6">
        <f>SUM(PACIENTES!P355+COMEDOR!P355+JORNADA!P355+'DIETOLOGÍA(S)'!P355)</f>
        <v>1</v>
      </c>
      <c r="Q355" s="6">
        <f>SUM(PACIENTES!Q355+COMEDOR!Q355+JORNADA!Q355+'DIETOLOGÍA(S)'!Q355)</f>
        <v>0</v>
      </c>
      <c r="R355" s="6">
        <f>SUM(PACIENTES!R355+COMEDOR!R355+JORNADA!R355+'DIETOLOGÍA(S)'!R355)</f>
        <v>6</v>
      </c>
      <c r="S355" s="6">
        <f>SUM(PACIENTES!S355+COMEDOR!S355+JORNADA!S355+'DIETOLOGÍA(S)'!S355)</f>
        <v>3</v>
      </c>
      <c r="T355" s="6">
        <f>SUM(PACIENTES!T355+COMEDOR!T355+JORNADA!T355+'DIETOLOGÍA(S)'!T355)</f>
        <v>0</v>
      </c>
      <c r="U355" s="6">
        <f>SUM(PACIENTES!U355+COMEDOR!U355+JORNADA!U355+'DIETOLOGÍA(S)'!U355)</f>
        <v>0</v>
      </c>
      <c r="V355" s="6">
        <f>SUM(PACIENTES!V355+COMEDOR!V355+JORNADA!V355+'DIETOLOGÍA(S)'!V355)</f>
        <v>0</v>
      </c>
      <c r="W355" s="6">
        <f>SUM(PACIENTES!W355+COMEDOR!W355+JORNADA!W355+'DIETOLOGÍA(S)'!W355)</f>
        <v>8</v>
      </c>
      <c r="X355" s="6">
        <f>SUM(PACIENTES!X355+COMEDOR!X355+JORNADA!X355+'DIETOLOGÍA(S)'!X355)</f>
        <v>1</v>
      </c>
      <c r="Y355" s="6">
        <f>SUM(PACIENTES!Y355+COMEDOR!Y355+JORNADA!Y355+'DIETOLOGÍA(S)'!Y355)</f>
        <v>0</v>
      </c>
      <c r="Z355" s="6">
        <f>SUM(PACIENTES!Z355+COMEDOR!Z355+JORNADA!Z355+'DIETOLOGÍA(S)'!Z355)</f>
        <v>3</v>
      </c>
      <c r="AA355" s="6">
        <f>SUM(PACIENTES!AA355+COMEDOR!AA355+JORNADA!AA355+'DIETOLOGÍA(S)'!AA355)</f>
        <v>0</v>
      </c>
      <c r="AB355" s="6">
        <f>SUM(PACIENTES!AB355+COMEDOR!AB355+JORNADA!AB355+'DIETOLOGÍA(S)'!AB355)</f>
        <v>3</v>
      </c>
      <c r="AC355" s="6">
        <f>SUM(PACIENTES!AC355+COMEDOR!AC355+JORNADA!AC355+'DIETOLOGÍA(S)'!AC355)</f>
        <v>3</v>
      </c>
      <c r="AD355" s="6">
        <f>SUM(PACIENTES!AD355+COMEDOR!AD355+JORNADA!AD355+'DIETOLOGÍA(S)'!AD355)</f>
        <v>1</v>
      </c>
      <c r="AE355" s="6">
        <f>SUM(PACIENTES!AE355+COMEDOR!AE355+JORNADA!AE355+'DIETOLOGÍA(S)'!AE355)</f>
        <v>3</v>
      </c>
      <c r="AF355" s="6">
        <f>SUM(PACIENTES!AF355+COMEDOR!AF355+JORNADA!AF355+'DIETOLOGÍA(S)'!AF355)</f>
        <v>0</v>
      </c>
      <c r="AG355" s="6">
        <f>SUM(PACIENTES!AG355+COMEDOR!AG355+JORNADA!AG355+'DIETOLOGÍA(S)'!AG355)</f>
        <v>3</v>
      </c>
      <c r="AH355" s="6">
        <f>SUM(PACIENTES!AH355+COMEDOR!AH355+JORNADA!AH355+'DIETOLOGÍA(S)'!AH355)</f>
        <v>0</v>
      </c>
      <c r="AI355" s="9">
        <f t="shared" si="11"/>
        <v>57</v>
      </c>
    </row>
    <row r="356" spans="1:35" ht="15.75" customHeight="1">
      <c r="A356" s="238">
        <v>2212001125</v>
      </c>
      <c r="B356" s="239" t="s">
        <v>370</v>
      </c>
      <c r="C356" s="240" t="s">
        <v>8</v>
      </c>
      <c r="D356" s="6">
        <f>SUM(PACIENTES!D356+COMEDOR!D356+JORNADA!D356+'DIETOLOGÍA(S)'!D356)</f>
        <v>0</v>
      </c>
      <c r="E356" s="6">
        <f>SUM(PACIENTES!E356+COMEDOR!E356+JORNADA!E356+'DIETOLOGÍA(S)'!E356)</f>
        <v>0</v>
      </c>
      <c r="F356" s="6">
        <f>SUM(PACIENTES!F356+COMEDOR!F356+JORNADA!F356+'DIETOLOGÍA(S)'!F356)</f>
        <v>0</v>
      </c>
      <c r="G356" s="6">
        <f>SUM(PACIENTES!G356+COMEDOR!G356+JORNADA!G356+'DIETOLOGÍA(S)'!G356)</f>
        <v>0</v>
      </c>
      <c r="H356" s="6">
        <f>SUM(PACIENTES!H356+COMEDOR!H356+JORNADA!H356+'DIETOLOGÍA(S)'!H356)</f>
        <v>0</v>
      </c>
      <c r="I356" s="6">
        <f>SUM(PACIENTES!I356+COMEDOR!I356+JORNADA!I356+'DIETOLOGÍA(S)'!I356)</f>
        <v>0</v>
      </c>
      <c r="J356" s="6">
        <f>SUM(PACIENTES!J356+COMEDOR!J356+JORNADA!J356+'DIETOLOGÍA(S)'!J356)</f>
        <v>0</v>
      </c>
      <c r="K356" s="6">
        <f>SUM(PACIENTES!K356+COMEDOR!K356+JORNADA!K356+'DIETOLOGÍA(S)'!K356)</f>
        <v>0</v>
      </c>
      <c r="L356" s="6">
        <f>SUM(PACIENTES!L356+COMEDOR!L356+JORNADA!L356+'DIETOLOGÍA(S)'!L356)</f>
        <v>0</v>
      </c>
      <c r="M356" s="6">
        <f>SUM(PACIENTES!M356+COMEDOR!M356+JORNADA!M356+'DIETOLOGÍA(S)'!M356)</f>
        <v>0</v>
      </c>
      <c r="N356" s="6">
        <f>SUM(PACIENTES!N356+COMEDOR!N356+JORNADA!N356+'DIETOLOGÍA(S)'!N356)</f>
        <v>0</v>
      </c>
      <c r="O356" s="6">
        <f>SUM(PACIENTES!O356+COMEDOR!O356+JORNADA!O356+'DIETOLOGÍA(S)'!O356)</f>
        <v>0</v>
      </c>
      <c r="P356" s="6">
        <f>SUM(PACIENTES!P356+COMEDOR!P356+JORNADA!P356+'DIETOLOGÍA(S)'!P356)</f>
        <v>0</v>
      </c>
      <c r="Q356" s="6">
        <f>SUM(PACIENTES!Q356+COMEDOR!Q356+JORNADA!Q356+'DIETOLOGÍA(S)'!Q356)</f>
        <v>0</v>
      </c>
      <c r="R356" s="6">
        <f>SUM(PACIENTES!R356+COMEDOR!R356+JORNADA!R356+'DIETOLOGÍA(S)'!R356)</f>
        <v>0</v>
      </c>
      <c r="S356" s="6">
        <f>SUM(PACIENTES!S356+COMEDOR!S356+JORNADA!S356+'DIETOLOGÍA(S)'!S356)</f>
        <v>0</v>
      </c>
      <c r="T356" s="6">
        <f>SUM(PACIENTES!T356+COMEDOR!T356+JORNADA!T356+'DIETOLOGÍA(S)'!T356)</f>
        <v>0</v>
      </c>
      <c r="U356" s="6">
        <f>SUM(PACIENTES!U356+COMEDOR!U356+JORNADA!U356+'DIETOLOGÍA(S)'!U356)</f>
        <v>0</v>
      </c>
      <c r="V356" s="6">
        <f>SUM(PACIENTES!V356+COMEDOR!V356+JORNADA!V356+'DIETOLOGÍA(S)'!V356)</f>
        <v>0</v>
      </c>
      <c r="W356" s="6">
        <f>SUM(PACIENTES!W356+COMEDOR!W356+JORNADA!W356+'DIETOLOGÍA(S)'!W356)</f>
        <v>0</v>
      </c>
      <c r="X356" s="6">
        <f>SUM(PACIENTES!X356+COMEDOR!X356+JORNADA!X356+'DIETOLOGÍA(S)'!X356)</f>
        <v>0</v>
      </c>
      <c r="Y356" s="6">
        <f>SUM(PACIENTES!Y356+COMEDOR!Y356+JORNADA!Y356+'DIETOLOGÍA(S)'!Y356)</f>
        <v>0</v>
      </c>
      <c r="Z356" s="6">
        <f>SUM(PACIENTES!Z356+COMEDOR!Z356+JORNADA!Z356+'DIETOLOGÍA(S)'!Z356)</f>
        <v>0</v>
      </c>
      <c r="AA356" s="6">
        <f>SUM(PACIENTES!AA356+COMEDOR!AA356+JORNADA!AA356+'DIETOLOGÍA(S)'!AA356)</f>
        <v>0</v>
      </c>
      <c r="AB356" s="6">
        <f>SUM(PACIENTES!AB356+COMEDOR!AB356+JORNADA!AB356+'DIETOLOGÍA(S)'!AB356)</f>
        <v>0</v>
      </c>
      <c r="AC356" s="6">
        <f>SUM(PACIENTES!AC356+COMEDOR!AC356+JORNADA!AC356+'DIETOLOGÍA(S)'!AC356)</f>
        <v>0</v>
      </c>
      <c r="AD356" s="6">
        <f>SUM(PACIENTES!AD356+COMEDOR!AD356+JORNADA!AD356+'DIETOLOGÍA(S)'!AD356)</f>
        <v>0</v>
      </c>
      <c r="AE356" s="6">
        <f>SUM(PACIENTES!AE356+COMEDOR!AE356+JORNADA!AE356+'DIETOLOGÍA(S)'!AE356)</f>
        <v>0</v>
      </c>
      <c r="AF356" s="6">
        <f>SUM(PACIENTES!AF356+COMEDOR!AF356+JORNADA!AF356+'DIETOLOGÍA(S)'!AF356)</f>
        <v>0</v>
      </c>
      <c r="AG356" s="6">
        <f>SUM(PACIENTES!AG356+COMEDOR!AG356+JORNADA!AG356+'DIETOLOGÍA(S)'!AG356)</f>
        <v>0</v>
      </c>
      <c r="AH356" s="6">
        <f>SUM(PACIENTES!AH356+COMEDOR!AH356+JORNADA!AH356+'DIETOLOGÍA(S)'!AH356)</f>
        <v>0</v>
      </c>
      <c r="AI356" s="9">
        <f t="shared" si="11"/>
        <v>0</v>
      </c>
    </row>
    <row r="357" spans="1:35" ht="15.75" customHeight="1">
      <c r="A357" s="238">
        <v>2212001126</v>
      </c>
      <c r="B357" s="239" t="s">
        <v>371</v>
      </c>
      <c r="C357" s="240" t="s">
        <v>8</v>
      </c>
      <c r="D357" s="6">
        <f>SUM(PACIENTES!D357+COMEDOR!D357+JORNADA!D357+'DIETOLOGÍA(S)'!D357)</f>
        <v>0</v>
      </c>
      <c r="E357" s="6">
        <f>SUM(PACIENTES!E357+COMEDOR!E357+JORNADA!E357+'DIETOLOGÍA(S)'!E357)</f>
        <v>0</v>
      </c>
      <c r="F357" s="6">
        <f>SUM(PACIENTES!F357+COMEDOR!F357+JORNADA!F357+'DIETOLOGÍA(S)'!F357)</f>
        <v>0</v>
      </c>
      <c r="G357" s="6">
        <f>SUM(PACIENTES!G357+COMEDOR!G357+JORNADA!G357+'DIETOLOGÍA(S)'!G357)</f>
        <v>0</v>
      </c>
      <c r="H357" s="6">
        <f>SUM(PACIENTES!H357+COMEDOR!H357+JORNADA!H357+'DIETOLOGÍA(S)'!H357)</f>
        <v>0</v>
      </c>
      <c r="I357" s="6">
        <f>SUM(PACIENTES!I357+COMEDOR!I357+JORNADA!I357+'DIETOLOGÍA(S)'!I357)</f>
        <v>30</v>
      </c>
      <c r="J357" s="6">
        <f>SUM(PACIENTES!J357+COMEDOR!J357+JORNADA!J357+'DIETOLOGÍA(S)'!J357)</f>
        <v>0</v>
      </c>
      <c r="K357" s="6">
        <f>SUM(PACIENTES!K357+COMEDOR!K357+JORNADA!K357+'DIETOLOGÍA(S)'!K357)</f>
        <v>0</v>
      </c>
      <c r="L357" s="6">
        <f>SUM(PACIENTES!L357+COMEDOR!L357+JORNADA!L357+'DIETOLOGÍA(S)'!L357)</f>
        <v>0</v>
      </c>
      <c r="M357" s="6">
        <f>SUM(PACIENTES!M357+COMEDOR!M357+JORNADA!M357+'DIETOLOGÍA(S)'!M357)</f>
        <v>0</v>
      </c>
      <c r="N357" s="6">
        <f>SUM(PACIENTES!N357+COMEDOR!N357+JORNADA!N357+'DIETOLOGÍA(S)'!N357)</f>
        <v>0</v>
      </c>
      <c r="O357" s="6">
        <f>SUM(PACIENTES!O357+COMEDOR!O357+JORNADA!O357+'DIETOLOGÍA(S)'!O357)</f>
        <v>0</v>
      </c>
      <c r="P357" s="6">
        <f>SUM(PACIENTES!P357+COMEDOR!P357+JORNADA!P357+'DIETOLOGÍA(S)'!P357)</f>
        <v>0</v>
      </c>
      <c r="Q357" s="6">
        <f>SUM(PACIENTES!Q357+COMEDOR!Q357+JORNADA!Q357+'DIETOLOGÍA(S)'!Q357)</f>
        <v>0</v>
      </c>
      <c r="R357" s="6">
        <f>SUM(PACIENTES!R357+COMEDOR!R357+JORNADA!R357+'DIETOLOGÍA(S)'!R357)</f>
        <v>0</v>
      </c>
      <c r="S357" s="6">
        <f>SUM(PACIENTES!S357+COMEDOR!S357+JORNADA!S357+'DIETOLOGÍA(S)'!S357)</f>
        <v>0</v>
      </c>
      <c r="T357" s="6">
        <f>SUM(PACIENTES!T357+COMEDOR!T357+JORNADA!T357+'DIETOLOGÍA(S)'!T357)</f>
        <v>0</v>
      </c>
      <c r="U357" s="6">
        <f>SUM(PACIENTES!U357+COMEDOR!U357+JORNADA!U357+'DIETOLOGÍA(S)'!U357)</f>
        <v>0</v>
      </c>
      <c r="V357" s="6">
        <f>SUM(PACIENTES!V357+COMEDOR!V357+JORNADA!V357+'DIETOLOGÍA(S)'!V357)</f>
        <v>0</v>
      </c>
      <c r="W357" s="6">
        <f>SUM(PACIENTES!W357+COMEDOR!W357+JORNADA!W357+'DIETOLOGÍA(S)'!W357)</f>
        <v>0</v>
      </c>
      <c r="X357" s="6">
        <f>SUM(PACIENTES!X357+COMEDOR!X357+JORNADA!X357+'DIETOLOGÍA(S)'!X357)</f>
        <v>0</v>
      </c>
      <c r="Y357" s="6">
        <f>SUM(PACIENTES!Y357+COMEDOR!Y357+JORNADA!Y357+'DIETOLOGÍA(S)'!Y357)</f>
        <v>0</v>
      </c>
      <c r="Z357" s="6">
        <f>SUM(PACIENTES!Z357+COMEDOR!Z357+JORNADA!Z357+'DIETOLOGÍA(S)'!Z357)</f>
        <v>0</v>
      </c>
      <c r="AA357" s="6">
        <f>SUM(PACIENTES!AA357+COMEDOR!AA357+JORNADA!AA357+'DIETOLOGÍA(S)'!AA357)</f>
        <v>0</v>
      </c>
      <c r="AB357" s="6">
        <f>SUM(PACIENTES!AB357+COMEDOR!AB357+JORNADA!AB357+'DIETOLOGÍA(S)'!AB357)</f>
        <v>0</v>
      </c>
      <c r="AC357" s="6">
        <f>SUM(PACIENTES!AC357+COMEDOR!AC357+JORNADA!AC357+'DIETOLOGÍA(S)'!AC357)</f>
        <v>0</v>
      </c>
      <c r="AD357" s="6">
        <f>SUM(PACIENTES!AD357+COMEDOR!AD357+JORNADA!AD357+'DIETOLOGÍA(S)'!AD357)</f>
        <v>0</v>
      </c>
      <c r="AE357" s="6">
        <f>SUM(PACIENTES!AE357+COMEDOR!AE357+JORNADA!AE357+'DIETOLOGÍA(S)'!AE357)</f>
        <v>0</v>
      </c>
      <c r="AF357" s="6">
        <f>SUM(PACIENTES!AF357+COMEDOR!AF357+JORNADA!AF357+'DIETOLOGÍA(S)'!AF357)</f>
        <v>0</v>
      </c>
      <c r="AG357" s="6">
        <f>SUM(PACIENTES!AG357+COMEDOR!AG357+JORNADA!AG357+'DIETOLOGÍA(S)'!AG357)</f>
        <v>0</v>
      </c>
      <c r="AH357" s="6">
        <f>SUM(PACIENTES!AH357+COMEDOR!AH357+JORNADA!AH357+'DIETOLOGÍA(S)'!AH357)</f>
        <v>0</v>
      </c>
      <c r="AI357" s="9">
        <f t="shared" si="11"/>
        <v>30</v>
      </c>
    </row>
    <row r="358" spans="1:35" ht="15.75" customHeight="1">
      <c r="A358" s="238">
        <v>2212001129</v>
      </c>
      <c r="B358" s="239" t="s">
        <v>372</v>
      </c>
      <c r="C358" s="240" t="s">
        <v>313</v>
      </c>
      <c r="D358" s="6">
        <f>SUM(PACIENTES!D358+COMEDOR!D358+JORNADA!D358+'DIETOLOGÍA(S)'!D358)</f>
        <v>0</v>
      </c>
      <c r="E358" s="6">
        <f>SUM(PACIENTES!E358+COMEDOR!E358+JORNADA!E358+'DIETOLOGÍA(S)'!E358)</f>
        <v>0</v>
      </c>
      <c r="F358" s="6">
        <f>SUM(PACIENTES!F358+COMEDOR!F358+JORNADA!F358+'DIETOLOGÍA(S)'!F358)</f>
        <v>0</v>
      </c>
      <c r="G358" s="6">
        <f>SUM(PACIENTES!G358+COMEDOR!G358+JORNADA!G358+'DIETOLOGÍA(S)'!G358)</f>
        <v>0</v>
      </c>
      <c r="H358" s="6">
        <f>SUM(PACIENTES!H358+COMEDOR!H358+JORNADA!H358+'DIETOLOGÍA(S)'!H358)</f>
        <v>0</v>
      </c>
      <c r="I358" s="6">
        <f>SUM(PACIENTES!I358+COMEDOR!I358+JORNADA!I358+'DIETOLOGÍA(S)'!I358)</f>
        <v>0</v>
      </c>
      <c r="J358" s="6">
        <f>SUM(PACIENTES!J358+COMEDOR!J358+JORNADA!J358+'DIETOLOGÍA(S)'!J358)</f>
        <v>0</v>
      </c>
      <c r="K358" s="6">
        <f>SUM(PACIENTES!K358+COMEDOR!K358+JORNADA!K358+'DIETOLOGÍA(S)'!K358)</f>
        <v>0</v>
      </c>
      <c r="L358" s="6">
        <f>SUM(PACIENTES!L358+COMEDOR!L358+JORNADA!L358+'DIETOLOGÍA(S)'!L358)</f>
        <v>0</v>
      </c>
      <c r="M358" s="6">
        <f>SUM(PACIENTES!M358+COMEDOR!M358+JORNADA!M358+'DIETOLOGÍA(S)'!M358)</f>
        <v>0</v>
      </c>
      <c r="N358" s="6">
        <f>SUM(PACIENTES!N358+COMEDOR!N358+JORNADA!N358+'DIETOLOGÍA(S)'!N358)</f>
        <v>0</v>
      </c>
      <c r="O358" s="6">
        <f>SUM(PACIENTES!O358+COMEDOR!O358+JORNADA!O358+'DIETOLOGÍA(S)'!O358)</f>
        <v>0</v>
      </c>
      <c r="P358" s="6">
        <f>SUM(PACIENTES!P358+COMEDOR!P358+JORNADA!P358+'DIETOLOGÍA(S)'!P358)</f>
        <v>0</v>
      </c>
      <c r="Q358" s="6">
        <f>SUM(PACIENTES!Q358+COMEDOR!Q358+JORNADA!Q358+'DIETOLOGÍA(S)'!Q358)</f>
        <v>0</v>
      </c>
      <c r="R358" s="6">
        <f>SUM(PACIENTES!R358+COMEDOR!R358+JORNADA!R358+'DIETOLOGÍA(S)'!R358)</f>
        <v>0</v>
      </c>
      <c r="S358" s="6">
        <f>SUM(PACIENTES!S358+COMEDOR!S358+JORNADA!S358+'DIETOLOGÍA(S)'!S358)</f>
        <v>0</v>
      </c>
      <c r="T358" s="6">
        <f>SUM(PACIENTES!T358+COMEDOR!T358+JORNADA!T358+'DIETOLOGÍA(S)'!T358)</f>
        <v>0</v>
      </c>
      <c r="U358" s="6">
        <f>SUM(PACIENTES!U358+COMEDOR!U358+JORNADA!U358+'DIETOLOGÍA(S)'!U358)</f>
        <v>0</v>
      </c>
      <c r="V358" s="6">
        <f>SUM(PACIENTES!V358+COMEDOR!V358+JORNADA!V358+'DIETOLOGÍA(S)'!V358)</f>
        <v>0</v>
      </c>
      <c r="W358" s="6">
        <f>SUM(PACIENTES!W358+COMEDOR!W358+JORNADA!W358+'DIETOLOGÍA(S)'!W358)</f>
        <v>0</v>
      </c>
      <c r="X358" s="6">
        <f>SUM(PACIENTES!X358+COMEDOR!X358+JORNADA!X358+'DIETOLOGÍA(S)'!X358)</f>
        <v>0</v>
      </c>
      <c r="Y358" s="6">
        <f>SUM(PACIENTES!Y358+COMEDOR!Y358+JORNADA!Y358+'DIETOLOGÍA(S)'!Y358)</f>
        <v>0</v>
      </c>
      <c r="Z358" s="6">
        <f>SUM(PACIENTES!Z358+COMEDOR!Z358+JORNADA!Z358+'DIETOLOGÍA(S)'!Z358)</f>
        <v>0</v>
      </c>
      <c r="AA358" s="6">
        <f>SUM(PACIENTES!AA358+COMEDOR!AA358+JORNADA!AA358+'DIETOLOGÍA(S)'!AA358)</f>
        <v>0</v>
      </c>
      <c r="AB358" s="6">
        <f>SUM(PACIENTES!AB358+COMEDOR!AB358+JORNADA!AB358+'DIETOLOGÍA(S)'!AB358)</f>
        <v>0</v>
      </c>
      <c r="AC358" s="6">
        <f>SUM(PACIENTES!AC358+COMEDOR!AC358+JORNADA!AC358+'DIETOLOGÍA(S)'!AC358)</f>
        <v>0</v>
      </c>
      <c r="AD358" s="6">
        <f>SUM(PACIENTES!AD358+COMEDOR!AD358+JORNADA!AD358+'DIETOLOGÍA(S)'!AD358)</f>
        <v>0</v>
      </c>
      <c r="AE358" s="6">
        <f>SUM(PACIENTES!AE358+COMEDOR!AE358+JORNADA!AE358+'DIETOLOGÍA(S)'!AE358)</f>
        <v>0</v>
      </c>
      <c r="AF358" s="6">
        <f>SUM(PACIENTES!AF358+COMEDOR!AF358+JORNADA!AF358+'DIETOLOGÍA(S)'!AF358)</f>
        <v>0</v>
      </c>
      <c r="AG358" s="6">
        <f>SUM(PACIENTES!AG358+COMEDOR!AG358+JORNADA!AG358+'DIETOLOGÍA(S)'!AG358)</f>
        <v>0</v>
      </c>
      <c r="AH358" s="6">
        <f>SUM(PACIENTES!AH358+COMEDOR!AH358+JORNADA!AH358+'DIETOLOGÍA(S)'!AH358)</f>
        <v>0</v>
      </c>
      <c r="AI358" s="9">
        <f t="shared" si="11"/>
        <v>0</v>
      </c>
    </row>
    <row r="359" spans="1:35" ht="15.75" customHeight="1">
      <c r="A359" s="238">
        <v>2212001130</v>
      </c>
      <c r="B359" s="239" t="s">
        <v>373</v>
      </c>
      <c r="C359" s="240" t="s">
        <v>171</v>
      </c>
      <c r="D359" s="6">
        <f>SUM(PACIENTES!D359+COMEDOR!D359+JORNADA!D359+'DIETOLOGÍA(S)'!D359)</f>
        <v>0</v>
      </c>
      <c r="E359" s="6">
        <f>SUM(PACIENTES!E359+COMEDOR!E359+JORNADA!E359+'DIETOLOGÍA(S)'!E359)</f>
        <v>0</v>
      </c>
      <c r="F359" s="6">
        <f>SUM(PACIENTES!F359+COMEDOR!F359+JORNADA!F359+'DIETOLOGÍA(S)'!F359)</f>
        <v>0</v>
      </c>
      <c r="G359" s="6">
        <f>SUM(PACIENTES!G359+COMEDOR!G359+JORNADA!G359+'DIETOLOGÍA(S)'!G359)</f>
        <v>0</v>
      </c>
      <c r="H359" s="6">
        <f>SUM(PACIENTES!H359+COMEDOR!H359+JORNADA!H359+'DIETOLOGÍA(S)'!H359)</f>
        <v>0</v>
      </c>
      <c r="I359" s="6">
        <f>SUM(PACIENTES!I359+COMEDOR!I359+JORNADA!I359+'DIETOLOGÍA(S)'!I359)</f>
        <v>1</v>
      </c>
      <c r="J359" s="6">
        <f>SUM(PACIENTES!J359+COMEDOR!J359+JORNADA!J359+'DIETOLOGÍA(S)'!J359)</f>
        <v>0</v>
      </c>
      <c r="K359" s="6">
        <f>SUM(PACIENTES!K359+COMEDOR!K359+JORNADA!K359+'DIETOLOGÍA(S)'!K359)</f>
        <v>0</v>
      </c>
      <c r="L359" s="6">
        <f>SUM(PACIENTES!L359+COMEDOR!L359+JORNADA!L359+'DIETOLOGÍA(S)'!L359)</f>
        <v>0</v>
      </c>
      <c r="M359" s="6">
        <f>SUM(PACIENTES!M359+COMEDOR!M359+JORNADA!M359+'DIETOLOGÍA(S)'!M359)</f>
        <v>0</v>
      </c>
      <c r="N359" s="6">
        <f>SUM(PACIENTES!N359+COMEDOR!N359+JORNADA!N359+'DIETOLOGÍA(S)'!N359)</f>
        <v>3</v>
      </c>
      <c r="O359" s="6">
        <f>SUM(PACIENTES!O359+COMEDOR!O359+JORNADA!O359+'DIETOLOGÍA(S)'!O359)</f>
        <v>0</v>
      </c>
      <c r="P359" s="6">
        <f>SUM(PACIENTES!P359+COMEDOR!P359+JORNADA!P359+'DIETOLOGÍA(S)'!P359)</f>
        <v>0</v>
      </c>
      <c r="Q359" s="6">
        <f>SUM(PACIENTES!Q359+COMEDOR!Q359+JORNADA!Q359+'DIETOLOGÍA(S)'!Q359)</f>
        <v>0</v>
      </c>
      <c r="R359" s="6">
        <f>SUM(PACIENTES!R359+COMEDOR!R359+JORNADA!R359+'DIETOLOGÍA(S)'!R359)</f>
        <v>0</v>
      </c>
      <c r="S359" s="6">
        <f>SUM(PACIENTES!S359+COMEDOR!S359+JORNADA!S359+'DIETOLOGÍA(S)'!S359)</f>
        <v>0</v>
      </c>
      <c r="T359" s="6">
        <f>SUM(PACIENTES!T359+COMEDOR!T359+JORNADA!T359+'DIETOLOGÍA(S)'!T359)</f>
        <v>0</v>
      </c>
      <c r="U359" s="6">
        <f>SUM(PACIENTES!U359+COMEDOR!U359+JORNADA!U359+'DIETOLOGÍA(S)'!U359)</f>
        <v>0</v>
      </c>
      <c r="V359" s="6">
        <f>SUM(PACIENTES!V359+COMEDOR!V359+JORNADA!V359+'DIETOLOGÍA(S)'!V359)</f>
        <v>0</v>
      </c>
      <c r="W359" s="6">
        <f>SUM(PACIENTES!W359+COMEDOR!W359+JORNADA!W359+'DIETOLOGÍA(S)'!W359)</f>
        <v>0</v>
      </c>
      <c r="X359" s="6">
        <f>SUM(PACIENTES!X359+COMEDOR!X359+JORNADA!X359+'DIETOLOGÍA(S)'!X359)</f>
        <v>0</v>
      </c>
      <c r="Y359" s="6">
        <f>SUM(PACIENTES!Y359+COMEDOR!Y359+JORNADA!Y359+'DIETOLOGÍA(S)'!Y359)</f>
        <v>0</v>
      </c>
      <c r="Z359" s="6">
        <f>SUM(PACIENTES!Z359+COMEDOR!Z359+JORNADA!Z359+'DIETOLOGÍA(S)'!Z359)</f>
        <v>0</v>
      </c>
      <c r="AA359" s="6">
        <f>SUM(PACIENTES!AA359+COMEDOR!AA359+JORNADA!AA359+'DIETOLOGÍA(S)'!AA359)</f>
        <v>0</v>
      </c>
      <c r="AB359" s="6">
        <f>SUM(PACIENTES!AB359+COMEDOR!AB359+JORNADA!AB359+'DIETOLOGÍA(S)'!AB359)</f>
        <v>0</v>
      </c>
      <c r="AC359" s="6">
        <f>SUM(PACIENTES!AC359+COMEDOR!AC359+JORNADA!AC359+'DIETOLOGÍA(S)'!AC359)</f>
        <v>0</v>
      </c>
      <c r="AD359" s="6">
        <f>SUM(PACIENTES!AD359+COMEDOR!AD359+JORNADA!AD359+'DIETOLOGÍA(S)'!AD359)</f>
        <v>0</v>
      </c>
      <c r="AE359" s="6">
        <f>SUM(PACIENTES!AE359+COMEDOR!AE359+JORNADA!AE359+'DIETOLOGÍA(S)'!AE359)</f>
        <v>0</v>
      </c>
      <c r="AF359" s="6">
        <f>SUM(PACIENTES!AF359+COMEDOR!AF359+JORNADA!AF359+'DIETOLOGÍA(S)'!AF359)</f>
        <v>0</v>
      </c>
      <c r="AG359" s="6">
        <f>SUM(PACIENTES!AG359+COMEDOR!AG359+JORNADA!AG359+'DIETOLOGÍA(S)'!AG359)</f>
        <v>0</v>
      </c>
      <c r="AH359" s="6">
        <f>SUM(PACIENTES!AH359+COMEDOR!AH359+JORNADA!AH359+'DIETOLOGÍA(S)'!AH359)</f>
        <v>3</v>
      </c>
      <c r="AI359" s="9">
        <f t="shared" si="11"/>
        <v>7</v>
      </c>
    </row>
    <row r="360" spans="1:35" ht="15.75" customHeight="1">
      <c r="A360" s="238">
        <v>2212001133</v>
      </c>
      <c r="B360" s="239" t="s">
        <v>374</v>
      </c>
      <c r="C360" s="240" t="s">
        <v>267</v>
      </c>
      <c r="D360" s="6">
        <f>SUM(PACIENTES!D360+COMEDOR!D360+JORNADA!D360+'DIETOLOGÍA(S)'!D360)</f>
        <v>0</v>
      </c>
      <c r="E360" s="6">
        <f>SUM(PACIENTES!E360+COMEDOR!E360+JORNADA!E360+'DIETOLOGÍA(S)'!E360)</f>
        <v>0</v>
      </c>
      <c r="F360" s="6">
        <f>SUM(PACIENTES!F360+COMEDOR!F360+JORNADA!F360+'DIETOLOGÍA(S)'!F360)</f>
        <v>0</v>
      </c>
      <c r="G360" s="6">
        <f>SUM(PACIENTES!G360+COMEDOR!G360+JORNADA!G360+'DIETOLOGÍA(S)'!G360)</f>
        <v>0</v>
      </c>
      <c r="H360" s="6">
        <f>SUM(PACIENTES!H360+COMEDOR!H360+JORNADA!H360+'DIETOLOGÍA(S)'!H360)</f>
        <v>0</v>
      </c>
      <c r="I360" s="6">
        <f>SUM(PACIENTES!I360+COMEDOR!I360+JORNADA!I360+'DIETOLOGÍA(S)'!I360)</f>
        <v>0</v>
      </c>
      <c r="J360" s="6">
        <f>SUM(PACIENTES!J360+COMEDOR!J360+JORNADA!J360+'DIETOLOGÍA(S)'!J360)</f>
        <v>0</v>
      </c>
      <c r="K360" s="6">
        <f>SUM(PACIENTES!K360+COMEDOR!K360+JORNADA!K360+'DIETOLOGÍA(S)'!K360)</f>
        <v>0</v>
      </c>
      <c r="L360" s="6">
        <f>SUM(PACIENTES!L360+COMEDOR!L360+JORNADA!L360+'DIETOLOGÍA(S)'!L360)</f>
        <v>0</v>
      </c>
      <c r="M360" s="6">
        <f>SUM(PACIENTES!M360+COMEDOR!M360+JORNADA!M360+'DIETOLOGÍA(S)'!M360)</f>
        <v>0</v>
      </c>
      <c r="N360" s="6">
        <f>SUM(PACIENTES!N360+COMEDOR!N360+JORNADA!N360+'DIETOLOGÍA(S)'!N360)</f>
        <v>0</v>
      </c>
      <c r="O360" s="6">
        <f>SUM(PACIENTES!O360+COMEDOR!O360+JORNADA!O360+'DIETOLOGÍA(S)'!O360)</f>
        <v>0</v>
      </c>
      <c r="P360" s="6">
        <f>SUM(PACIENTES!P360+COMEDOR!P360+JORNADA!P360+'DIETOLOGÍA(S)'!P360)</f>
        <v>0</v>
      </c>
      <c r="Q360" s="6">
        <f>SUM(PACIENTES!Q360+COMEDOR!Q360+JORNADA!Q360+'DIETOLOGÍA(S)'!Q360)</f>
        <v>1</v>
      </c>
      <c r="R360" s="6">
        <f>SUM(PACIENTES!R360+COMEDOR!R360+JORNADA!R360+'DIETOLOGÍA(S)'!R360)</f>
        <v>0</v>
      </c>
      <c r="S360" s="6">
        <f>SUM(PACIENTES!S360+COMEDOR!S360+JORNADA!S360+'DIETOLOGÍA(S)'!S360)</f>
        <v>0</v>
      </c>
      <c r="T360" s="6">
        <f>SUM(PACIENTES!T360+COMEDOR!T360+JORNADA!T360+'DIETOLOGÍA(S)'!T360)</f>
        <v>0</v>
      </c>
      <c r="U360" s="6">
        <f>SUM(PACIENTES!U360+COMEDOR!U360+JORNADA!U360+'DIETOLOGÍA(S)'!U360)</f>
        <v>0</v>
      </c>
      <c r="V360" s="6">
        <f>SUM(PACIENTES!V360+COMEDOR!V360+JORNADA!V360+'DIETOLOGÍA(S)'!V360)</f>
        <v>0</v>
      </c>
      <c r="W360" s="6">
        <f>SUM(PACIENTES!W360+COMEDOR!W360+JORNADA!W360+'DIETOLOGÍA(S)'!W360)</f>
        <v>0</v>
      </c>
      <c r="X360" s="6">
        <f>SUM(PACIENTES!X360+COMEDOR!X360+JORNADA!X360+'DIETOLOGÍA(S)'!X360)</f>
        <v>0</v>
      </c>
      <c r="Y360" s="6">
        <f>SUM(PACIENTES!Y360+COMEDOR!Y360+JORNADA!Y360+'DIETOLOGÍA(S)'!Y360)</f>
        <v>0</v>
      </c>
      <c r="Z360" s="6">
        <f>SUM(PACIENTES!Z360+COMEDOR!Z360+JORNADA!Z360+'DIETOLOGÍA(S)'!Z360)</f>
        <v>0</v>
      </c>
      <c r="AA360" s="6">
        <f>SUM(PACIENTES!AA360+COMEDOR!AA360+JORNADA!AA360+'DIETOLOGÍA(S)'!AA360)</f>
        <v>0</v>
      </c>
      <c r="AB360" s="6">
        <f>SUM(PACIENTES!AB360+COMEDOR!AB360+JORNADA!AB360+'DIETOLOGÍA(S)'!AB360)</f>
        <v>0</v>
      </c>
      <c r="AC360" s="6">
        <f>SUM(PACIENTES!AC360+COMEDOR!AC360+JORNADA!AC360+'DIETOLOGÍA(S)'!AC360)</f>
        <v>0</v>
      </c>
      <c r="AD360" s="6">
        <f>SUM(PACIENTES!AD360+COMEDOR!AD360+JORNADA!AD360+'DIETOLOGÍA(S)'!AD360)</f>
        <v>0</v>
      </c>
      <c r="AE360" s="6">
        <f>SUM(PACIENTES!AE360+COMEDOR!AE360+JORNADA!AE360+'DIETOLOGÍA(S)'!AE360)</f>
        <v>1</v>
      </c>
      <c r="AF360" s="6">
        <f>SUM(PACIENTES!AF360+COMEDOR!AF360+JORNADA!AF360+'DIETOLOGÍA(S)'!AF360)</f>
        <v>0</v>
      </c>
      <c r="AG360" s="6">
        <f>SUM(PACIENTES!AG360+COMEDOR!AG360+JORNADA!AG360+'DIETOLOGÍA(S)'!AG360)</f>
        <v>0</v>
      </c>
      <c r="AH360" s="6">
        <f>SUM(PACIENTES!AH360+COMEDOR!AH360+JORNADA!AH360+'DIETOLOGÍA(S)'!AH360)</f>
        <v>0</v>
      </c>
      <c r="AI360" s="9">
        <f t="shared" si="11"/>
        <v>2</v>
      </c>
    </row>
    <row r="361" spans="1:35" ht="15.75" customHeight="1">
      <c r="A361" s="238">
        <v>2212001144</v>
      </c>
      <c r="B361" s="239" t="s">
        <v>375</v>
      </c>
      <c r="C361" s="240" t="s">
        <v>171</v>
      </c>
      <c r="D361" s="6">
        <f>SUM(PACIENTES!D361+COMEDOR!D361+JORNADA!D361+'DIETOLOGÍA(S)'!D361)</f>
        <v>0</v>
      </c>
      <c r="E361" s="6">
        <f>SUM(PACIENTES!E361+COMEDOR!E361+JORNADA!E361+'DIETOLOGÍA(S)'!E361)</f>
        <v>0</v>
      </c>
      <c r="F361" s="6">
        <f>SUM(PACIENTES!F361+COMEDOR!F361+JORNADA!F361+'DIETOLOGÍA(S)'!F361)</f>
        <v>0</v>
      </c>
      <c r="G361" s="6">
        <f>SUM(PACIENTES!G361+COMEDOR!G361+JORNADA!G361+'DIETOLOGÍA(S)'!G361)</f>
        <v>0</v>
      </c>
      <c r="H361" s="6">
        <f>SUM(PACIENTES!H361+COMEDOR!H361+JORNADA!H361+'DIETOLOGÍA(S)'!H361)</f>
        <v>0</v>
      </c>
      <c r="I361" s="6">
        <f>SUM(PACIENTES!I361+COMEDOR!I361+JORNADA!I361+'DIETOLOGÍA(S)'!I361)</f>
        <v>0</v>
      </c>
      <c r="J361" s="6">
        <f>SUM(PACIENTES!J361+COMEDOR!J361+JORNADA!J361+'DIETOLOGÍA(S)'!J361)</f>
        <v>3</v>
      </c>
      <c r="K361" s="6">
        <f>SUM(PACIENTES!K361+COMEDOR!K361+JORNADA!K361+'DIETOLOGÍA(S)'!K361)</f>
        <v>0</v>
      </c>
      <c r="L361" s="6">
        <f>SUM(PACIENTES!L361+COMEDOR!L361+JORNADA!L361+'DIETOLOGÍA(S)'!L361)</f>
        <v>0</v>
      </c>
      <c r="M361" s="6">
        <f>SUM(PACIENTES!M361+COMEDOR!M361+JORNADA!M361+'DIETOLOGÍA(S)'!M361)</f>
        <v>0</v>
      </c>
      <c r="N361" s="6">
        <f>SUM(PACIENTES!N361+COMEDOR!N361+JORNADA!N361+'DIETOLOGÍA(S)'!N361)</f>
        <v>0</v>
      </c>
      <c r="O361" s="6">
        <f>SUM(PACIENTES!O361+COMEDOR!O361+JORNADA!O361+'DIETOLOGÍA(S)'!O361)</f>
        <v>0</v>
      </c>
      <c r="P361" s="6">
        <f>SUM(PACIENTES!P361+COMEDOR!P361+JORNADA!P361+'DIETOLOGÍA(S)'!P361)</f>
        <v>0</v>
      </c>
      <c r="Q361" s="6">
        <f>SUM(PACIENTES!Q361+COMEDOR!Q361+JORNADA!Q361+'DIETOLOGÍA(S)'!Q361)</f>
        <v>3</v>
      </c>
      <c r="R361" s="6">
        <f>SUM(PACIENTES!R361+COMEDOR!R361+JORNADA!R361+'DIETOLOGÍA(S)'!R361)</f>
        <v>0</v>
      </c>
      <c r="S361" s="6">
        <f>SUM(PACIENTES!S361+COMEDOR!S361+JORNADA!S361+'DIETOLOGÍA(S)'!S361)</f>
        <v>0</v>
      </c>
      <c r="T361" s="6">
        <f>SUM(PACIENTES!T361+COMEDOR!T361+JORNADA!T361+'DIETOLOGÍA(S)'!T361)</f>
        <v>0</v>
      </c>
      <c r="U361" s="6">
        <f>SUM(PACIENTES!U361+COMEDOR!U361+JORNADA!U361+'DIETOLOGÍA(S)'!U361)</f>
        <v>0</v>
      </c>
      <c r="V361" s="6">
        <f>SUM(PACIENTES!V361+COMEDOR!V361+JORNADA!V361+'DIETOLOGÍA(S)'!V361)</f>
        <v>0</v>
      </c>
      <c r="W361" s="6">
        <f>SUM(PACIENTES!W361+COMEDOR!W361+JORNADA!W361+'DIETOLOGÍA(S)'!W361)</f>
        <v>0</v>
      </c>
      <c r="X361" s="6">
        <f>SUM(PACIENTES!X361+COMEDOR!X361+JORNADA!X361+'DIETOLOGÍA(S)'!X361)</f>
        <v>3</v>
      </c>
      <c r="Y361" s="6">
        <f>SUM(PACIENTES!Y361+COMEDOR!Y361+JORNADA!Y361+'DIETOLOGÍA(S)'!Y361)</f>
        <v>0</v>
      </c>
      <c r="Z361" s="6">
        <f>SUM(PACIENTES!Z361+COMEDOR!Z361+JORNADA!Z361+'DIETOLOGÍA(S)'!Z361)</f>
        <v>0</v>
      </c>
      <c r="AA361" s="6">
        <f>SUM(PACIENTES!AA361+COMEDOR!AA361+JORNADA!AA361+'DIETOLOGÍA(S)'!AA361)</f>
        <v>0</v>
      </c>
      <c r="AB361" s="6">
        <f>SUM(PACIENTES!AB361+COMEDOR!AB361+JORNADA!AB361+'DIETOLOGÍA(S)'!AB361)</f>
        <v>0</v>
      </c>
      <c r="AC361" s="6">
        <f>SUM(PACIENTES!AC361+COMEDOR!AC361+JORNADA!AC361+'DIETOLOGÍA(S)'!AC361)</f>
        <v>0</v>
      </c>
      <c r="AD361" s="6">
        <f>SUM(PACIENTES!AD361+COMEDOR!AD361+JORNADA!AD361+'DIETOLOGÍA(S)'!AD361)</f>
        <v>0</v>
      </c>
      <c r="AE361" s="6">
        <f>SUM(PACIENTES!AE361+COMEDOR!AE361+JORNADA!AE361+'DIETOLOGÍA(S)'!AE361)</f>
        <v>3</v>
      </c>
      <c r="AF361" s="6">
        <f>SUM(PACIENTES!AF361+COMEDOR!AF361+JORNADA!AF361+'DIETOLOGÍA(S)'!AF361)</f>
        <v>0</v>
      </c>
      <c r="AG361" s="6">
        <f>SUM(PACIENTES!AG361+COMEDOR!AG361+JORNADA!AG361+'DIETOLOGÍA(S)'!AG361)</f>
        <v>0</v>
      </c>
      <c r="AH361" s="6">
        <f>SUM(PACIENTES!AH361+COMEDOR!AH361+JORNADA!AH361+'DIETOLOGÍA(S)'!AH361)</f>
        <v>0</v>
      </c>
      <c r="AI361" s="9">
        <f t="shared" si="11"/>
        <v>12</v>
      </c>
    </row>
    <row r="362" spans="1:35" ht="15.75" customHeight="1">
      <c r="A362" s="259">
        <v>2212001146</v>
      </c>
      <c r="B362" s="263" t="s">
        <v>376</v>
      </c>
      <c r="C362" s="261" t="s">
        <v>296</v>
      </c>
      <c r="D362" s="6">
        <f>SUM(PACIENTES!D362+COMEDOR!D362+JORNADA!D362+'DIETOLOGÍA(S)'!D362)</f>
        <v>0</v>
      </c>
      <c r="E362" s="6">
        <f>SUM(PACIENTES!E362+COMEDOR!E362+JORNADA!E362+'DIETOLOGÍA(S)'!E362)</f>
        <v>0</v>
      </c>
      <c r="F362" s="6">
        <f>SUM(PACIENTES!F362+COMEDOR!F362+JORNADA!F362+'DIETOLOGÍA(S)'!F362)</f>
        <v>0</v>
      </c>
      <c r="G362" s="6">
        <f>SUM(PACIENTES!G362+COMEDOR!G362+JORNADA!G362+'DIETOLOGÍA(S)'!G362)</f>
        <v>0</v>
      </c>
      <c r="H362" s="6">
        <f>SUM(PACIENTES!H362+COMEDOR!H362+JORNADA!H362+'DIETOLOGÍA(S)'!H362)</f>
        <v>0</v>
      </c>
      <c r="I362" s="6">
        <f>SUM(PACIENTES!I362+COMEDOR!I362+JORNADA!I362+'DIETOLOGÍA(S)'!I362)</f>
        <v>0</v>
      </c>
      <c r="J362" s="6">
        <f>SUM(PACIENTES!J362+COMEDOR!J362+JORNADA!J362+'DIETOLOGÍA(S)'!J362)</f>
        <v>0</v>
      </c>
      <c r="K362" s="6">
        <f>SUM(PACIENTES!K362+COMEDOR!K362+JORNADA!K362+'DIETOLOGÍA(S)'!K362)</f>
        <v>0</v>
      </c>
      <c r="L362" s="6">
        <f>SUM(PACIENTES!L362+COMEDOR!L362+JORNADA!L362+'DIETOLOGÍA(S)'!L362)</f>
        <v>0</v>
      </c>
      <c r="M362" s="6">
        <f>SUM(PACIENTES!M362+COMEDOR!M362+JORNADA!M362+'DIETOLOGÍA(S)'!M362)</f>
        <v>0</v>
      </c>
      <c r="N362" s="6">
        <f>SUM(PACIENTES!N362+COMEDOR!N362+JORNADA!N362+'DIETOLOGÍA(S)'!N362)</f>
        <v>0</v>
      </c>
      <c r="O362" s="6">
        <f>SUM(PACIENTES!O362+COMEDOR!O362+JORNADA!O362+'DIETOLOGÍA(S)'!O362)</f>
        <v>0</v>
      </c>
      <c r="P362" s="6">
        <f>SUM(PACIENTES!P362+COMEDOR!P362+JORNADA!P362+'DIETOLOGÍA(S)'!P362)</f>
        <v>0</v>
      </c>
      <c r="Q362" s="6">
        <f>SUM(PACIENTES!Q362+COMEDOR!Q362+JORNADA!Q362+'DIETOLOGÍA(S)'!Q362)</f>
        <v>0</v>
      </c>
      <c r="R362" s="6">
        <f>SUM(PACIENTES!R362+COMEDOR!R362+JORNADA!R362+'DIETOLOGÍA(S)'!R362)</f>
        <v>0</v>
      </c>
      <c r="S362" s="6">
        <f>SUM(PACIENTES!S362+COMEDOR!S362+JORNADA!S362+'DIETOLOGÍA(S)'!S362)</f>
        <v>0</v>
      </c>
      <c r="T362" s="6">
        <f>SUM(PACIENTES!T362+COMEDOR!T362+JORNADA!T362+'DIETOLOGÍA(S)'!T362)</f>
        <v>0</v>
      </c>
      <c r="U362" s="6">
        <f>SUM(PACIENTES!U362+COMEDOR!U362+JORNADA!U362+'DIETOLOGÍA(S)'!U362)</f>
        <v>0</v>
      </c>
      <c r="V362" s="6">
        <f>SUM(PACIENTES!V362+COMEDOR!V362+JORNADA!V362+'DIETOLOGÍA(S)'!V362)</f>
        <v>0</v>
      </c>
      <c r="W362" s="6">
        <f>SUM(PACIENTES!W362+COMEDOR!W362+JORNADA!W362+'DIETOLOGÍA(S)'!W362)</f>
        <v>0</v>
      </c>
      <c r="X362" s="6">
        <f>SUM(PACIENTES!X362+COMEDOR!X362+JORNADA!X362+'DIETOLOGÍA(S)'!X362)</f>
        <v>0</v>
      </c>
      <c r="Y362" s="6">
        <f>SUM(PACIENTES!Y362+COMEDOR!Y362+JORNADA!Y362+'DIETOLOGÍA(S)'!Y362)</f>
        <v>0</v>
      </c>
      <c r="Z362" s="6">
        <f>SUM(PACIENTES!Z362+COMEDOR!Z362+JORNADA!Z362+'DIETOLOGÍA(S)'!Z362)</f>
        <v>0</v>
      </c>
      <c r="AA362" s="6">
        <f>SUM(PACIENTES!AA362+COMEDOR!AA362+JORNADA!AA362+'DIETOLOGÍA(S)'!AA362)</f>
        <v>0</v>
      </c>
      <c r="AB362" s="6">
        <f>SUM(PACIENTES!AB362+COMEDOR!AB362+JORNADA!AB362+'DIETOLOGÍA(S)'!AB362)</f>
        <v>0</v>
      </c>
      <c r="AC362" s="6">
        <f>SUM(PACIENTES!AC362+COMEDOR!AC362+JORNADA!AC362+'DIETOLOGÍA(S)'!AC362)</f>
        <v>0</v>
      </c>
      <c r="AD362" s="6">
        <f>SUM(PACIENTES!AD362+COMEDOR!AD362+JORNADA!AD362+'DIETOLOGÍA(S)'!AD362)</f>
        <v>0</v>
      </c>
      <c r="AE362" s="6">
        <f>SUM(PACIENTES!AE362+COMEDOR!AE362+JORNADA!AE362+'DIETOLOGÍA(S)'!AE362)</f>
        <v>0</v>
      </c>
      <c r="AF362" s="6">
        <f>SUM(PACIENTES!AF362+COMEDOR!AF362+JORNADA!AF362+'DIETOLOGÍA(S)'!AF362)</f>
        <v>0</v>
      </c>
      <c r="AG362" s="6">
        <f>SUM(PACIENTES!AG362+COMEDOR!AG362+JORNADA!AG362+'DIETOLOGÍA(S)'!AG362)</f>
        <v>0</v>
      </c>
      <c r="AH362" s="6">
        <f>SUM(PACIENTES!AH362+COMEDOR!AH362+JORNADA!AH362+'DIETOLOGÍA(S)'!AH362)</f>
        <v>0</v>
      </c>
      <c r="AI362" s="9">
        <f t="shared" si="11"/>
        <v>0</v>
      </c>
    </row>
    <row r="363" spans="1:35" ht="15.75" customHeight="1">
      <c r="A363" s="238">
        <v>2212001151</v>
      </c>
      <c r="B363" s="239" t="s">
        <v>377</v>
      </c>
      <c r="C363" s="240" t="s">
        <v>267</v>
      </c>
      <c r="D363" s="6">
        <f>SUM(PACIENTES!D363+COMEDOR!D363+JORNADA!D363+'DIETOLOGÍA(S)'!D363)</f>
        <v>0</v>
      </c>
      <c r="E363" s="6">
        <f>SUM(PACIENTES!E363+COMEDOR!E363+JORNADA!E363+'DIETOLOGÍA(S)'!E363)</f>
        <v>0</v>
      </c>
      <c r="F363" s="6">
        <f>SUM(PACIENTES!F363+COMEDOR!F363+JORNADA!F363+'DIETOLOGÍA(S)'!F363)</f>
        <v>0</v>
      </c>
      <c r="G363" s="6">
        <f>SUM(PACIENTES!G363+COMEDOR!G363+JORNADA!G363+'DIETOLOGÍA(S)'!G363)</f>
        <v>0</v>
      </c>
      <c r="H363" s="6">
        <f>SUM(PACIENTES!H363+COMEDOR!H363+JORNADA!H363+'DIETOLOGÍA(S)'!H363)</f>
        <v>0</v>
      </c>
      <c r="I363" s="6">
        <f>SUM(PACIENTES!I363+COMEDOR!I363+JORNADA!I363+'DIETOLOGÍA(S)'!I363)</f>
        <v>0</v>
      </c>
      <c r="J363" s="6">
        <f>SUM(PACIENTES!J363+COMEDOR!J363+JORNADA!J363+'DIETOLOGÍA(S)'!J363)</f>
        <v>0</v>
      </c>
      <c r="K363" s="6">
        <f>SUM(PACIENTES!K363+COMEDOR!K363+JORNADA!K363+'DIETOLOGÍA(S)'!K363)</f>
        <v>0</v>
      </c>
      <c r="L363" s="6">
        <f>SUM(PACIENTES!L363+COMEDOR!L363+JORNADA!L363+'DIETOLOGÍA(S)'!L363)</f>
        <v>0</v>
      </c>
      <c r="M363" s="6">
        <f>SUM(PACIENTES!M363+COMEDOR!M363+JORNADA!M363+'DIETOLOGÍA(S)'!M363)</f>
        <v>0</v>
      </c>
      <c r="N363" s="6">
        <f>SUM(PACIENTES!N363+COMEDOR!N363+JORNADA!N363+'DIETOLOGÍA(S)'!N363)</f>
        <v>0</v>
      </c>
      <c r="O363" s="6">
        <f>SUM(PACIENTES!O363+COMEDOR!O363+JORNADA!O363+'DIETOLOGÍA(S)'!O363)</f>
        <v>0</v>
      </c>
      <c r="P363" s="6">
        <f>SUM(PACIENTES!P363+COMEDOR!P363+JORNADA!P363+'DIETOLOGÍA(S)'!P363)</f>
        <v>0</v>
      </c>
      <c r="Q363" s="6">
        <f>SUM(PACIENTES!Q363+COMEDOR!Q363+JORNADA!Q363+'DIETOLOGÍA(S)'!Q363)</f>
        <v>0</v>
      </c>
      <c r="R363" s="6">
        <f>SUM(PACIENTES!R363+COMEDOR!R363+JORNADA!R363+'DIETOLOGÍA(S)'!R363)</f>
        <v>0</v>
      </c>
      <c r="S363" s="6">
        <f>SUM(PACIENTES!S363+COMEDOR!S363+JORNADA!S363+'DIETOLOGÍA(S)'!S363)</f>
        <v>0</v>
      </c>
      <c r="T363" s="6">
        <f>SUM(PACIENTES!T363+COMEDOR!T363+JORNADA!T363+'DIETOLOGÍA(S)'!T363)</f>
        <v>0</v>
      </c>
      <c r="U363" s="6">
        <f>SUM(PACIENTES!U363+COMEDOR!U363+JORNADA!U363+'DIETOLOGÍA(S)'!U363)</f>
        <v>0</v>
      </c>
      <c r="V363" s="6">
        <f>SUM(PACIENTES!V363+COMEDOR!V363+JORNADA!V363+'DIETOLOGÍA(S)'!V363)</f>
        <v>0</v>
      </c>
      <c r="W363" s="6">
        <f>SUM(PACIENTES!W363+COMEDOR!W363+JORNADA!W363+'DIETOLOGÍA(S)'!W363)</f>
        <v>0</v>
      </c>
      <c r="X363" s="6">
        <f>SUM(PACIENTES!X363+COMEDOR!X363+JORNADA!X363+'DIETOLOGÍA(S)'!X363)</f>
        <v>0</v>
      </c>
      <c r="Y363" s="6">
        <f>SUM(PACIENTES!Y363+COMEDOR!Y363+JORNADA!Y363+'DIETOLOGÍA(S)'!Y363)</f>
        <v>0</v>
      </c>
      <c r="Z363" s="6">
        <f>SUM(PACIENTES!Z363+COMEDOR!Z363+JORNADA!Z363+'DIETOLOGÍA(S)'!Z363)</f>
        <v>0</v>
      </c>
      <c r="AA363" s="6">
        <f>SUM(PACIENTES!AA363+COMEDOR!AA363+JORNADA!AA363+'DIETOLOGÍA(S)'!AA363)</f>
        <v>0</v>
      </c>
      <c r="AB363" s="6">
        <f>SUM(PACIENTES!AB363+COMEDOR!AB363+JORNADA!AB363+'DIETOLOGÍA(S)'!AB363)</f>
        <v>0</v>
      </c>
      <c r="AC363" s="6">
        <f>SUM(PACIENTES!AC363+COMEDOR!AC363+JORNADA!AC363+'DIETOLOGÍA(S)'!AC363)</f>
        <v>0</v>
      </c>
      <c r="AD363" s="6">
        <f>SUM(PACIENTES!AD363+COMEDOR!AD363+JORNADA!AD363+'DIETOLOGÍA(S)'!AD363)</f>
        <v>0</v>
      </c>
      <c r="AE363" s="6">
        <f>SUM(PACIENTES!AE363+COMEDOR!AE363+JORNADA!AE363+'DIETOLOGÍA(S)'!AE363)</f>
        <v>0</v>
      </c>
      <c r="AF363" s="6">
        <f>SUM(PACIENTES!AF363+COMEDOR!AF363+JORNADA!AF363+'DIETOLOGÍA(S)'!AF363)</f>
        <v>0</v>
      </c>
      <c r="AG363" s="6">
        <f>SUM(PACIENTES!AG363+COMEDOR!AG363+JORNADA!AG363+'DIETOLOGÍA(S)'!AG363)</f>
        <v>0</v>
      </c>
      <c r="AH363" s="6">
        <f>SUM(PACIENTES!AH363+COMEDOR!AH363+JORNADA!AH363+'DIETOLOGÍA(S)'!AH363)</f>
        <v>0</v>
      </c>
      <c r="AI363" s="9">
        <f t="shared" si="11"/>
        <v>0</v>
      </c>
    </row>
    <row r="364" spans="1:35" ht="15.75" customHeight="1">
      <c r="A364" s="238">
        <v>2212001152</v>
      </c>
      <c r="B364" s="239" t="s">
        <v>378</v>
      </c>
      <c r="C364" s="240" t="s">
        <v>379</v>
      </c>
      <c r="D364" s="6">
        <f>SUM(PACIENTES!D364+COMEDOR!D364+JORNADA!D364+'DIETOLOGÍA(S)'!D364+'NUTRICIÓN CLÍNICA'!D16)</f>
        <v>0</v>
      </c>
      <c r="E364" s="6">
        <f>SUM(PACIENTES!E364+COMEDOR!E364+JORNADA!E364+'DIETOLOGÍA(S)'!E364+'NUTRICIÓN CLÍNICA'!E16)</f>
        <v>0</v>
      </c>
      <c r="F364" s="6">
        <f>SUM(PACIENTES!F364+COMEDOR!F364+JORNADA!F364+'DIETOLOGÍA(S)'!F364+'NUTRICIÓN CLÍNICA'!F16)</f>
        <v>0</v>
      </c>
      <c r="G364" s="6">
        <f>SUM(PACIENTES!G364+COMEDOR!G364+JORNADA!G364+'DIETOLOGÍA(S)'!G364+'NUTRICIÓN CLÍNICA'!G16)</f>
        <v>0</v>
      </c>
      <c r="H364" s="6">
        <f>SUM(PACIENTES!H364+COMEDOR!H364+JORNADA!H364+'DIETOLOGÍA(S)'!H364+'NUTRICIÓN CLÍNICA'!H16)</f>
        <v>0</v>
      </c>
      <c r="I364" s="6">
        <f>SUM(PACIENTES!I364+COMEDOR!I364+JORNADA!I364+'DIETOLOGÍA(S)'!I364+'NUTRICIÓN CLÍNICA'!I16)</f>
        <v>0</v>
      </c>
      <c r="J364" s="6">
        <f>SUM(PACIENTES!J364+COMEDOR!J364+JORNADA!J364+'DIETOLOGÍA(S)'!J364+'NUTRICIÓN CLÍNICA'!J16)</f>
        <v>50</v>
      </c>
      <c r="K364" s="6">
        <f>SUM(PACIENTES!K364+COMEDOR!K364+JORNADA!K364+'DIETOLOGÍA(S)'!K364+'NUTRICIÓN CLÍNICA'!K16)</f>
        <v>0</v>
      </c>
      <c r="L364" s="6">
        <f>SUM(PACIENTES!L364+COMEDOR!L364+JORNADA!L364+'DIETOLOGÍA(S)'!L364+'NUTRICIÓN CLÍNICA'!L16)</f>
        <v>0</v>
      </c>
      <c r="M364" s="6">
        <f>SUM(PACIENTES!M364+COMEDOR!M364+JORNADA!M364+'DIETOLOGÍA(S)'!M364+'NUTRICIÓN CLÍNICA'!M16)</f>
        <v>0</v>
      </c>
      <c r="N364" s="6">
        <f>SUM(PACIENTES!N364+COMEDOR!N364+JORNADA!N364+'DIETOLOGÍA(S)'!N364+'NUTRICIÓN CLÍNICA'!N16)</f>
        <v>0</v>
      </c>
      <c r="O364" s="6">
        <f>SUM(PACIENTES!O364+COMEDOR!O364+JORNADA!O364+'DIETOLOGÍA(S)'!O364+'NUTRICIÓN CLÍNICA'!O16)</f>
        <v>0</v>
      </c>
      <c r="P364" s="6">
        <f>SUM(PACIENTES!P364+COMEDOR!P364+JORNADA!P364+'DIETOLOGÍA(S)'!P364+'NUTRICIÓN CLÍNICA'!P16)</f>
        <v>0</v>
      </c>
      <c r="Q364" s="6">
        <f>SUM(PACIENTES!Q364+COMEDOR!Q364+JORNADA!Q364+'DIETOLOGÍA(S)'!Q364+'NUTRICIÓN CLÍNICA'!Q16)</f>
        <v>0</v>
      </c>
      <c r="R364" s="6">
        <f>SUM(PACIENTES!R364+COMEDOR!R364+JORNADA!R364+'DIETOLOGÍA(S)'!R364+'NUTRICIÓN CLÍNICA'!R16)</f>
        <v>0</v>
      </c>
      <c r="S364" s="6">
        <f>SUM(PACIENTES!S364+COMEDOR!S364+JORNADA!S364+'DIETOLOGÍA(S)'!S364+'NUTRICIÓN CLÍNICA'!S16)</f>
        <v>0</v>
      </c>
      <c r="T364" s="6">
        <f>SUM(PACIENTES!T364+COMEDOR!T364+JORNADA!T364+'DIETOLOGÍA(S)'!T364+'NUTRICIÓN CLÍNICA'!T16)</f>
        <v>0</v>
      </c>
      <c r="U364" s="6">
        <f>SUM(PACIENTES!U364+COMEDOR!U364+JORNADA!U364+'DIETOLOGÍA(S)'!U364+'NUTRICIÓN CLÍNICA'!U16)</f>
        <v>0</v>
      </c>
      <c r="V364" s="6">
        <f>SUM(PACIENTES!V364+COMEDOR!V364+JORNADA!V364+'DIETOLOGÍA(S)'!V364+'NUTRICIÓN CLÍNICA'!V16)</f>
        <v>0</v>
      </c>
      <c r="W364" s="6">
        <f>SUM(PACIENTES!W364+COMEDOR!W364+JORNADA!W364+'DIETOLOGÍA(S)'!W364+'NUTRICIÓN CLÍNICA'!W16)</f>
        <v>0</v>
      </c>
      <c r="X364" s="6">
        <f>SUM(PACIENTES!X364+COMEDOR!X364+JORNADA!X364+'DIETOLOGÍA(S)'!X364+'NUTRICIÓN CLÍNICA'!X16)</f>
        <v>0</v>
      </c>
      <c r="Y364" s="6">
        <f>SUM(PACIENTES!Y364+COMEDOR!Y364+JORNADA!Y364+'DIETOLOGÍA(S)'!Y364+'NUTRICIÓN CLÍNICA'!Y16)</f>
        <v>0</v>
      </c>
      <c r="Z364" s="6">
        <f>SUM(PACIENTES!Z364+COMEDOR!Z364+JORNADA!Z364+'DIETOLOGÍA(S)'!Z364+'NUTRICIÓN CLÍNICA'!Z16)</f>
        <v>0</v>
      </c>
      <c r="AA364" s="6">
        <f>SUM(PACIENTES!AA364+COMEDOR!AA364+JORNADA!AA364+'DIETOLOGÍA(S)'!AA364+'NUTRICIÓN CLÍNICA'!AA16)</f>
        <v>0</v>
      </c>
      <c r="AB364" s="6">
        <f>SUM(PACIENTES!AB364+COMEDOR!AB364+JORNADA!AB364+'DIETOLOGÍA(S)'!AB364+'NUTRICIÓN CLÍNICA'!AB16)</f>
        <v>0</v>
      </c>
      <c r="AC364" s="6">
        <f>SUM(PACIENTES!AC364+COMEDOR!AC364+JORNADA!AC364+'DIETOLOGÍA(S)'!AC364+'NUTRICIÓN CLÍNICA'!AC16)</f>
        <v>0</v>
      </c>
      <c r="AD364" s="6">
        <f>SUM(PACIENTES!AD364+COMEDOR!AD364+JORNADA!AD364+'DIETOLOGÍA(S)'!AD364+'NUTRICIÓN CLÍNICA'!AD16)</f>
        <v>0</v>
      </c>
      <c r="AE364" s="6">
        <f>SUM(PACIENTES!AE364+COMEDOR!AE364+JORNADA!AE364+'DIETOLOGÍA(S)'!AE364+'NUTRICIÓN CLÍNICA'!AE16)</f>
        <v>0</v>
      </c>
      <c r="AF364" s="6">
        <f>SUM(PACIENTES!AF364+COMEDOR!AF364+JORNADA!AF364+'DIETOLOGÍA(S)'!AF364+'NUTRICIÓN CLÍNICA'!AF16)</f>
        <v>0</v>
      </c>
      <c r="AG364" s="6">
        <f>SUM(PACIENTES!AG364+COMEDOR!AG364+JORNADA!AG364+'DIETOLOGÍA(S)'!AG364+'NUTRICIÓN CLÍNICA'!AG16)</f>
        <v>0</v>
      </c>
      <c r="AH364" s="6">
        <f>SUM(PACIENTES!AH364+COMEDOR!AH364+JORNADA!AH364+'DIETOLOGÍA(S)'!AH364+'NUTRICIÓN CLÍNICA'!AH16)</f>
        <v>0</v>
      </c>
      <c r="AI364" s="9">
        <f t="shared" si="11"/>
        <v>50</v>
      </c>
    </row>
    <row r="365" spans="1:35" ht="15.75" customHeight="1">
      <c r="A365" s="238">
        <v>2212001155</v>
      </c>
      <c r="B365" s="239" t="s">
        <v>380</v>
      </c>
      <c r="C365" s="240" t="s">
        <v>177</v>
      </c>
      <c r="D365" s="6">
        <f>SUM(PACIENTES!D365+COMEDOR!D365+JORNADA!D365+'DIETOLOGÍA(S)'!D365)</f>
        <v>0</v>
      </c>
      <c r="E365" s="6">
        <f>SUM(PACIENTES!E365+COMEDOR!E365+JORNADA!E365+'DIETOLOGÍA(S)'!E365)</f>
        <v>0</v>
      </c>
      <c r="F365" s="6">
        <f>SUM(PACIENTES!F365+COMEDOR!F365+JORNADA!F365+'DIETOLOGÍA(S)'!F365)</f>
        <v>0</v>
      </c>
      <c r="G365" s="6">
        <f>SUM(PACIENTES!G365+COMEDOR!G365+JORNADA!G365+'DIETOLOGÍA(S)'!G365)</f>
        <v>0</v>
      </c>
      <c r="H365" s="6">
        <f>SUM(PACIENTES!H365+COMEDOR!H365+JORNADA!H365+'DIETOLOGÍA(S)'!H365)</f>
        <v>0</v>
      </c>
      <c r="I365" s="6">
        <f>SUM(PACIENTES!I365+COMEDOR!I365+JORNADA!I365+'DIETOLOGÍA(S)'!I365)</f>
        <v>0</v>
      </c>
      <c r="J365" s="6">
        <f>SUM(PACIENTES!J365+COMEDOR!J365+JORNADA!J365+'DIETOLOGÍA(S)'!J365)</f>
        <v>12</v>
      </c>
      <c r="K365" s="6">
        <f>SUM(PACIENTES!K365+COMEDOR!K365+JORNADA!K365+'DIETOLOGÍA(S)'!K365)</f>
        <v>0</v>
      </c>
      <c r="L365" s="6">
        <f>SUM(PACIENTES!L365+COMEDOR!L365+JORNADA!L365+'DIETOLOGÍA(S)'!L365)</f>
        <v>0</v>
      </c>
      <c r="M365" s="6">
        <f>SUM(PACIENTES!M365+COMEDOR!M365+JORNADA!M365+'DIETOLOGÍA(S)'!M365)</f>
        <v>0</v>
      </c>
      <c r="N365" s="6">
        <f>SUM(PACIENTES!N365+COMEDOR!N365+JORNADA!N365+'DIETOLOGÍA(S)'!N365)</f>
        <v>0</v>
      </c>
      <c r="O365" s="6">
        <f>SUM(PACIENTES!O365+COMEDOR!O365+JORNADA!O365+'DIETOLOGÍA(S)'!O365)</f>
        <v>0</v>
      </c>
      <c r="P365" s="6">
        <f>SUM(PACIENTES!P365+COMEDOR!P365+JORNADA!P365+'DIETOLOGÍA(S)'!P365)</f>
        <v>0</v>
      </c>
      <c r="Q365" s="6">
        <f>SUM(PACIENTES!Q365+COMEDOR!Q365+JORNADA!Q365+'DIETOLOGÍA(S)'!Q365)</f>
        <v>12</v>
      </c>
      <c r="R365" s="6">
        <f>SUM(PACIENTES!R365+COMEDOR!R365+JORNADA!R365+'DIETOLOGÍA(S)'!R365)</f>
        <v>0</v>
      </c>
      <c r="S365" s="6">
        <f>SUM(PACIENTES!S365+COMEDOR!S365+JORNADA!S365+'DIETOLOGÍA(S)'!S365)</f>
        <v>0</v>
      </c>
      <c r="T365" s="6">
        <f>SUM(PACIENTES!T365+COMEDOR!T365+JORNADA!T365+'DIETOLOGÍA(S)'!T365)</f>
        <v>0</v>
      </c>
      <c r="U365" s="6">
        <f>SUM(PACIENTES!U365+COMEDOR!U365+JORNADA!U365+'DIETOLOGÍA(S)'!U365)</f>
        <v>0</v>
      </c>
      <c r="V365" s="6">
        <f>SUM(PACIENTES!V365+COMEDOR!V365+JORNADA!V365+'DIETOLOGÍA(S)'!V365)</f>
        <v>0</v>
      </c>
      <c r="W365" s="6">
        <f>SUM(PACIENTES!W365+COMEDOR!W365+JORNADA!W365+'DIETOLOGÍA(S)'!W365)</f>
        <v>0</v>
      </c>
      <c r="X365" s="6">
        <f>SUM(PACIENTES!X365+COMEDOR!X365+JORNADA!X365+'DIETOLOGÍA(S)'!X365)</f>
        <v>12</v>
      </c>
      <c r="Y365" s="6">
        <f>SUM(PACIENTES!Y365+COMEDOR!Y365+JORNADA!Y365+'DIETOLOGÍA(S)'!Y365)</f>
        <v>0</v>
      </c>
      <c r="Z365" s="6">
        <f>SUM(PACIENTES!Z365+COMEDOR!Z365+JORNADA!Z365+'DIETOLOGÍA(S)'!Z365)</f>
        <v>0</v>
      </c>
      <c r="AA365" s="6">
        <f>SUM(PACIENTES!AA365+COMEDOR!AA365+JORNADA!AA365+'DIETOLOGÍA(S)'!AA365)</f>
        <v>0</v>
      </c>
      <c r="AB365" s="6">
        <f>SUM(PACIENTES!AB365+COMEDOR!AB365+JORNADA!AB365+'DIETOLOGÍA(S)'!AB365)</f>
        <v>0</v>
      </c>
      <c r="AC365" s="6">
        <f>SUM(PACIENTES!AC365+COMEDOR!AC365+JORNADA!AC365+'DIETOLOGÍA(S)'!AC365)</f>
        <v>0</v>
      </c>
      <c r="AD365" s="6">
        <f>SUM(PACIENTES!AD365+COMEDOR!AD365+JORNADA!AD365+'DIETOLOGÍA(S)'!AD365)</f>
        <v>0</v>
      </c>
      <c r="AE365" s="6">
        <f>SUM(PACIENTES!AE365+COMEDOR!AE365+JORNADA!AE365+'DIETOLOGÍA(S)'!AE365)</f>
        <v>12</v>
      </c>
      <c r="AF365" s="6">
        <f>SUM(PACIENTES!AF365+COMEDOR!AF365+JORNADA!AF365+'DIETOLOGÍA(S)'!AF365)</f>
        <v>0</v>
      </c>
      <c r="AG365" s="6">
        <f>SUM(PACIENTES!AG365+COMEDOR!AG365+JORNADA!AG365+'DIETOLOGÍA(S)'!AG365)</f>
        <v>0</v>
      </c>
      <c r="AH365" s="6">
        <f>SUM(PACIENTES!AH365+COMEDOR!AH365+JORNADA!AH365+'DIETOLOGÍA(S)'!AH365)</f>
        <v>0</v>
      </c>
      <c r="AI365" s="9">
        <f t="shared" si="11"/>
        <v>48</v>
      </c>
    </row>
    <row r="366" spans="1:35" ht="15.75" customHeight="1">
      <c r="A366" s="238">
        <v>2212001159</v>
      </c>
      <c r="B366" s="239" t="s">
        <v>381</v>
      </c>
      <c r="C366" s="240" t="s">
        <v>175</v>
      </c>
      <c r="D366" s="6">
        <f>SUM(PACIENTES!D366+COMEDOR!D366+JORNADA!D366+'DIETOLOGÍA(S)'!D366)</f>
        <v>0</v>
      </c>
      <c r="E366" s="6">
        <f>SUM(PACIENTES!E366+COMEDOR!E366+JORNADA!E366+'DIETOLOGÍA(S)'!E366)</f>
        <v>0</v>
      </c>
      <c r="F366" s="6">
        <f>SUM(PACIENTES!F366+COMEDOR!F366+JORNADA!F366+'DIETOLOGÍA(S)'!F366)</f>
        <v>0</v>
      </c>
      <c r="G366" s="6">
        <f>SUM(PACIENTES!G366+COMEDOR!G366+JORNADA!G366+'DIETOLOGÍA(S)'!G366)</f>
        <v>0</v>
      </c>
      <c r="H366" s="6">
        <f>SUM(PACIENTES!H366+COMEDOR!H366+JORNADA!H366+'DIETOLOGÍA(S)'!H366)</f>
        <v>0</v>
      </c>
      <c r="I366" s="6">
        <f>SUM(PACIENTES!I366+COMEDOR!I366+JORNADA!I366+'DIETOLOGÍA(S)'!I366)</f>
        <v>0</v>
      </c>
      <c r="J366" s="6">
        <f>SUM(PACIENTES!J366+COMEDOR!J366+JORNADA!J366+'DIETOLOGÍA(S)'!J366)</f>
        <v>1</v>
      </c>
      <c r="K366" s="6">
        <f>SUM(PACIENTES!K366+COMEDOR!K366+JORNADA!K366+'DIETOLOGÍA(S)'!K366)</f>
        <v>0</v>
      </c>
      <c r="L366" s="6">
        <f>SUM(PACIENTES!L366+COMEDOR!L366+JORNADA!L366+'DIETOLOGÍA(S)'!L366)</f>
        <v>0</v>
      </c>
      <c r="M366" s="6">
        <f>SUM(PACIENTES!M366+COMEDOR!M366+JORNADA!M366+'DIETOLOGÍA(S)'!M366)</f>
        <v>0</v>
      </c>
      <c r="N366" s="6">
        <f>SUM(PACIENTES!N366+COMEDOR!N366+JORNADA!N366+'DIETOLOGÍA(S)'!N366)</f>
        <v>0</v>
      </c>
      <c r="O366" s="6">
        <f>SUM(PACIENTES!O366+COMEDOR!O366+JORNADA!O366+'DIETOLOGÍA(S)'!O366)</f>
        <v>0</v>
      </c>
      <c r="P366" s="6">
        <f>SUM(PACIENTES!P366+COMEDOR!P366+JORNADA!P366+'DIETOLOGÍA(S)'!P366)</f>
        <v>0</v>
      </c>
      <c r="Q366" s="6">
        <f>SUM(PACIENTES!Q366+COMEDOR!Q366+JORNADA!Q366+'DIETOLOGÍA(S)'!Q366)</f>
        <v>0</v>
      </c>
      <c r="R366" s="6">
        <f>SUM(PACIENTES!R366+COMEDOR!R366+JORNADA!R366+'DIETOLOGÍA(S)'!R366)</f>
        <v>0</v>
      </c>
      <c r="S366" s="6">
        <f>SUM(PACIENTES!S366+COMEDOR!S366+JORNADA!S366+'DIETOLOGÍA(S)'!S366)</f>
        <v>0</v>
      </c>
      <c r="T366" s="6">
        <f>SUM(PACIENTES!T366+COMEDOR!T366+JORNADA!T366+'DIETOLOGÍA(S)'!T366)</f>
        <v>0</v>
      </c>
      <c r="U366" s="6">
        <f>SUM(PACIENTES!U366+COMEDOR!U366+JORNADA!U366+'DIETOLOGÍA(S)'!U366)</f>
        <v>0</v>
      </c>
      <c r="V366" s="6">
        <f>SUM(PACIENTES!V366+COMEDOR!V366+JORNADA!V366+'DIETOLOGÍA(S)'!V366)</f>
        <v>0</v>
      </c>
      <c r="W366" s="6">
        <f>SUM(PACIENTES!W366+COMEDOR!W366+JORNADA!W366+'DIETOLOGÍA(S)'!W366)</f>
        <v>0</v>
      </c>
      <c r="X366" s="6">
        <f>SUM(PACIENTES!X366+COMEDOR!X366+JORNADA!X366+'DIETOLOGÍA(S)'!X366)</f>
        <v>0</v>
      </c>
      <c r="Y366" s="6">
        <f>SUM(PACIENTES!Y366+COMEDOR!Y366+JORNADA!Y366+'DIETOLOGÍA(S)'!Y366)</f>
        <v>0</v>
      </c>
      <c r="Z366" s="6">
        <f>SUM(PACIENTES!Z366+COMEDOR!Z366+JORNADA!Z366+'DIETOLOGÍA(S)'!Z366)</f>
        <v>0</v>
      </c>
      <c r="AA366" s="6">
        <f>SUM(PACIENTES!AA366+COMEDOR!AA366+JORNADA!AA366+'DIETOLOGÍA(S)'!AA366)</f>
        <v>0</v>
      </c>
      <c r="AB366" s="6">
        <f>SUM(PACIENTES!AB366+COMEDOR!AB366+JORNADA!AB366+'DIETOLOGÍA(S)'!AB366)</f>
        <v>0</v>
      </c>
      <c r="AC366" s="6">
        <f>SUM(PACIENTES!AC366+COMEDOR!AC366+JORNADA!AC366+'DIETOLOGÍA(S)'!AC366)</f>
        <v>0</v>
      </c>
      <c r="AD366" s="6">
        <f>SUM(PACIENTES!AD366+COMEDOR!AD366+JORNADA!AD366+'DIETOLOGÍA(S)'!AD366)</f>
        <v>0</v>
      </c>
      <c r="AE366" s="6">
        <f>SUM(PACIENTES!AE366+COMEDOR!AE366+JORNADA!AE366+'DIETOLOGÍA(S)'!AE366)</f>
        <v>1</v>
      </c>
      <c r="AF366" s="6">
        <f>SUM(PACIENTES!AF366+COMEDOR!AF366+JORNADA!AF366+'DIETOLOGÍA(S)'!AF366)</f>
        <v>0</v>
      </c>
      <c r="AG366" s="6">
        <f>SUM(PACIENTES!AG366+COMEDOR!AG366+JORNADA!AG366+'DIETOLOGÍA(S)'!AG366)</f>
        <v>0</v>
      </c>
      <c r="AH366" s="6">
        <f>SUM(PACIENTES!AH366+COMEDOR!AH366+JORNADA!AH366+'DIETOLOGÍA(S)'!AH366)</f>
        <v>0</v>
      </c>
      <c r="AI366" s="9">
        <f t="shared" si="11"/>
        <v>2</v>
      </c>
    </row>
    <row r="367" spans="1:35" ht="15.75" customHeight="1">
      <c r="A367" s="238">
        <v>2212001162</v>
      </c>
      <c r="B367" s="239" t="s">
        <v>382</v>
      </c>
      <c r="C367" s="240" t="s">
        <v>86</v>
      </c>
      <c r="D367" s="6">
        <f>SUM(PACIENTES!D367+COMEDOR!D367+JORNADA!D367+'DIETOLOGÍA(S)'!D367)</f>
        <v>0</v>
      </c>
      <c r="E367" s="6">
        <f>SUM(PACIENTES!E367+COMEDOR!E367+JORNADA!E367+'DIETOLOGÍA(S)'!E367)</f>
        <v>0</v>
      </c>
      <c r="F367" s="6">
        <f>SUM(PACIENTES!F367+COMEDOR!F367+JORNADA!F367+'DIETOLOGÍA(S)'!F367)</f>
        <v>0</v>
      </c>
      <c r="G367" s="6">
        <f>SUM(PACIENTES!G367+COMEDOR!G367+JORNADA!G367+'DIETOLOGÍA(S)'!G367)</f>
        <v>0</v>
      </c>
      <c r="H367" s="6">
        <f>SUM(PACIENTES!H367+COMEDOR!H367+JORNADA!H367+'DIETOLOGÍA(S)'!H367)</f>
        <v>0</v>
      </c>
      <c r="I367" s="6">
        <f>SUM(PACIENTES!I367+COMEDOR!I367+JORNADA!I367+'DIETOLOGÍA(S)'!I367)</f>
        <v>0</v>
      </c>
      <c r="J367" s="6">
        <f>SUM(PACIENTES!J367+COMEDOR!J367+JORNADA!J367+'DIETOLOGÍA(S)'!J367)</f>
        <v>1</v>
      </c>
      <c r="K367" s="6">
        <f>SUM(PACIENTES!K367+COMEDOR!K367+JORNADA!K367+'DIETOLOGÍA(S)'!K367)</f>
        <v>0</v>
      </c>
      <c r="L367" s="6">
        <f>SUM(PACIENTES!L367+COMEDOR!L367+JORNADA!L367+'DIETOLOGÍA(S)'!L367)</f>
        <v>0</v>
      </c>
      <c r="M367" s="6">
        <f>SUM(PACIENTES!M367+COMEDOR!M367+JORNADA!M367+'DIETOLOGÍA(S)'!M367)</f>
        <v>0</v>
      </c>
      <c r="N367" s="6">
        <f>SUM(PACIENTES!N367+COMEDOR!N367+JORNADA!N367+'DIETOLOGÍA(S)'!N367)</f>
        <v>0</v>
      </c>
      <c r="O367" s="6">
        <f>SUM(PACIENTES!O367+COMEDOR!O367+JORNADA!O367+'DIETOLOGÍA(S)'!O367)</f>
        <v>0</v>
      </c>
      <c r="P367" s="6">
        <f>SUM(PACIENTES!P367+COMEDOR!P367+JORNADA!P367+'DIETOLOGÍA(S)'!P367)</f>
        <v>0</v>
      </c>
      <c r="Q367" s="6">
        <f>SUM(PACIENTES!Q367+COMEDOR!Q367+JORNADA!Q367+'DIETOLOGÍA(S)'!Q367)</f>
        <v>0</v>
      </c>
      <c r="R367" s="6">
        <f>SUM(PACIENTES!R367+COMEDOR!R367+JORNADA!R367+'DIETOLOGÍA(S)'!R367)</f>
        <v>0</v>
      </c>
      <c r="S367" s="6">
        <f>SUM(PACIENTES!S367+COMEDOR!S367+JORNADA!S367+'DIETOLOGÍA(S)'!S367)</f>
        <v>0</v>
      </c>
      <c r="T367" s="6">
        <f>SUM(PACIENTES!T367+COMEDOR!T367+JORNADA!T367+'DIETOLOGÍA(S)'!T367)</f>
        <v>0</v>
      </c>
      <c r="U367" s="6">
        <f>SUM(PACIENTES!U367+COMEDOR!U367+JORNADA!U367+'DIETOLOGÍA(S)'!U367)</f>
        <v>0</v>
      </c>
      <c r="V367" s="6">
        <f>SUM(PACIENTES!V367+COMEDOR!V367+JORNADA!V367+'DIETOLOGÍA(S)'!V367)</f>
        <v>0</v>
      </c>
      <c r="W367" s="6">
        <f>SUM(PACIENTES!W367+COMEDOR!W367+JORNADA!W367+'DIETOLOGÍA(S)'!W367)</f>
        <v>0</v>
      </c>
      <c r="X367" s="6">
        <f>SUM(PACIENTES!X367+COMEDOR!X367+JORNADA!X367+'DIETOLOGÍA(S)'!X367)</f>
        <v>0</v>
      </c>
      <c r="Y367" s="6">
        <f>SUM(PACIENTES!Y367+COMEDOR!Y367+JORNADA!Y367+'DIETOLOGÍA(S)'!Y367)</f>
        <v>0</v>
      </c>
      <c r="Z367" s="6">
        <f>SUM(PACIENTES!Z367+COMEDOR!Z367+JORNADA!Z367+'DIETOLOGÍA(S)'!Z367)</f>
        <v>0</v>
      </c>
      <c r="AA367" s="6">
        <f>SUM(PACIENTES!AA367+COMEDOR!AA367+JORNADA!AA367+'DIETOLOGÍA(S)'!AA367)</f>
        <v>0</v>
      </c>
      <c r="AB367" s="6">
        <f>SUM(PACIENTES!AB367+COMEDOR!AB367+JORNADA!AB367+'DIETOLOGÍA(S)'!AB367)</f>
        <v>0</v>
      </c>
      <c r="AC367" s="6">
        <f>SUM(PACIENTES!AC367+COMEDOR!AC367+JORNADA!AC367+'DIETOLOGÍA(S)'!AC367)</f>
        <v>0</v>
      </c>
      <c r="AD367" s="6">
        <f>SUM(PACIENTES!AD367+COMEDOR!AD367+JORNADA!AD367+'DIETOLOGÍA(S)'!AD367)</f>
        <v>0</v>
      </c>
      <c r="AE367" s="6">
        <f>SUM(PACIENTES!AE367+COMEDOR!AE367+JORNADA!AE367+'DIETOLOGÍA(S)'!AE367)</f>
        <v>0</v>
      </c>
      <c r="AF367" s="6">
        <f>SUM(PACIENTES!AF367+COMEDOR!AF367+JORNADA!AF367+'DIETOLOGÍA(S)'!AF367)</f>
        <v>0</v>
      </c>
      <c r="AG367" s="6">
        <f>SUM(PACIENTES!AG367+COMEDOR!AG367+JORNADA!AG367+'DIETOLOGÍA(S)'!AG367)</f>
        <v>0</v>
      </c>
      <c r="AH367" s="6">
        <f>SUM(PACIENTES!AH367+COMEDOR!AH367+JORNADA!AH367+'DIETOLOGÍA(S)'!AH367)</f>
        <v>0</v>
      </c>
      <c r="AI367" s="9">
        <f t="shared" si="11"/>
        <v>1</v>
      </c>
    </row>
    <row r="368" spans="1:35" ht="15.75" customHeight="1">
      <c r="A368" s="238">
        <v>2212001163</v>
      </c>
      <c r="B368" s="239" t="s">
        <v>383</v>
      </c>
      <c r="C368" s="240" t="s">
        <v>384</v>
      </c>
      <c r="D368" s="6">
        <f>SUM(PACIENTES!D368+COMEDOR!D368+JORNADA!D368+'DIETOLOGÍA(S)'!D368)</f>
        <v>0</v>
      </c>
      <c r="E368" s="6">
        <f>SUM(PACIENTES!E368+COMEDOR!E368+JORNADA!E368+'DIETOLOGÍA(S)'!E368)</f>
        <v>0</v>
      </c>
      <c r="F368" s="6">
        <f>SUM(PACIENTES!F368+COMEDOR!F368+JORNADA!F368+'DIETOLOGÍA(S)'!F368)</f>
        <v>0</v>
      </c>
      <c r="G368" s="6">
        <f>SUM(PACIENTES!G368+COMEDOR!G368+JORNADA!G368+'DIETOLOGÍA(S)'!G368)</f>
        <v>0</v>
      </c>
      <c r="H368" s="6">
        <f>SUM(PACIENTES!H368+COMEDOR!H368+JORNADA!H368+'DIETOLOGÍA(S)'!H368)</f>
        <v>0</v>
      </c>
      <c r="I368" s="6">
        <f>SUM(PACIENTES!I368+COMEDOR!I368+JORNADA!I368+'DIETOLOGÍA(S)'!I368)</f>
        <v>0</v>
      </c>
      <c r="J368" s="6">
        <f>SUM(PACIENTES!J368+COMEDOR!J368+JORNADA!J368+'DIETOLOGÍA(S)'!J368)</f>
        <v>0</v>
      </c>
      <c r="K368" s="6">
        <f>SUM(PACIENTES!K368+COMEDOR!K368+JORNADA!K368+'DIETOLOGÍA(S)'!K368)</f>
        <v>0</v>
      </c>
      <c r="L368" s="6">
        <f>SUM(PACIENTES!L368+COMEDOR!L368+JORNADA!L368+'DIETOLOGÍA(S)'!L368)</f>
        <v>0</v>
      </c>
      <c r="M368" s="6">
        <f>SUM(PACIENTES!M368+COMEDOR!M368+JORNADA!M368+'DIETOLOGÍA(S)'!M368)</f>
        <v>0</v>
      </c>
      <c r="N368" s="6">
        <f>SUM(PACIENTES!N368+COMEDOR!N368+JORNADA!N368+'DIETOLOGÍA(S)'!N368)</f>
        <v>0</v>
      </c>
      <c r="O368" s="6">
        <f>SUM(PACIENTES!O368+COMEDOR!O368+JORNADA!O368+'DIETOLOGÍA(S)'!O368)</f>
        <v>0</v>
      </c>
      <c r="P368" s="6">
        <f>SUM(PACIENTES!P368+COMEDOR!P368+JORNADA!P368+'DIETOLOGÍA(S)'!P368)</f>
        <v>0</v>
      </c>
      <c r="Q368" s="6">
        <f>SUM(PACIENTES!Q368+COMEDOR!Q368+JORNADA!Q368+'DIETOLOGÍA(S)'!Q368)</f>
        <v>0</v>
      </c>
      <c r="R368" s="6">
        <f>SUM(PACIENTES!R368+COMEDOR!R368+JORNADA!R368+'DIETOLOGÍA(S)'!R368)</f>
        <v>0</v>
      </c>
      <c r="S368" s="6">
        <f>SUM(PACIENTES!S368+COMEDOR!S368+JORNADA!S368+'DIETOLOGÍA(S)'!S368)</f>
        <v>0</v>
      </c>
      <c r="T368" s="6">
        <f>SUM(PACIENTES!T368+COMEDOR!T368+JORNADA!T368+'DIETOLOGÍA(S)'!T368)</f>
        <v>0</v>
      </c>
      <c r="U368" s="6">
        <f>SUM(PACIENTES!U368+COMEDOR!U368+JORNADA!U368+'DIETOLOGÍA(S)'!U368)</f>
        <v>0</v>
      </c>
      <c r="V368" s="6">
        <f>SUM(PACIENTES!V368+COMEDOR!V368+JORNADA!V368+'DIETOLOGÍA(S)'!V368)</f>
        <v>0</v>
      </c>
      <c r="W368" s="6">
        <f>SUM(PACIENTES!W368+COMEDOR!W368+JORNADA!W368+'DIETOLOGÍA(S)'!W368)</f>
        <v>0</v>
      </c>
      <c r="X368" s="6">
        <f>SUM(PACIENTES!X368+COMEDOR!X368+JORNADA!X368+'DIETOLOGÍA(S)'!X368)</f>
        <v>0</v>
      </c>
      <c r="Y368" s="6">
        <f>SUM(PACIENTES!Y368+COMEDOR!Y368+JORNADA!Y368+'DIETOLOGÍA(S)'!Y368)</f>
        <v>0</v>
      </c>
      <c r="Z368" s="6">
        <f>SUM(PACIENTES!Z368+COMEDOR!Z368+JORNADA!Z368+'DIETOLOGÍA(S)'!Z368)</f>
        <v>0</v>
      </c>
      <c r="AA368" s="6">
        <f>SUM(PACIENTES!AA368+COMEDOR!AA368+JORNADA!AA368+'DIETOLOGÍA(S)'!AA368)</f>
        <v>0</v>
      </c>
      <c r="AB368" s="6">
        <f>SUM(PACIENTES!AB368+COMEDOR!AB368+JORNADA!AB368+'DIETOLOGÍA(S)'!AB368)</f>
        <v>0</v>
      </c>
      <c r="AC368" s="6">
        <f>SUM(PACIENTES!AC368+COMEDOR!AC368+JORNADA!AC368+'DIETOLOGÍA(S)'!AC368)</f>
        <v>0</v>
      </c>
      <c r="AD368" s="6">
        <f>SUM(PACIENTES!AD368+COMEDOR!AD368+JORNADA!AD368+'DIETOLOGÍA(S)'!AD368)</f>
        <v>0</v>
      </c>
      <c r="AE368" s="6">
        <f>SUM(PACIENTES!AE368+COMEDOR!AE368+JORNADA!AE368+'DIETOLOGÍA(S)'!AE368)</f>
        <v>0</v>
      </c>
      <c r="AF368" s="6">
        <f>SUM(PACIENTES!AF368+COMEDOR!AF368+JORNADA!AF368+'DIETOLOGÍA(S)'!AF368)</f>
        <v>0</v>
      </c>
      <c r="AG368" s="6">
        <f>SUM(PACIENTES!AG368+COMEDOR!AG368+JORNADA!AG368+'DIETOLOGÍA(S)'!AG368)</f>
        <v>0</v>
      </c>
      <c r="AH368" s="6">
        <f>SUM(PACIENTES!AH368+COMEDOR!AH368+JORNADA!AH368+'DIETOLOGÍA(S)'!AH368)</f>
        <v>0</v>
      </c>
      <c r="AI368" s="9">
        <f t="shared" si="11"/>
        <v>0</v>
      </c>
    </row>
    <row r="369" spans="1:35" ht="15.75" customHeight="1">
      <c r="A369" s="238">
        <v>2212001164</v>
      </c>
      <c r="B369" s="239" t="s">
        <v>385</v>
      </c>
      <c r="C369" s="240" t="s">
        <v>86</v>
      </c>
      <c r="D369" s="6">
        <f>SUM(PACIENTES!D369+COMEDOR!D369+JORNADA!D369+'DIETOLOGÍA(S)'!D369)</f>
        <v>0</v>
      </c>
      <c r="E369" s="6">
        <f>SUM(PACIENTES!E369+COMEDOR!E369+JORNADA!E369+'DIETOLOGÍA(S)'!E369)</f>
        <v>0</v>
      </c>
      <c r="F369" s="6">
        <f>SUM(PACIENTES!F369+COMEDOR!F369+JORNADA!F369+'DIETOLOGÍA(S)'!F369)</f>
        <v>0</v>
      </c>
      <c r="G369" s="6">
        <f>SUM(PACIENTES!G369+COMEDOR!G369+JORNADA!G369+'DIETOLOGÍA(S)'!G369)</f>
        <v>0</v>
      </c>
      <c r="H369" s="6">
        <f>SUM(PACIENTES!H369+COMEDOR!H369+JORNADA!H369+'DIETOLOGÍA(S)'!H369)</f>
        <v>0</v>
      </c>
      <c r="I369" s="6">
        <f>SUM(PACIENTES!I369+COMEDOR!I369+JORNADA!I369+'DIETOLOGÍA(S)'!I369)</f>
        <v>0</v>
      </c>
      <c r="J369" s="6">
        <f>SUM(PACIENTES!J369+COMEDOR!J369+JORNADA!J369+'DIETOLOGÍA(S)'!J369)</f>
        <v>0</v>
      </c>
      <c r="K369" s="6">
        <f>SUM(PACIENTES!K369+COMEDOR!K369+JORNADA!K369+'DIETOLOGÍA(S)'!K369)</f>
        <v>0</v>
      </c>
      <c r="L369" s="6">
        <f>SUM(PACIENTES!L369+COMEDOR!L369+JORNADA!L369+'DIETOLOGÍA(S)'!L369)</f>
        <v>0</v>
      </c>
      <c r="M369" s="6">
        <f>SUM(PACIENTES!M369+COMEDOR!M369+JORNADA!M369+'DIETOLOGÍA(S)'!M369)</f>
        <v>0</v>
      </c>
      <c r="N369" s="6">
        <f>SUM(PACIENTES!N369+COMEDOR!N369+JORNADA!N369+'DIETOLOGÍA(S)'!N369)</f>
        <v>0</v>
      </c>
      <c r="O369" s="6">
        <f>SUM(PACIENTES!O369+COMEDOR!O369+JORNADA!O369+'DIETOLOGÍA(S)'!O369)</f>
        <v>0</v>
      </c>
      <c r="P369" s="6">
        <f>SUM(PACIENTES!P369+COMEDOR!P369+JORNADA!P369+'DIETOLOGÍA(S)'!P369)</f>
        <v>0</v>
      </c>
      <c r="Q369" s="6">
        <f>SUM(PACIENTES!Q369+COMEDOR!Q369+JORNADA!Q369+'DIETOLOGÍA(S)'!Q369)</f>
        <v>0</v>
      </c>
      <c r="R369" s="6">
        <f>SUM(PACIENTES!R369+COMEDOR!R369+JORNADA!R369+'DIETOLOGÍA(S)'!R369)</f>
        <v>0</v>
      </c>
      <c r="S369" s="6">
        <f>SUM(PACIENTES!S369+COMEDOR!S369+JORNADA!S369+'DIETOLOGÍA(S)'!S369)</f>
        <v>0</v>
      </c>
      <c r="T369" s="6">
        <f>SUM(PACIENTES!T369+COMEDOR!T369+JORNADA!T369+'DIETOLOGÍA(S)'!T369)</f>
        <v>0</v>
      </c>
      <c r="U369" s="6">
        <f>SUM(PACIENTES!U369+COMEDOR!U369+JORNADA!U369+'DIETOLOGÍA(S)'!U369)</f>
        <v>0</v>
      </c>
      <c r="V369" s="6">
        <f>SUM(PACIENTES!V369+COMEDOR!V369+JORNADA!V369+'DIETOLOGÍA(S)'!V369)</f>
        <v>0</v>
      </c>
      <c r="W369" s="6">
        <f>SUM(PACIENTES!W369+COMEDOR!W369+JORNADA!W369+'DIETOLOGÍA(S)'!W369)</f>
        <v>0</v>
      </c>
      <c r="X369" s="6">
        <f>SUM(PACIENTES!X369+COMEDOR!X369+JORNADA!X369+'DIETOLOGÍA(S)'!X369)</f>
        <v>0</v>
      </c>
      <c r="Y369" s="6">
        <f>SUM(PACIENTES!Y369+COMEDOR!Y369+JORNADA!Y369+'DIETOLOGÍA(S)'!Y369)</f>
        <v>0</v>
      </c>
      <c r="Z369" s="6">
        <f>SUM(PACIENTES!Z369+COMEDOR!Z369+JORNADA!Z369+'DIETOLOGÍA(S)'!Z369)</f>
        <v>0</v>
      </c>
      <c r="AA369" s="6">
        <f>SUM(PACIENTES!AA369+COMEDOR!AA369+JORNADA!AA369+'DIETOLOGÍA(S)'!AA369)</f>
        <v>0</v>
      </c>
      <c r="AB369" s="6">
        <f>SUM(PACIENTES!AB369+COMEDOR!AB369+JORNADA!AB369+'DIETOLOGÍA(S)'!AB369)</f>
        <v>0</v>
      </c>
      <c r="AC369" s="6">
        <f>SUM(PACIENTES!AC369+COMEDOR!AC369+JORNADA!AC369+'DIETOLOGÍA(S)'!AC369)</f>
        <v>0</v>
      </c>
      <c r="AD369" s="6">
        <f>SUM(PACIENTES!AD369+COMEDOR!AD369+JORNADA!AD369+'DIETOLOGÍA(S)'!AD369)</f>
        <v>0</v>
      </c>
      <c r="AE369" s="6">
        <f>SUM(PACIENTES!AE369+COMEDOR!AE369+JORNADA!AE369+'DIETOLOGÍA(S)'!AE369)</f>
        <v>0</v>
      </c>
      <c r="AF369" s="6">
        <f>SUM(PACIENTES!AF369+COMEDOR!AF369+JORNADA!AF369+'DIETOLOGÍA(S)'!AF369)</f>
        <v>0</v>
      </c>
      <c r="AG369" s="6">
        <f>SUM(PACIENTES!AG369+COMEDOR!AG369+JORNADA!AG369+'DIETOLOGÍA(S)'!AG369)</f>
        <v>0</v>
      </c>
      <c r="AH369" s="6">
        <f>SUM(PACIENTES!AH369+COMEDOR!AH369+JORNADA!AH369+'DIETOLOGÍA(S)'!AH369)</f>
        <v>0</v>
      </c>
      <c r="AI369" s="9">
        <f t="shared" si="11"/>
        <v>0</v>
      </c>
    </row>
    <row r="370" spans="1:35" ht="15.75" customHeight="1">
      <c r="A370" s="238">
        <v>2212001165</v>
      </c>
      <c r="B370" s="239" t="s">
        <v>386</v>
      </c>
      <c r="C370" s="240" t="s">
        <v>6</v>
      </c>
      <c r="D370" s="6">
        <f>SUM(PACIENTES!D370+COMEDOR!D370+JORNADA!D370+'DIETOLOGÍA(S)'!D370)</f>
        <v>0</v>
      </c>
      <c r="E370" s="6">
        <f>SUM(PACIENTES!E370+COMEDOR!E370+JORNADA!E370+'DIETOLOGÍA(S)'!E370)</f>
        <v>0</v>
      </c>
      <c r="F370" s="6">
        <f>SUM(PACIENTES!F370+COMEDOR!F370+JORNADA!F370+'DIETOLOGÍA(S)'!F370)</f>
        <v>0</v>
      </c>
      <c r="G370" s="6">
        <f>SUM(PACIENTES!G370+COMEDOR!G370+JORNADA!G370+'DIETOLOGÍA(S)'!G370)</f>
        <v>0</v>
      </c>
      <c r="H370" s="6">
        <f>SUM(PACIENTES!H370+COMEDOR!H370+JORNADA!H370+'DIETOLOGÍA(S)'!H370)</f>
        <v>0</v>
      </c>
      <c r="I370" s="6">
        <f>SUM(PACIENTES!I370+COMEDOR!I370+JORNADA!I370+'DIETOLOGÍA(S)'!I370)</f>
        <v>0</v>
      </c>
      <c r="J370" s="6">
        <f>SUM(PACIENTES!J370+COMEDOR!J370+JORNADA!J370+'DIETOLOGÍA(S)'!J370)</f>
        <v>0</v>
      </c>
      <c r="K370" s="6">
        <f>SUM(PACIENTES!K370+COMEDOR!K370+JORNADA!K370+'DIETOLOGÍA(S)'!K370)</f>
        <v>0</v>
      </c>
      <c r="L370" s="6">
        <f>SUM(PACIENTES!L370+COMEDOR!L370+JORNADA!L370+'DIETOLOGÍA(S)'!L370)</f>
        <v>0</v>
      </c>
      <c r="M370" s="6">
        <f>SUM(PACIENTES!M370+COMEDOR!M370+JORNADA!M370+'DIETOLOGÍA(S)'!M370)</f>
        <v>0</v>
      </c>
      <c r="N370" s="6">
        <f>SUM(PACIENTES!N370+COMEDOR!N370+JORNADA!N370+'DIETOLOGÍA(S)'!N370)</f>
        <v>0</v>
      </c>
      <c r="O370" s="6">
        <f>SUM(PACIENTES!O370+COMEDOR!O370+JORNADA!O370+'DIETOLOGÍA(S)'!O370)</f>
        <v>0</v>
      </c>
      <c r="P370" s="6">
        <f>SUM(PACIENTES!P370+COMEDOR!P370+JORNADA!P370+'DIETOLOGÍA(S)'!P370)</f>
        <v>0</v>
      </c>
      <c r="Q370" s="6">
        <f>SUM(PACIENTES!Q370+COMEDOR!Q370+JORNADA!Q370+'DIETOLOGÍA(S)'!Q370)</f>
        <v>0</v>
      </c>
      <c r="R370" s="6">
        <f>SUM(PACIENTES!R370+COMEDOR!R370+JORNADA!R370+'DIETOLOGÍA(S)'!R370)</f>
        <v>0</v>
      </c>
      <c r="S370" s="6">
        <f>SUM(PACIENTES!S370+COMEDOR!S370+JORNADA!S370+'DIETOLOGÍA(S)'!S370)</f>
        <v>0</v>
      </c>
      <c r="T370" s="6">
        <f>SUM(PACIENTES!T370+COMEDOR!T370+JORNADA!T370+'DIETOLOGÍA(S)'!T370)</f>
        <v>0</v>
      </c>
      <c r="U370" s="6">
        <f>SUM(PACIENTES!U370+COMEDOR!U370+JORNADA!U370+'DIETOLOGÍA(S)'!U370)</f>
        <v>0</v>
      </c>
      <c r="V370" s="6">
        <f>SUM(PACIENTES!V370+COMEDOR!V370+JORNADA!V370+'DIETOLOGÍA(S)'!V370)</f>
        <v>0</v>
      </c>
      <c r="W370" s="6">
        <f>SUM(PACIENTES!W370+COMEDOR!W370+JORNADA!W370+'DIETOLOGÍA(S)'!W370)</f>
        <v>0</v>
      </c>
      <c r="X370" s="6">
        <f>SUM(PACIENTES!X370+COMEDOR!X370+JORNADA!X370+'DIETOLOGÍA(S)'!X370)</f>
        <v>0</v>
      </c>
      <c r="Y370" s="6">
        <f>SUM(PACIENTES!Y370+COMEDOR!Y370+JORNADA!Y370+'DIETOLOGÍA(S)'!Y370)</f>
        <v>0</v>
      </c>
      <c r="Z370" s="6">
        <f>SUM(PACIENTES!Z370+COMEDOR!Z370+JORNADA!Z370+'DIETOLOGÍA(S)'!Z370)</f>
        <v>0</v>
      </c>
      <c r="AA370" s="6">
        <f>SUM(PACIENTES!AA370+COMEDOR!AA370+JORNADA!AA370+'DIETOLOGÍA(S)'!AA370)</f>
        <v>0</v>
      </c>
      <c r="AB370" s="6">
        <f>SUM(PACIENTES!AB370+COMEDOR!AB370+JORNADA!AB370+'DIETOLOGÍA(S)'!AB370)</f>
        <v>0</v>
      </c>
      <c r="AC370" s="6">
        <f>SUM(PACIENTES!AC370+COMEDOR!AC370+JORNADA!AC370+'DIETOLOGÍA(S)'!AC370)</f>
        <v>0</v>
      </c>
      <c r="AD370" s="6">
        <f>SUM(PACIENTES!AD370+COMEDOR!AD370+JORNADA!AD370+'DIETOLOGÍA(S)'!AD370)</f>
        <v>0</v>
      </c>
      <c r="AE370" s="6">
        <f>SUM(PACIENTES!AE370+COMEDOR!AE370+JORNADA!AE370+'DIETOLOGÍA(S)'!AE370)</f>
        <v>0</v>
      </c>
      <c r="AF370" s="6">
        <f>SUM(PACIENTES!AF370+COMEDOR!AF370+JORNADA!AF370+'DIETOLOGÍA(S)'!AF370)</f>
        <v>0</v>
      </c>
      <c r="AG370" s="6">
        <f>SUM(PACIENTES!AG370+COMEDOR!AG370+JORNADA!AG370+'DIETOLOGÍA(S)'!AG370)</f>
        <v>0</v>
      </c>
      <c r="AH370" s="6">
        <f>SUM(PACIENTES!AH370+COMEDOR!AH370+JORNADA!AH370+'DIETOLOGÍA(S)'!AH370)</f>
        <v>0</v>
      </c>
      <c r="AI370" s="9">
        <f t="shared" si="11"/>
        <v>0</v>
      </c>
    </row>
    <row r="371" spans="1:35" ht="15.75" customHeight="1">
      <c r="A371" s="238">
        <v>2212001167</v>
      </c>
      <c r="B371" s="239" t="s">
        <v>387</v>
      </c>
      <c r="C371" s="240" t="s">
        <v>388</v>
      </c>
      <c r="D371" s="6">
        <f>SUM(PACIENTES!D371+COMEDOR!D371+JORNADA!D371+'DIETOLOGÍA(S)'!D371)</f>
        <v>0</v>
      </c>
      <c r="E371" s="6">
        <f>SUM(PACIENTES!E371+COMEDOR!E371+JORNADA!E371+'DIETOLOGÍA(S)'!E371)</f>
        <v>0</v>
      </c>
      <c r="F371" s="6">
        <f>SUM(PACIENTES!F371+COMEDOR!F371+JORNADA!F371+'DIETOLOGÍA(S)'!F371)</f>
        <v>0</v>
      </c>
      <c r="G371" s="6">
        <f>SUM(PACIENTES!G371+COMEDOR!G371+JORNADA!G371+'DIETOLOGÍA(S)'!G371)</f>
        <v>0</v>
      </c>
      <c r="H371" s="6">
        <f>SUM(PACIENTES!H371+COMEDOR!H371+JORNADA!H371+'DIETOLOGÍA(S)'!H371)</f>
        <v>0</v>
      </c>
      <c r="I371" s="6">
        <f>SUM(PACIENTES!I371+COMEDOR!I371+JORNADA!I371+'DIETOLOGÍA(S)'!I371)</f>
        <v>0</v>
      </c>
      <c r="J371" s="6">
        <f>SUM(PACIENTES!J371+COMEDOR!J371+JORNADA!J371+'DIETOLOGÍA(S)'!J371)</f>
        <v>0</v>
      </c>
      <c r="K371" s="6">
        <f>SUM(PACIENTES!K371+COMEDOR!K371+JORNADA!K371+'DIETOLOGÍA(S)'!K371)</f>
        <v>0</v>
      </c>
      <c r="L371" s="6">
        <f>SUM(PACIENTES!L371+COMEDOR!L371+JORNADA!L371+'DIETOLOGÍA(S)'!L371)</f>
        <v>0</v>
      </c>
      <c r="M371" s="6">
        <f>SUM(PACIENTES!M371+COMEDOR!M371+JORNADA!M371+'DIETOLOGÍA(S)'!M371)</f>
        <v>0</v>
      </c>
      <c r="N371" s="6">
        <f>SUM(PACIENTES!N371+COMEDOR!N371+JORNADA!N371+'DIETOLOGÍA(S)'!N371)</f>
        <v>0</v>
      </c>
      <c r="O371" s="6">
        <f>SUM(PACIENTES!O371+COMEDOR!O371+JORNADA!O371+'DIETOLOGÍA(S)'!O371)</f>
        <v>0</v>
      </c>
      <c r="P371" s="6">
        <f>SUM(PACIENTES!P371+COMEDOR!P371+JORNADA!P371+'DIETOLOGÍA(S)'!P371)</f>
        <v>0</v>
      </c>
      <c r="Q371" s="6">
        <f>SUM(PACIENTES!Q371+COMEDOR!Q371+JORNADA!Q371+'DIETOLOGÍA(S)'!Q371)</f>
        <v>0</v>
      </c>
      <c r="R371" s="6">
        <f>SUM(PACIENTES!R371+COMEDOR!R371+JORNADA!R371+'DIETOLOGÍA(S)'!R371)</f>
        <v>0</v>
      </c>
      <c r="S371" s="6">
        <f>SUM(PACIENTES!S371+COMEDOR!S371+JORNADA!S371+'DIETOLOGÍA(S)'!S371)</f>
        <v>0</v>
      </c>
      <c r="T371" s="6">
        <f>SUM(PACIENTES!T371+COMEDOR!T371+JORNADA!T371+'DIETOLOGÍA(S)'!T371)</f>
        <v>0</v>
      </c>
      <c r="U371" s="6">
        <f>SUM(PACIENTES!U371+COMEDOR!U371+JORNADA!U371+'DIETOLOGÍA(S)'!U371)</f>
        <v>0</v>
      </c>
      <c r="V371" s="6">
        <f>SUM(PACIENTES!V371+COMEDOR!V371+JORNADA!V371+'DIETOLOGÍA(S)'!V371)</f>
        <v>0</v>
      </c>
      <c r="W371" s="6">
        <f>SUM(PACIENTES!W371+COMEDOR!W371+JORNADA!W371+'DIETOLOGÍA(S)'!W371)</f>
        <v>0</v>
      </c>
      <c r="X371" s="6">
        <f>SUM(PACIENTES!X371+COMEDOR!X371+JORNADA!X371+'DIETOLOGÍA(S)'!X371)</f>
        <v>0</v>
      </c>
      <c r="Y371" s="6">
        <f>SUM(PACIENTES!Y371+COMEDOR!Y371+JORNADA!Y371+'DIETOLOGÍA(S)'!Y371)</f>
        <v>0</v>
      </c>
      <c r="Z371" s="6">
        <f>SUM(PACIENTES!Z371+COMEDOR!Z371+JORNADA!Z371+'DIETOLOGÍA(S)'!Z371)</f>
        <v>0</v>
      </c>
      <c r="AA371" s="6">
        <f>SUM(PACIENTES!AA371+COMEDOR!AA371+JORNADA!AA371+'DIETOLOGÍA(S)'!AA371)</f>
        <v>0</v>
      </c>
      <c r="AB371" s="6">
        <f>SUM(PACIENTES!AB371+COMEDOR!AB371+JORNADA!AB371+'DIETOLOGÍA(S)'!AB371)</f>
        <v>0</v>
      </c>
      <c r="AC371" s="6">
        <f>SUM(PACIENTES!AC371+COMEDOR!AC371+JORNADA!AC371+'DIETOLOGÍA(S)'!AC371)</f>
        <v>0</v>
      </c>
      <c r="AD371" s="6">
        <f>SUM(PACIENTES!AD371+COMEDOR!AD371+JORNADA!AD371+'DIETOLOGÍA(S)'!AD371)</f>
        <v>0</v>
      </c>
      <c r="AE371" s="6">
        <f>SUM(PACIENTES!AE371+COMEDOR!AE371+JORNADA!AE371+'DIETOLOGÍA(S)'!AE371)</f>
        <v>0</v>
      </c>
      <c r="AF371" s="6">
        <f>SUM(PACIENTES!AF371+COMEDOR!AF371+JORNADA!AF371+'DIETOLOGÍA(S)'!AF371)</f>
        <v>0</v>
      </c>
      <c r="AG371" s="6">
        <f>SUM(PACIENTES!AG371+COMEDOR!AG371+JORNADA!AG371+'DIETOLOGÍA(S)'!AG371)</f>
        <v>0</v>
      </c>
      <c r="AH371" s="6">
        <f>SUM(PACIENTES!AH371+COMEDOR!AH371+JORNADA!AH371+'DIETOLOGÍA(S)'!AH371)</f>
        <v>0</v>
      </c>
      <c r="AI371" s="9">
        <f t="shared" si="11"/>
        <v>0</v>
      </c>
    </row>
    <row r="372" spans="1:35" ht="15.75" customHeight="1">
      <c r="A372" s="238">
        <v>2212001172</v>
      </c>
      <c r="B372" s="239" t="s">
        <v>389</v>
      </c>
      <c r="C372" s="240" t="s">
        <v>177</v>
      </c>
      <c r="D372" s="6">
        <f>SUM(PACIENTES!D372+COMEDOR!D372+JORNADA!D372+'DIETOLOGÍA(S)'!D372+'NUTRICIÓN CLÍNICA'!D15)</f>
        <v>0</v>
      </c>
      <c r="E372" s="6">
        <f>SUM(PACIENTES!E372+COMEDOR!E372+JORNADA!E372+'DIETOLOGÍA(S)'!E372+'NUTRICIÓN CLÍNICA'!E15)</f>
        <v>0</v>
      </c>
      <c r="F372" s="6">
        <f>SUM(PACIENTES!F372+COMEDOR!F372+JORNADA!F372+'DIETOLOGÍA(S)'!F372+'NUTRICIÓN CLÍNICA'!F15)</f>
        <v>0</v>
      </c>
      <c r="G372" s="6">
        <f>SUM(PACIENTES!G372+COMEDOR!G372+JORNADA!G372+'DIETOLOGÍA(S)'!G372+'NUTRICIÓN CLÍNICA'!G15)</f>
        <v>0</v>
      </c>
      <c r="H372" s="6">
        <f>SUM(PACIENTES!H372+COMEDOR!H372+JORNADA!H372+'DIETOLOGÍA(S)'!H372+'NUTRICIÓN CLÍNICA'!H15)</f>
        <v>0</v>
      </c>
      <c r="I372" s="6">
        <f>SUM(PACIENTES!I372+COMEDOR!I372+JORNADA!I372+'DIETOLOGÍA(S)'!I372+'NUTRICIÓN CLÍNICA'!I15)</f>
        <v>30</v>
      </c>
      <c r="J372" s="6">
        <f>SUM(PACIENTES!J372+COMEDOR!J372+JORNADA!J372+'DIETOLOGÍA(S)'!J372+'NUTRICIÓN CLÍNICA'!J15)</f>
        <v>1</v>
      </c>
      <c r="K372" s="6">
        <f>SUM(PACIENTES!K372+COMEDOR!K372+JORNADA!K372+'DIETOLOGÍA(S)'!K372+'NUTRICIÓN CLÍNICA'!K15)</f>
        <v>0</v>
      </c>
      <c r="L372" s="6">
        <f>SUM(PACIENTES!L372+COMEDOR!L372+JORNADA!L372+'DIETOLOGÍA(S)'!L372+'NUTRICIÓN CLÍNICA'!L15)</f>
        <v>0</v>
      </c>
      <c r="M372" s="6">
        <f>SUM(PACIENTES!M372+COMEDOR!M372+JORNADA!M372+'DIETOLOGÍA(S)'!M372+'NUTRICIÓN CLÍNICA'!M15)</f>
        <v>0</v>
      </c>
      <c r="N372" s="6">
        <f>SUM(PACIENTES!N372+COMEDOR!N372+JORNADA!N372+'DIETOLOGÍA(S)'!N372+'NUTRICIÓN CLÍNICA'!N15)</f>
        <v>0</v>
      </c>
      <c r="O372" s="6">
        <f>SUM(PACIENTES!O372+COMEDOR!O372+JORNADA!O372+'DIETOLOGÍA(S)'!O372+'NUTRICIÓN CLÍNICA'!O15)</f>
        <v>0</v>
      </c>
      <c r="P372" s="6">
        <f>SUM(PACIENTES!P372+COMEDOR!P372+JORNADA!P372+'DIETOLOGÍA(S)'!P372+'NUTRICIÓN CLÍNICA'!P15)</f>
        <v>0</v>
      </c>
      <c r="Q372" s="6">
        <f>SUM(PACIENTES!Q372+COMEDOR!Q372+JORNADA!Q372+'DIETOLOGÍA(S)'!Q372+'NUTRICIÓN CLÍNICA'!Q15)</f>
        <v>0</v>
      </c>
      <c r="R372" s="6">
        <f>SUM(PACIENTES!R372+COMEDOR!R372+JORNADA!R372+'DIETOLOGÍA(S)'!R372+'NUTRICIÓN CLÍNICA'!R15)</f>
        <v>0</v>
      </c>
      <c r="S372" s="6">
        <f>SUM(PACIENTES!S372+COMEDOR!S372+JORNADA!S372+'DIETOLOGÍA(S)'!S372+'NUTRICIÓN CLÍNICA'!S15)</f>
        <v>0</v>
      </c>
      <c r="T372" s="6">
        <f>SUM(PACIENTES!T372+COMEDOR!T372+JORNADA!T372+'DIETOLOGÍA(S)'!T372+'NUTRICIÓN CLÍNICA'!T15)</f>
        <v>0</v>
      </c>
      <c r="U372" s="6">
        <f>SUM(PACIENTES!U372+COMEDOR!U372+JORNADA!U372+'DIETOLOGÍA(S)'!U372+'NUTRICIÓN CLÍNICA'!U15)</f>
        <v>0</v>
      </c>
      <c r="V372" s="6">
        <f>SUM(PACIENTES!V372+COMEDOR!V372+JORNADA!V372+'DIETOLOGÍA(S)'!V372+'NUTRICIÓN CLÍNICA'!V15)</f>
        <v>0</v>
      </c>
      <c r="W372" s="6">
        <f>SUM(PACIENTES!W372+COMEDOR!W372+JORNADA!W372+'DIETOLOGÍA(S)'!W372+'NUTRICIÓN CLÍNICA'!W15)</f>
        <v>30</v>
      </c>
      <c r="X372" s="6">
        <f>SUM(PACIENTES!X372+COMEDOR!X372+JORNADA!X372+'DIETOLOGÍA(S)'!X372+'NUTRICIÓN CLÍNICA'!X15)</f>
        <v>1</v>
      </c>
      <c r="Y372" s="6">
        <f>SUM(PACIENTES!Y372+COMEDOR!Y372+JORNADA!Y372+'DIETOLOGÍA(S)'!Y372+'NUTRICIÓN CLÍNICA'!Y15)</f>
        <v>0</v>
      </c>
      <c r="Z372" s="6">
        <f>SUM(PACIENTES!Z372+COMEDOR!Z372+JORNADA!Z372+'DIETOLOGÍA(S)'!Z372+'NUTRICIÓN CLÍNICA'!Z15)</f>
        <v>0</v>
      </c>
      <c r="AA372" s="6">
        <f>SUM(PACIENTES!AA372+COMEDOR!AA372+JORNADA!AA372+'DIETOLOGÍA(S)'!AA372+'NUTRICIÓN CLÍNICA'!AA15)</f>
        <v>0</v>
      </c>
      <c r="AB372" s="6">
        <f>SUM(PACIENTES!AB372+COMEDOR!AB372+JORNADA!AB372+'DIETOLOGÍA(S)'!AB372+'NUTRICIÓN CLÍNICA'!AB15)</f>
        <v>0</v>
      </c>
      <c r="AC372" s="6">
        <f>SUM(PACIENTES!AC372+COMEDOR!AC372+JORNADA!AC372+'DIETOLOGÍA(S)'!AC372+'NUTRICIÓN CLÍNICA'!AC15)</f>
        <v>0</v>
      </c>
      <c r="AD372" s="6">
        <f>SUM(PACIENTES!AD372+COMEDOR!AD372+JORNADA!AD372+'DIETOLOGÍA(S)'!AD372+'NUTRICIÓN CLÍNICA'!AD15)</f>
        <v>0</v>
      </c>
      <c r="AE372" s="6">
        <f>SUM(PACIENTES!AE372+COMEDOR!AE372+JORNADA!AE372+'DIETOLOGÍA(S)'!AE372+'NUTRICIÓN CLÍNICA'!AE15)</f>
        <v>0</v>
      </c>
      <c r="AF372" s="6">
        <f>SUM(PACIENTES!AF372+COMEDOR!AF372+JORNADA!AF372+'DIETOLOGÍA(S)'!AF372+'NUTRICIÓN CLÍNICA'!AF15)</f>
        <v>0</v>
      </c>
      <c r="AG372" s="6">
        <f>SUM(PACIENTES!AG372+COMEDOR!AG372+JORNADA!AG372+'DIETOLOGÍA(S)'!AG372+'NUTRICIÓN CLÍNICA'!AG15)</f>
        <v>0</v>
      </c>
      <c r="AH372" s="6">
        <f>SUM(PACIENTES!AH372+COMEDOR!AH372+JORNADA!AH372+'DIETOLOGÍA(S)'!AH372+'NUTRICIÓN CLÍNICA'!AH15)</f>
        <v>0</v>
      </c>
      <c r="AI372" s="9">
        <f t="shared" si="11"/>
        <v>62</v>
      </c>
    </row>
    <row r="373" spans="1:35" ht="15.75" customHeight="1">
      <c r="A373" s="238">
        <v>2212001173</v>
      </c>
      <c r="B373" s="239" t="s">
        <v>390</v>
      </c>
      <c r="C373" s="240" t="s">
        <v>267</v>
      </c>
      <c r="D373" s="6">
        <f>SUM(PACIENTES!D373+COMEDOR!D373+JORNADA!D373+'DIETOLOGÍA(S)'!D373)</f>
        <v>0</v>
      </c>
      <c r="E373" s="6">
        <f>SUM(PACIENTES!E373+COMEDOR!E373+JORNADA!E373+'DIETOLOGÍA(S)'!E373)</f>
        <v>0</v>
      </c>
      <c r="F373" s="6">
        <f>SUM(PACIENTES!F373+COMEDOR!F373+JORNADA!F373+'DIETOLOGÍA(S)'!F373)</f>
        <v>0</v>
      </c>
      <c r="G373" s="6">
        <f>SUM(PACIENTES!G373+COMEDOR!G373+JORNADA!G373+'DIETOLOGÍA(S)'!G373)</f>
        <v>0</v>
      </c>
      <c r="H373" s="6">
        <f>SUM(PACIENTES!H373+COMEDOR!H373+JORNADA!H373+'DIETOLOGÍA(S)'!H373)</f>
        <v>0</v>
      </c>
      <c r="I373" s="6">
        <f>SUM(PACIENTES!I373+COMEDOR!I373+JORNADA!I373+'DIETOLOGÍA(S)'!I373)</f>
        <v>0</v>
      </c>
      <c r="J373" s="6">
        <f>SUM(PACIENTES!J373+COMEDOR!J373+JORNADA!J373+'DIETOLOGÍA(S)'!J373)</f>
        <v>0</v>
      </c>
      <c r="K373" s="6">
        <f>SUM(PACIENTES!K373+COMEDOR!K373+JORNADA!K373+'DIETOLOGÍA(S)'!K373)</f>
        <v>0</v>
      </c>
      <c r="L373" s="6">
        <f>SUM(PACIENTES!L373+COMEDOR!L373+JORNADA!L373+'DIETOLOGÍA(S)'!L373)</f>
        <v>0</v>
      </c>
      <c r="M373" s="6">
        <f>SUM(PACIENTES!M373+COMEDOR!M373+JORNADA!M373+'DIETOLOGÍA(S)'!M373)</f>
        <v>1</v>
      </c>
      <c r="N373" s="6">
        <f>SUM(PACIENTES!N373+COMEDOR!N373+JORNADA!N373+'DIETOLOGÍA(S)'!N373)</f>
        <v>0</v>
      </c>
      <c r="O373" s="6">
        <f>SUM(PACIENTES!O373+COMEDOR!O373+JORNADA!O373+'DIETOLOGÍA(S)'!O373)</f>
        <v>0</v>
      </c>
      <c r="P373" s="6">
        <f>SUM(PACIENTES!P373+COMEDOR!P373+JORNADA!P373+'DIETOLOGÍA(S)'!P373)</f>
        <v>0</v>
      </c>
      <c r="Q373" s="6">
        <f>SUM(PACIENTES!Q373+COMEDOR!Q373+JORNADA!Q373+'DIETOLOGÍA(S)'!Q373)</f>
        <v>1</v>
      </c>
      <c r="R373" s="6">
        <f>SUM(PACIENTES!R373+COMEDOR!R373+JORNADA!R373+'DIETOLOGÍA(S)'!R373)</f>
        <v>0</v>
      </c>
      <c r="S373" s="6">
        <f>SUM(PACIENTES!S373+COMEDOR!S373+JORNADA!S373+'DIETOLOGÍA(S)'!S373)</f>
        <v>3</v>
      </c>
      <c r="T373" s="6">
        <f>SUM(PACIENTES!T373+COMEDOR!T373+JORNADA!T373+'DIETOLOGÍA(S)'!T373)</f>
        <v>0</v>
      </c>
      <c r="U373" s="6">
        <f>SUM(PACIENTES!U373+COMEDOR!U373+JORNADA!U373+'DIETOLOGÍA(S)'!U373)</f>
        <v>0</v>
      </c>
      <c r="V373" s="6">
        <f>SUM(PACIENTES!V373+COMEDOR!V373+JORNADA!V373+'DIETOLOGÍA(S)'!V373)</f>
        <v>0</v>
      </c>
      <c r="W373" s="6">
        <f>SUM(PACIENTES!W373+COMEDOR!W373+JORNADA!W373+'DIETOLOGÍA(S)'!W373)</f>
        <v>0</v>
      </c>
      <c r="X373" s="6">
        <f>SUM(PACIENTES!X373+COMEDOR!X373+JORNADA!X373+'DIETOLOGÍA(S)'!X373)</f>
        <v>0</v>
      </c>
      <c r="Y373" s="6">
        <f>SUM(PACIENTES!Y373+COMEDOR!Y373+JORNADA!Y373+'DIETOLOGÍA(S)'!Y373)</f>
        <v>0</v>
      </c>
      <c r="Z373" s="6">
        <f>SUM(PACIENTES!Z373+COMEDOR!Z373+JORNADA!Z373+'DIETOLOGÍA(S)'!Z373)</f>
        <v>0</v>
      </c>
      <c r="AA373" s="6">
        <f>SUM(PACIENTES!AA373+COMEDOR!AA373+JORNADA!AA373+'DIETOLOGÍA(S)'!AA373)</f>
        <v>0</v>
      </c>
      <c r="AB373" s="6">
        <f>SUM(PACIENTES!AB373+COMEDOR!AB373+JORNADA!AB373+'DIETOLOGÍA(S)'!AB373)</f>
        <v>0</v>
      </c>
      <c r="AC373" s="6">
        <f>SUM(PACIENTES!AC373+COMEDOR!AC373+JORNADA!AC373+'DIETOLOGÍA(S)'!AC373)</f>
        <v>0</v>
      </c>
      <c r="AD373" s="6">
        <f>SUM(PACIENTES!AD373+COMEDOR!AD373+JORNADA!AD373+'DIETOLOGÍA(S)'!AD373)</f>
        <v>0</v>
      </c>
      <c r="AE373" s="6">
        <f>SUM(PACIENTES!AE373+COMEDOR!AE373+JORNADA!AE373+'DIETOLOGÍA(S)'!AE373)</f>
        <v>0</v>
      </c>
      <c r="AF373" s="6">
        <f>SUM(PACIENTES!AF373+COMEDOR!AF373+JORNADA!AF373+'DIETOLOGÍA(S)'!AF373)</f>
        <v>0</v>
      </c>
      <c r="AG373" s="6">
        <f>SUM(PACIENTES!AG373+COMEDOR!AG373+JORNADA!AG373+'DIETOLOGÍA(S)'!AG373)</f>
        <v>0</v>
      </c>
      <c r="AH373" s="6">
        <f>SUM(PACIENTES!AH373+COMEDOR!AH373+JORNADA!AH373+'DIETOLOGÍA(S)'!AH373)</f>
        <v>1</v>
      </c>
      <c r="AI373" s="9">
        <f t="shared" si="11"/>
        <v>6</v>
      </c>
    </row>
    <row r="374" spans="1:35" ht="15.75" customHeight="1">
      <c r="A374" s="238">
        <v>2212001174</v>
      </c>
      <c r="B374" s="239" t="s">
        <v>391</v>
      </c>
      <c r="C374" s="240" t="s">
        <v>267</v>
      </c>
      <c r="D374" s="6">
        <f>SUM(PACIENTES!D374+COMEDOR!D374+JORNADA!D374+'DIETOLOGÍA(S)'!D374)</f>
        <v>0</v>
      </c>
      <c r="E374" s="6">
        <f>SUM(PACIENTES!E374+COMEDOR!E374+JORNADA!E374+'DIETOLOGÍA(S)'!E374)</f>
        <v>0</v>
      </c>
      <c r="F374" s="6">
        <f>SUM(PACIENTES!F374+COMEDOR!F374+JORNADA!F374+'DIETOLOGÍA(S)'!F374)</f>
        <v>0</v>
      </c>
      <c r="G374" s="6">
        <f>SUM(PACIENTES!G374+COMEDOR!G374+JORNADA!G374+'DIETOLOGÍA(S)'!G374)</f>
        <v>0</v>
      </c>
      <c r="H374" s="6">
        <f>SUM(PACIENTES!H374+COMEDOR!H374+JORNADA!H374+'DIETOLOGÍA(S)'!H374)</f>
        <v>0</v>
      </c>
      <c r="I374" s="6">
        <f>SUM(PACIENTES!I374+COMEDOR!I374+JORNADA!I374+'DIETOLOGÍA(S)'!I374)</f>
        <v>0</v>
      </c>
      <c r="J374" s="6">
        <f>SUM(PACIENTES!J374+COMEDOR!J374+JORNADA!J374+'DIETOLOGÍA(S)'!J374)</f>
        <v>1</v>
      </c>
      <c r="K374" s="6">
        <f>SUM(PACIENTES!K374+COMEDOR!K374+JORNADA!K374+'DIETOLOGÍA(S)'!K374)</f>
        <v>0</v>
      </c>
      <c r="L374" s="6">
        <f>SUM(PACIENTES!L374+COMEDOR!L374+JORNADA!L374+'DIETOLOGÍA(S)'!L374)</f>
        <v>0</v>
      </c>
      <c r="M374" s="6">
        <f>SUM(PACIENTES!M374+COMEDOR!M374+JORNADA!M374+'DIETOLOGÍA(S)'!M374)</f>
        <v>0</v>
      </c>
      <c r="N374" s="6">
        <f>SUM(PACIENTES!N374+COMEDOR!N374+JORNADA!N374+'DIETOLOGÍA(S)'!N374)</f>
        <v>0</v>
      </c>
      <c r="O374" s="6">
        <f>SUM(PACIENTES!O374+COMEDOR!O374+JORNADA!O374+'DIETOLOGÍA(S)'!O374)</f>
        <v>0</v>
      </c>
      <c r="P374" s="6">
        <f>SUM(PACIENTES!P374+COMEDOR!P374+JORNADA!P374+'DIETOLOGÍA(S)'!P374)</f>
        <v>0</v>
      </c>
      <c r="Q374" s="6">
        <f>SUM(PACIENTES!Q374+COMEDOR!Q374+JORNADA!Q374+'DIETOLOGÍA(S)'!Q374)</f>
        <v>0</v>
      </c>
      <c r="R374" s="6">
        <f>SUM(PACIENTES!R374+COMEDOR!R374+JORNADA!R374+'DIETOLOGÍA(S)'!R374)</f>
        <v>0</v>
      </c>
      <c r="S374" s="6">
        <f>SUM(PACIENTES!S374+COMEDOR!S374+JORNADA!S374+'DIETOLOGÍA(S)'!S374)</f>
        <v>0</v>
      </c>
      <c r="T374" s="6">
        <f>SUM(PACIENTES!T374+COMEDOR!T374+JORNADA!T374+'DIETOLOGÍA(S)'!T374)</f>
        <v>0</v>
      </c>
      <c r="U374" s="6">
        <f>SUM(PACIENTES!U374+COMEDOR!U374+JORNADA!U374+'DIETOLOGÍA(S)'!U374)</f>
        <v>0</v>
      </c>
      <c r="V374" s="6">
        <f>SUM(PACIENTES!V374+COMEDOR!V374+JORNADA!V374+'DIETOLOGÍA(S)'!V374)</f>
        <v>0</v>
      </c>
      <c r="W374" s="6">
        <f>SUM(PACIENTES!W374+COMEDOR!W374+JORNADA!W374+'DIETOLOGÍA(S)'!W374)</f>
        <v>0</v>
      </c>
      <c r="X374" s="6">
        <f>SUM(PACIENTES!X374+COMEDOR!X374+JORNADA!X374+'DIETOLOGÍA(S)'!X374)</f>
        <v>0</v>
      </c>
      <c r="Y374" s="6">
        <f>SUM(PACIENTES!Y374+COMEDOR!Y374+JORNADA!Y374+'DIETOLOGÍA(S)'!Y374)</f>
        <v>0</v>
      </c>
      <c r="Z374" s="6">
        <f>SUM(PACIENTES!Z374+COMEDOR!Z374+JORNADA!Z374+'DIETOLOGÍA(S)'!Z374)</f>
        <v>0</v>
      </c>
      <c r="AA374" s="6">
        <f>SUM(PACIENTES!AA374+COMEDOR!AA374+JORNADA!AA374+'DIETOLOGÍA(S)'!AA374)</f>
        <v>0</v>
      </c>
      <c r="AB374" s="6">
        <f>SUM(PACIENTES!AB374+COMEDOR!AB374+JORNADA!AB374+'DIETOLOGÍA(S)'!AB374)</f>
        <v>0</v>
      </c>
      <c r="AC374" s="6">
        <f>SUM(PACIENTES!AC374+COMEDOR!AC374+JORNADA!AC374+'DIETOLOGÍA(S)'!AC374)</f>
        <v>0</v>
      </c>
      <c r="AD374" s="6">
        <f>SUM(PACIENTES!AD374+COMEDOR!AD374+JORNADA!AD374+'DIETOLOGÍA(S)'!AD374)</f>
        <v>0</v>
      </c>
      <c r="AE374" s="6">
        <f>SUM(PACIENTES!AE374+COMEDOR!AE374+JORNADA!AE374+'DIETOLOGÍA(S)'!AE374)</f>
        <v>0</v>
      </c>
      <c r="AF374" s="6">
        <f>SUM(PACIENTES!AF374+COMEDOR!AF374+JORNADA!AF374+'DIETOLOGÍA(S)'!AF374)</f>
        <v>0</v>
      </c>
      <c r="AG374" s="6">
        <f>SUM(PACIENTES!AG374+COMEDOR!AG374+JORNADA!AG374+'DIETOLOGÍA(S)'!AG374)</f>
        <v>0</v>
      </c>
      <c r="AH374" s="6">
        <f>SUM(PACIENTES!AH374+COMEDOR!AH374+JORNADA!AH374+'DIETOLOGÍA(S)'!AH374)</f>
        <v>0</v>
      </c>
      <c r="AI374" s="9">
        <f t="shared" si="11"/>
        <v>1</v>
      </c>
    </row>
    <row r="375" spans="1:35" ht="15.75" customHeight="1">
      <c r="A375" s="238">
        <v>2212001175</v>
      </c>
      <c r="B375" s="239" t="s">
        <v>392</v>
      </c>
      <c r="C375" s="240" t="s">
        <v>267</v>
      </c>
      <c r="D375" s="6">
        <f>SUM(PACIENTES!D375+COMEDOR!D375+JORNADA!D375+'DIETOLOGÍA(S)'!D375)</f>
        <v>0</v>
      </c>
      <c r="E375" s="6">
        <f>SUM(PACIENTES!E375+COMEDOR!E375+JORNADA!E375+'DIETOLOGÍA(S)'!E375)</f>
        <v>0</v>
      </c>
      <c r="F375" s="6">
        <f>SUM(PACIENTES!F375+COMEDOR!F375+JORNADA!F375+'DIETOLOGÍA(S)'!F375)</f>
        <v>0</v>
      </c>
      <c r="G375" s="6">
        <f>SUM(PACIENTES!G375+COMEDOR!G375+JORNADA!G375+'DIETOLOGÍA(S)'!G375)</f>
        <v>0</v>
      </c>
      <c r="H375" s="6">
        <f>SUM(PACIENTES!H375+COMEDOR!H375+JORNADA!H375+'DIETOLOGÍA(S)'!H375)</f>
        <v>0</v>
      </c>
      <c r="I375" s="6">
        <f>SUM(PACIENTES!I375+COMEDOR!I375+JORNADA!I375+'DIETOLOGÍA(S)'!I375)</f>
        <v>0</v>
      </c>
      <c r="J375" s="6">
        <f>SUM(PACIENTES!J375+COMEDOR!J375+JORNADA!J375+'DIETOLOGÍA(S)'!J375)</f>
        <v>0</v>
      </c>
      <c r="K375" s="6">
        <f>SUM(PACIENTES!K375+COMEDOR!K375+JORNADA!K375+'DIETOLOGÍA(S)'!K375)</f>
        <v>0</v>
      </c>
      <c r="L375" s="6">
        <f>SUM(PACIENTES!L375+COMEDOR!L375+JORNADA!L375+'DIETOLOGÍA(S)'!L375)</f>
        <v>0</v>
      </c>
      <c r="M375" s="6">
        <f>SUM(PACIENTES!M375+COMEDOR!M375+JORNADA!M375+'DIETOLOGÍA(S)'!M375)</f>
        <v>0</v>
      </c>
      <c r="N375" s="6">
        <f>SUM(PACIENTES!N375+COMEDOR!N375+JORNADA!N375+'DIETOLOGÍA(S)'!N375)</f>
        <v>0</v>
      </c>
      <c r="O375" s="6">
        <f>SUM(PACIENTES!O375+COMEDOR!O375+JORNADA!O375+'DIETOLOGÍA(S)'!O375)</f>
        <v>0</v>
      </c>
      <c r="P375" s="6">
        <f>SUM(PACIENTES!P375+COMEDOR!P375+JORNADA!P375+'DIETOLOGÍA(S)'!P375)</f>
        <v>0</v>
      </c>
      <c r="Q375" s="6">
        <f>SUM(PACIENTES!Q375+COMEDOR!Q375+JORNADA!Q375+'DIETOLOGÍA(S)'!Q375)</f>
        <v>0</v>
      </c>
      <c r="R375" s="6">
        <f>SUM(PACIENTES!R375+COMEDOR!R375+JORNADA!R375+'DIETOLOGÍA(S)'!R375)</f>
        <v>0</v>
      </c>
      <c r="S375" s="6">
        <f>SUM(PACIENTES!S375+COMEDOR!S375+JORNADA!S375+'DIETOLOGÍA(S)'!S375)</f>
        <v>0</v>
      </c>
      <c r="T375" s="6">
        <f>SUM(PACIENTES!T375+COMEDOR!T375+JORNADA!T375+'DIETOLOGÍA(S)'!T375)</f>
        <v>0</v>
      </c>
      <c r="U375" s="6">
        <f>SUM(PACIENTES!U375+COMEDOR!U375+JORNADA!U375+'DIETOLOGÍA(S)'!U375)</f>
        <v>0</v>
      </c>
      <c r="V375" s="6">
        <f>SUM(PACIENTES!V375+COMEDOR!V375+JORNADA!V375+'DIETOLOGÍA(S)'!V375)</f>
        <v>0</v>
      </c>
      <c r="W375" s="6">
        <f>SUM(PACIENTES!W375+COMEDOR!W375+JORNADA!W375+'DIETOLOGÍA(S)'!W375)</f>
        <v>0</v>
      </c>
      <c r="X375" s="6">
        <f>SUM(PACIENTES!X375+COMEDOR!X375+JORNADA!X375+'DIETOLOGÍA(S)'!X375)</f>
        <v>0</v>
      </c>
      <c r="Y375" s="6">
        <f>SUM(PACIENTES!Y375+COMEDOR!Y375+JORNADA!Y375+'DIETOLOGÍA(S)'!Y375)</f>
        <v>0</v>
      </c>
      <c r="Z375" s="6">
        <f>SUM(PACIENTES!Z375+COMEDOR!Z375+JORNADA!Z375+'DIETOLOGÍA(S)'!Z375)</f>
        <v>0</v>
      </c>
      <c r="AA375" s="6">
        <f>SUM(PACIENTES!AA375+COMEDOR!AA375+JORNADA!AA375+'DIETOLOGÍA(S)'!AA375)</f>
        <v>0</v>
      </c>
      <c r="AB375" s="6">
        <f>SUM(PACIENTES!AB375+COMEDOR!AB375+JORNADA!AB375+'DIETOLOGÍA(S)'!AB375)</f>
        <v>0</v>
      </c>
      <c r="AC375" s="6">
        <f>SUM(PACIENTES!AC375+COMEDOR!AC375+JORNADA!AC375+'DIETOLOGÍA(S)'!AC375)</f>
        <v>0</v>
      </c>
      <c r="AD375" s="6">
        <f>SUM(PACIENTES!AD375+COMEDOR!AD375+JORNADA!AD375+'DIETOLOGÍA(S)'!AD375)</f>
        <v>0</v>
      </c>
      <c r="AE375" s="6">
        <f>SUM(PACIENTES!AE375+COMEDOR!AE375+JORNADA!AE375+'DIETOLOGÍA(S)'!AE375)</f>
        <v>0</v>
      </c>
      <c r="AF375" s="6">
        <f>SUM(PACIENTES!AF375+COMEDOR!AF375+JORNADA!AF375+'DIETOLOGÍA(S)'!AF375)</f>
        <v>0</v>
      </c>
      <c r="AG375" s="6">
        <f>SUM(PACIENTES!AG375+COMEDOR!AG375+JORNADA!AG375+'DIETOLOGÍA(S)'!AG375)</f>
        <v>0</v>
      </c>
      <c r="AH375" s="6">
        <f>SUM(PACIENTES!AH375+COMEDOR!AH375+JORNADA!AH375+'DIETOLOGÍA(S)'!AH375)</f>
        <v>0</v>
      </c>
      <c r="AI375" s="9">
        <f t="shared" si="11"/>
        <v>0</v>
      </c>
    </row>
    <row r="376" spans="1:35" ht="15.75" customHeight="1">
      <c r="A376" s="238">
        <v>2212001186</v>
      </c>
      <c r="B376" s="239" t="s">
        <v>393</v>
      </c>
      <c r="C376" s="240" t="s">
        <v>296</v>
      </c>
      <c r="D376" s="6">
        <f>SUM(PACIENTES!D376+COMEDOR!D376+JORNADA!D376+'DIETOLOGÍA(S)'!D376)</f>
        <v>0</v>
      </c>
      <c r="E376" s="6">
        <f>SUM(PACIENTES!E376+COMEDOR!E376+JORNADA!E376+'DIETOLOGÍA(S)'!E376)</f>
        <v>0</v>
      </c>
      <c r="F376" s="6">
        <f>SUM(PACIENTES!F376+COMEDOR!F376+JORNADA!F376+'DIETOLOGÍA(S)'!F376)</f>
        <v>0</v>
      </c>
      <c r="G376" s="6">
        <f>SUM(PACIENTES!G376+COMEDOR!G376+JORNADA!G376+'DIETOLOGÍA(S)'!G376)</f>
        <v>25</v>
      </c>
      <c r="H376" s="6">
        <f>SUM(PACIENTES!H376+COMEDOR!H376+JORNADA!H376+'DIETOLOGÍA(S)'!H376)</f>
        <v>0</v>
      </c>
      <c r="I376" s="6">
        <f>SUM(PACIENTES!I376+COMEDOR!I376+JORNADA!I376+'DIETOLOGÍA(S)'!I376)</f>
        <v>0</v>
      </c>
      <c r="J376" s="6">
        <f>SUM(PACIENTES!J376+COMEDOR!J376+JORNADA!J376+'DIETOLOGÍA(S)'!J376)</f>
        <v>0</v>
      </c>
      <c r="K376" s="6">
        <f>SUM(PACIENTES!K376+COMEDOR!K376+JORNADA!K376+'DIETOLOGÍA(S)'!K376)</f>
        <v>0</v>
      </c>
      <c r="L376" s="6">
        <f>SUM(PACIENTES!L376+COMEDOR!L376+JORNADA!L376+'DIETOLOGÍA(S)'!L376)</f>
        <v>20</v>
      </c>
      <c r="M376" s="6">
        <f>SUM(PACIENTES!M376+COMEDOR!M376+JORNADA!M376+'DIETOLOGÍA(S)'!M376)</f>
        <v>0</v>
      </c>
      <c r="N376" s="6">
        <f>SUM(PACIENTES!N376+COMEDOR!N376+JORNADA!N376+'DIETOLOGÍA(S)'!N376)</f>
        <v>0</v>
      </c>
      <c r="O376" s="6">
        <f>SUM(PACIENTES!O376+COMEDOR!O376+JORNADA!O376+'DIETOLOGÍA(S)'!O376)</f>
        <v>0</v>
      </c>
      <c r="P376" s="6">
        <f>SUM(PACIENTES!P376+COMEDOR!P376+JORNADA!P376+'DIETOLOGÍA(S)'!P376)</f>
        <v>0</v>
      </c>
      <c r="Q376" s="6">
        <f>SUM(PACIENTES!Q376+COMEDOR!Q376+JORNADA!Q376+'DIETOLOGÍA(S)'!Q376)</f>
        <v>0</v>
      </c>
      <c r="R376" s="6">
        <f>SUM(PACIENTES!R376+COMEDOR!R376+JORNADA!R376+'DIETOLOGÍA(S)'!R376)</f>
        <v>0</v>
      </c>
      <c r="S376" s="6">
        <f>SUM(PACIENTES!S376+COMEDOR!S376+JORNADA!S376+'DIETOLOGÍA(S)'!S376)</f>
        <v>0</v>
      </c>
      <c r="T376" s="6">
        <f>SUM(PACIENTES!T376+COMEDOR!T376+JORNADA!T376+'DIETOLOGÍA(S)'!T376)</f>
        <v>0</v>
      </c>
      <c r="U376" s="6">
        <f>SUM(PACIENTES!U376+COMEDOR!U376+JORNADA!U376+'DIETOLOGÍA(S)'!U376)</f>
        <v>0</v>
      </c>
      <c r="V376" s="6">
        <f>SUM(PACIENTES!V376+COMEDOR!V376+JORNADA!V376+'DIETOLOGÍA(S)'!V376)</f>
        <v>0</v>
      </c>
      <c r="W376" s="6">
        <f>SUM(PACIENTES!W376+COMEDOR!W376+JORNADA!W376+'DIETOLOGÍA(S)'!W376)</f>
        <v>0</v>
      </c>
      <c r="X376" s="6">
        <f>SUM(PACIENTES!X376+COMEDOR!X376+JORNADA!X376+'DIETOLOGÍA(S)'!X376)</f>
        <v>25</v>
      </c>
      <c r="Y376" s="6">
        <f>SUM(PACIENTES!Y376+COMEDOR!Y376+JORNADA!Y376+'DIETOLOGÍA(S)'!Y376)</f>
        <v>0</v>
      </c>
      <c r="Z376" s="6">
        <f>SUM(PACIENTES!Z376+COMEDOR!Z376+JORNADA!Z376+'DIETOLOGÍA(S)'!Z376)</f>
        <v>0</v>
      </c>
      <c r="AA376" s="6">
        <f>SUM(PACIENTES!AA376+COMEDOR!AA376+JORNADA!AA376+'DIETOLOGÍA(S)'!AA376)</f>
        <v>0</v>
      </c>
      <c r="AB376" s="6">
        <f>SUM(PACIENTES!AB376+COMEDOR!AB376+JORNADA!AB376+'DIETOLOGÍA(S)'!AB376)</f>
        <v>0</v>
      </c>
      <c r="AC376" s="6">
        <f>SUM(PACIENTES!AC376+COMEDOR!AC376+JORNADA!AC376+'DIETOLOGÍA(S)'!AC376)</f>
        <v>0</v>
      </c>
      <c r="AD376" s="6">
        <f>SUM(PACIENTES!AD376+COMEDOR!AD376+JORNADA!AD376+'DIETOLOGÍA(S)'!AD376)</f>
        <v>30</v>
      </c>
      <c r="AE376" s="6">
        <f>SUM(PACIENTES!AE376+COMEDOR!AE376+JORNADA!AE376+'DIETOLOGÍA(S)'!AE376)</f>
        <v>0</v>
      </c>
      <c r="AF376" s="6">
        <f>SUM(PACIENTES!AF376+COMEDOR!AF376+JORNADA!AF376+'DIETOLOGÍA(S)'!AF376)</f>
        <v>0</v>
      </c>
      <c r="AG376" s="6">
        <f>SUM(PACIENTES!AG376+COMEDOR!AG376+JORNADA!AG376+'DIETOLOGÍA(S)'!AG376)</f>
        <v>0</v>
      </c>
      <c r="AH376" s="6">
        <f>SUM(PACIENTES!AH376+COMEDOR!AH376+JORNADA!AH376+'DIETOLOGÍA(S)'!AH376)</f>
        <v>0</v>
      </c>
      <c r="AI376" s="9">
        <f t="shared" si="11"/>
        <v>100</v>
      </c>
    </row>
    <row r="377" spans="1:35" ht="15.75" customHeight="1">
      <c r="A377" s="238">
        <v>2212001187</v>
      </c>
      <c r="B377" s="239" t="s">
        <v>394</v>
      </c>
      <c r="C377" s="240" t="s">
        <v>86</v>
      </c>
      <c r="D377" s="6">
        <f>SUM(PACIENTES!D377+COMEDOR!D377+JORNADA!D377+'DIETOLOGÍA(S)'!D377)</f>
        <v>0</v>
      </c>
      <c r="E377" s="6">
        <f>SUM(PACIENTES!E377+COMEDOR!E377+JORNADA!E377+'DIETOLOGÍA(S)'!E377)</f>
        <v>0</v>
      </c>
      <c r="F377" s="6">
        <f>SUM(PACIENTES!F377+COMEDOR!F377+JORNADA!F377+'DIETOLOGÍA(S)'!F377)</f>
        <v>0</v>
      </c>
      <c r="G377" s="6">
        <f>SUM(PACIENTES!G377+COMEDOR!G377+JORNADA!G377+'DIETOLOGÍA(S)'!G377)</f>
        <v>0</v>
      </c>
      <c r="H377" s="6">
        <f>SUM(PACIENTES!H377+COMEDOR!H377+JORNADA!H377+'DIETOLOGÍA(S)'!H377)</f>
        <v>0</v>
      </c>
      <c r="I377" s="6">
        <f>SUM(PACIENTES!I377+COMEDOR!I377+JORNADA!I377+'DIETOLOGÍA(S)'!I377)</f>
        <v>0</v>
      </c>
      <c r="J377" s="6">
        <f>SUM(PACIENTES!J377+COMEDOR!J377+JORNADA!J377+'DIETOLOGÍA(S)'!J377)</f>
        <v>1</v>
      </c>
      <c r="K377" s="6">
        <f>SUM(PACIENTES!K377+COMEDOR!K377+JORNADA!K377+'DIETOLOGÍA(S)'!K377)</f>
        <v>0</v>
      </c>
      <c r="L377" s="6">
        <f>SUM(PACIENTES!L377+COMEDOR!L377+JORNADA!L377+'DIETOLOGÍA(S)'!L377)</f>
        <v>0</v>
      </c>
      <c r="M377" s="6">
        <f>SUM(PACIENTES!M377+COMEDOR!M377+JORNADA!M377+'DIETOLOGÍA(S)'!M377)</f>
        <v>0</v>
      </c>
      <c r="N377" s="6">
        <f>SUM(PACIENTES!N377+COMEDOR!N377+JORNADA!N377+'DIETOLOGÍA(S)'!N377)</f>
        <v>0</v>
      </c>
      <c r="O377" s="6">
        <f>SUM(PACIENTES!O377+COMEDOR!O377+JORNADA!O377+'DIETOLOGÍA(S)'!O377)</f>
        <v>0</v>
      </c>
      <c r="P377" s="6">
        <f>SUM(PACIENTES!P377+COMEDOR!P377+JORNADA!P377+'DIETOLOGÍA(S)'!P377)</f>
        <v>0</v>
      </c>
      <c r="Q377" s="6">
        <f>SUM(PACIENTES!Q377+COMEDOR!Q377+JORNADA!Q377+'DIETOLOGÍA(S)'!Q377)</f>
        <v>0</v>
      </c>
      <c r="R377" s="6">
        <f>SUM(PACIENTES!R377+COMEDOR!R377+JORNADA!R377+'DIETOLOGÍA(S)'!R377)</f>
        <v>0</v>
      </c>
      <c r="S377" s="6">
        <f>SUM(PACIENTES!S377+COMEDOR!S377+JORNADA!S377+'DIETOLOGÍA(S)'!S377)</f>
        <v>0</v>
      </c>
      <c r="T377" s="6">
        <f>SUM(PACIENTES!T377+COMEDOR!T377+JORNADA!T377+'DIETOLOGÍA(S)'!T377)</f>
        <v>0</v>
      </c>
      <c r="U377" s="6">
        <f>SUM(PACIENTES!U377+COMEDOR!U377+JORNADA!U377+'DIETOLOGÍA(S)'!U377)</f>
        <v>0</v>
      </c>
      <c r="V377" s="6">
        <f>SUM(PACIENTES!V377+COMEDOR!V377+JORNADA!V377+'DIETOLOGÍA(S)'!V377)</f>
        <v>0</v>
      </c>
      <c r="W377" s="6">
        <f>SUM(PACIENTES!W377+COMEDOR!W377+JORNADA!W377+'DIETOLOGÍA(S)'!W377)</f>
        <v>0</v>
      </c>
      <c r="X377" s="6">
        <f>SUM(PACIENTES!X377+COMEDOR!X377+JORNADA!X377+'DIETOLOGÍA(S)'!X377)</f>
        <v>0</v>
      </c>
      <c r="Y377" s="6">
        <f>SUM(PACIENTES!Y377+COMEDOR!Y377+JORNADA!Y377+'DIETOLOGÍA(S)'!Y377)</f>
        <v>0</v>
      </c>
      <c r="Z377" s="6">
        <f>SUM(PACIENTES!Z377+COMEDOR!Z377+JORNADA!Z377+'DIETOLOGÍA(S)'!Z377)</f>
        <v>0</v>
      </c>
      <c r="AA377" s="6">
        <f>SUM(PACIENTES!AA377+COMEDOR!AA377+JORNADA!AA377+'DIETOLOGÍA(S)'!AA377)</f>
        <v>0</v>
      </c>
      <c r="AB377" s="6">
        <f>SUM(PACIENTES!AB377+COMEDOR!AB377+JORNADA!AB377+'DIETOLOGÍA(S)'!AB377)</f>
        <v>0</v>
      </c>
      <c r="AC377" s="6">
        <f>SUM(PACIENTES!AC377+COMEDOR!AC377+JORNADA!AC377+'DIETOLOGÍA(S)'!AC377)</f>
        <v>0</v>
      </c>
      <c r="AD377" s="6">
        <f>SUM(PACIENTES!AD377+COMEDOR!AD377+JORNADA!AD377+'DIETOLOGÍA(S)'!AD377)</f>
        <v>0</v>
      </c>
      <c r="AE377" s="6">
        <f>SUM(PACIENTES!AE377+COMEDOR!AE377+JORNADA!AE377+'DIETOLOGÍA(S)'!AE377)</f>
        <v>0</v>
      </c>
      <c r="AF377" s="6">
        <f>SUM(PACIENTES!AF377+COMEDOR!AF377+JORNADA!AF377+'DIETOLOGÍA(S)'!AF377)</f>
        <v>0</v>
      </c>
      <c r="AG377" s="6">
        <f>SUM(PACIENTES!AG377+COMEDOR!AG377+JORNADA!AG377+'DIETOLOGÍA(S)'!AG377)</f>
        <v>0</v>
      </c>
      <c r="AH377" s="6">
        <f>SUM(PACIENTES!AH377+COMEDOR!AH377+JORNADA!AH377+'DIETOLOGÍA(S)'!AH377)</f>
        <v>0</v>
      </c>
      <c r="AI377" s="9">
        <f t="shared" si="11"/>
        <v>1</v>
      </c>
    </row>
    <row r="378" spans="1:35" ht="15.75" customHeight="1">
      <c r="A378" s="238">
        <v>2212001189</v>
      </c>
      <c r="B378" s="239" t="s">
        <v>395</v>
      </c>
      <c r="C378" s="240" t="s">
        <v>6</v>
      </c>
      <c r="D378" s="6">
        <f>SUM(PACIENTES!D378+COMEDOR!D378+JORNADA!D378+'DIETOLOGÍA(S)'!D378)</f>
        <v>0</v>
      </c>
      <c r="E378" s="6">
        <f>SUM(PACIENTES!E378+COMEDOR!E378+JORNADA!E378+'DIETOLOGÍA(S)'!E378)</f>
        <v>0</v>
      </c>
      <c r="F378" s="6">
        <f>SUM(PACIENTES!F378+COMEDOR!F378+JORNADA!F378+'DIETOLOGÍA(S)'!F378)</f>
        <v>0</v>
      </c>
      <c r="G378" s="6">
        <f>SUM(PACIENTES!G378+COMEDOR!G378+JORNADA!G378+'DIETOLOGÍA(S)'!G378)</f>
        <v>0</v>
      </c>
      <c r="H378" s="6">
        <f>SUM(PACIENTES!H378+COMEDOR!H378+JORNADA!H378+'DIETOLOGÍA(S)'!H378)</f>
        <v>0</v>
      </c>
      <c r="I378" s="6">
        <f>SUM(PACIENTES!I378+COMEDOR!I378+JORNADA!I378+'DIETOLOGÍA(S)'!I378)</f>
        <v>0</v>
      </c>
      <c r="J378" s="6">
        <f>SUM(PACIENTES!J378+COMEDOR!J378+JORNADA!J378+'DIETOLOGÍA(S)'!J378)</f>
        <v>0</v>
      </c>
      <c r="K378" s="6">
        <f>SUM(PACIENTES!K378+COMEDOR!K378+JORNADA!K378+'DIETOLOGÍA(S)'!K378)</f>
        <v>0</v>
      </c>
      <c r="L378" s="6">
        <f>SUM(PACIENTES!L378+COMEDOR!L378+JORNADA!L378+'DIETOLOGÍA(S)'!L378)</f>
        <v>0</v>
      </c>
      <c r="M378" s="6">
        <f>SUM(PACIENTES!M378+COMEDOR!M378+JORNADA!M378+'DIETOLOGÍA(S)'!M378)</f>
        <v>0</v>
      </c>
      <c r="N378" s="6">
        <f>SUM(PACIENTES!N378+COMEDOR!N378+JORNADA!N378+'DIETOLOGÍA(S)'!N378)</f>
        <v>0</v>
      </c>
      <c r="O378" s="6">
        <f>SUM(PACIENTES!O378+COMEDOR!O378+JORNADA!O378+'DIETOLOGÍA(S)'!O378)</f>
        <v>0</v>
      </c>
      <c r="P378" s="6">
        <f>SUM(PACIENTES!P378+COMEDOR!P378+JORNADA!P378+'DIETOLOGÍA(S)'!P378)</f>
        <v>0</v>
      </c>
      <c r="Q378" s="6">
        <f>SUM(PACIENTES!Q378+COMEDOR!Q378+JORNADA!Q378+'DIETOLOGÍA(S)'!Q378)</f>
        <v>0</v>
      </c>
      <c r="R378" s="6">
        <f>SUM(PACIENTES!R378+COMEDOR!R378+JORNADA!R378+'DIETOLOGÍA(S)'!R378)</f>
        <v>0</v>
      </c>
      <c r="S378" s="6">
        <f>SUM(PACIENTES!S378+COMEDOR!S378+JORNADA!S378+'DIETOLOGÍA(S)'!S378)</f>
        <v>0</v>
      </c>
      <c r="T378" s="6">
        <f>SUM(PACIENTES!T378+COMEDOR!T378+JORNADA!T378+'DIETOLOGÍA(S)'!T378)</f>
        <v>0</v>
      </c>
      <c r="U378" s="6">
        <f>SUM(PACIENTES!U378+COMEDOR!U378+JORNADA!U378+'DIETOLOGÍA(S)'!U378)</f>
        <v>0</v>
      </c>
      <c r="V378" s="6">
        <f>SUM(PACIENTES!V378+COMEDOR!V378+JORNADA!V378+'DIETOLOGÍA(S)'!V378)</f>
        <v>0</v>
      </c>
      <c r="W378" s="6">
        <f>SUM(PACIENTES!W378+COMEDOR!W378+JORNADA!W378+'DIETOLOGÍA(S)'!W378)</f>
        <v>0</v>
      </c>
      <c r="X378" s="6">
        <f>SUM(PACIENTES!X378+COMEDOR!X378+JORNADA!X378+'DIETOLOGÍA(S)'!X378)</f>
        <v>0</v>
      </c>
      <c r="Y378" s="6">
        <f>SUM(PACIENTES!Y378+COMEDOR!Y378+JORNADA!Y378+'DIETOLOGÍA(S)'!Y378)</f>
        <v>0</v>
      </c>
      <c r="Z378" s="6">
        <f>SUM(PACIENTES!Z378+COMEDOR!Z378+JORNADA!Z378+'DIETOLOGÍA(S)'!Z378)</f>
        <v>0</v>
      </c>
      <c r="AA378" s="6">
        <f>SUM(PACIENTES!AA378+COMEDOR!AA378+JORNADA!AA378+'DIETOLOGÍA(S)'!AA378)</f>
        <v>0</v>
      </c>
      <c r="AB378" s="6">
        <f>SUM(PACIENTES!AB378+COMEDOR!AB378+JORNADA!AB378+'DIETOLOGÍA(S)'!AB378)</f>
        <v>0</v>
      </c>
      <c r="AC378" s="6">
        <f>SUM(PACIENTES!AC378+COMEDOR!AC378+JORNADA!AC378+'DIETOLOGÍA(S)'!AC378)</f>
        <v>0</v>
      </c>
      <c r="AD378" s="6">
        <f>SUM(PACIENTES!AD378+COMEDOR!AD378+JORNADA!AD378+'DIETOLOGÍA(S)'!AD378)</f>
        <v>0</v>
      </c>
      <c r="AE378" s="6">
        <f>SUM(PACIENTES!AE378+COMEDOR!AE378+JORNADA!AE378+'DIETOLOGÍA(S)'!AE378)</f>
        <v>0</v>
      </c>
      <c r="AF378" s="6">
        <f>SUM(PACIENTES!AF378+COMEDOR!AF378+JORNADA!AF378+'DIETOLOGÍA(S)'!AF378)</f>
        <v>0</v>
      </c>
      <c r="AG378" s="6">
        <f>SUM(PACIENTES!AG378+COMEDOR!AG378+JORNADA!AG378+'DIETOLOGÍA(S)'!AG378)</f>
        <v>0</v>
      </c>
      <c r="AH378" s="6">
        <f>SUM(PACIENTES!AH378+COMEDOR!AH378+JORNADA!AH378+'DIETOLOGÍA(S)'!AH378)</f>
        <v>0</v>
      </c>
      <c r="AI378" s="9">
        <f t="shared" si="11"/>
        <v>0</v>
      </c>
    </row>
    <row r="379" spans="1:35" ht="15.75" customHeight="1">
      <c r="A379" s="238">
        <v>2212001190</v>
      </c>
      <c r="B379" s="239" t="s">
        <v>396</v>
      </c>
      <c r="C379" s="240" t="s">
        <v>6</v>
      </c>
      <c r="D379" s="6">
        <f>SUM(PACIENTES!D379+COMEDOR!D379+JORNADA!D379+'DIETOLOGÍA(S)'!D379)</f>
        <v>0</v>
      </c>
      <c r="E379" s="6">
        <f>SUM(PACIENTES!E379+COMEDOR!E379+JORNADA!E379+'DIETOLOGÍA(S)'!E379)</f>
        <v>0</v>
      </c>
      <c r="F379" s="6">
        <f>SUM(PACIENTES!F379+COMEDOR!F379+JORNADA!F379+'DIETOLOGÍA(S)'!F379)</f>
        <v>0</v>
      </c>
      <c r="G379" s="6">
        <f>SUM(PACIENTES!G379+COMEDOR!G379+JORNADA!G379+'DIETOLOGÍA(S)'!G379)</f>
        <v>0</v>
      </c>
      <c r="H379" s="6">
        <f>SUM(PACIENTES!H379+COMEDOR!H379+JORNADA!H379+'DIETOLOGÍA(S)'!H379)</f>
        <v>0</v>
      </c>
      <c r="I379" s="6">
        <f>SUM(PACIENTES!I379+COMEDOR!I379+JORNADA!I379+'DIETOLOGÍA(S)'!I379)</f>
        <v>0</v>
      </c>
      <c r="J379" s="6">
        <f>SUM(PACIENTES!J379+COMEDOR!J379+JORNADA!J379+'DIETOLOGÍA(S)'!J379)</f>
        <v>0</v>
      </c>
      <c r="K379" s="6">
        <f>SUM(PACIENTES!K379+COMEDOR!K379+JORNADA!K379+'DIETOLOGÍA(S)'!K379)</f>
        <v>0</v>
      </c>
      <c r="L379" s="6">
        <f>SUM(PACIENTES!L379+COMEDOR!L379+JORNADA!L379+'DIETOLOGÍA(S)'!L379)</f>
        <v>0</v>
      </c>
      <c r="M379" s="6">
        <f>SUM(PACIENTES!M379+COMEDOR!M379+JORNADA!M379+'DIETOLOGÍA(S)'!M379)</f>
        <v>0</v>
      </c>
      <c r="N379" s="6">
        <f>SUM(PACIENTES!N379+COMEDOR!N379+JORNADA!N379+'DIETOLOGÍA(S)'!N379)</f>
        <v>0</v>
      </c>
      <c r="O379" s="6">
        <f>SUM(PACIENTES!O379+COMEDOR!O379+JORNADA!O379+'DIETOLOGÍA(S)'!O379)</f>
        <v>0</v>
      </c>
      <c r="P379" s="6">
        <f>SUM(PACIENTES!P379+COMEDOR!P379+JORNADA!P379+'DIETOLOGÍA(S)'!P379)</f>
        <v>0</v>
      </c>
      <c r="Q379" s="6">
        <f>SUM(PACIENTES!Q379+COMEDOR!Q379+JORNADA!Q379+'DIETOLOGÍA(S)'!Q379)</f>
        <v>0</v>
      </c>
      <c r="R379" s="6">
        <f>SUM(PACIENTES!R379+COMEDOR!R379+JORNADA!R379+'DIETOLOGÍA(S)'!R379)</f>
        <v>0</v>
      </c>
      <c r="S379" s="6">
        <f>SUM(PACIENTES!S379+COMEDOR!S379+JORNADA!S379+'DIETOLOGÍA(S)'!S379)</f>
        <v>0</v>
      </c>
      <c r="T379" s="6">
        <f>SUM(PACIENTES!T379+COMEDOR!T379+JORNADA!T379+'DIETOLOGÍA(S)'!T379)</f>
        <v>0</v>
      </c>
      <c r="U379" s="6">
        <f>SUM(PACIENTES!U379+COMEDOR!U379+JORNADA!U379+'DIETOLOGÍA(S)'!U379)</f>
        <v>0</v>
      </c>
      <c r="V379" s="6">
        <f>SUM(PACIENTES!V379+COMEDOR!V379+JORNADA!V379+'DIETOLOGÍA(S)'!V379)</f>
        <v>0</v>
      </c>
      <c r="W379" s="6">
        <f>SUM(PACIENTES!W379+COMEDOR!W379+JORNADA!W379+'DIETOLOGÍA(S)'!W379)</f>
        <v>0</v>
      </c>
      <c r="X379" s="6">
        <f>SUM(PACIENTES!X379+COMEDOR!X379+JORNADA!X379+'DIETOLOGÍA(S)'!X379)</f>
        <v>0</v>
      </c>
      <c r="Y379" s="6">
        <f>SUM(PACIENTES!Y379+COMEDOR!Y379+JORNADA!Y379+'DIETOLOGÍA(S)'!Y379)</f>
        <v>0</v>
      </c>
      <c r="Z379" s="6">
        <f>SUM(PACIENTES!Z379+COMEDOR!Z379+JORNADA!Z379+'DIETOLOGÍA(S)'!Z379)</f>
        <v>0</v>
      </c>
      <c r="AA379" s="6">
        <f>SUM(PACIENTES!AA379+COMEDOR!AA379+JORNADA!AA379+'DIETOLOGÍA(S)'!AA379)</f>
        <v>0</v>
      </c>
      <c r="AB379" s="6">
        <f>SUM(PACIENTES!AB379+COMEDOR!AB379+JORNADA!AB379+'DIETOLOGÍA(S)'!AB379)</f>
        <v>0</v>
      </c>
      <c r="AC379" s="6">
        <f>SUM(PACIENTES!AC379+COMEDOR!AC379+JORNADA!AC379+'DIETOLOGÍA(S)'!AC379)</f>
        <v>0</v>
      </c>
      <c r="AD379" s="6">
        <f>SUM(PACIENTES!AD379+COMEDOR!AD379+JORNADA!AD379+'DIETOLOGÍA(S)'!AD379)</f>
        <v>0</v>
      </c>
      <c r="AE379" s="6">
        <f>SUM(PACIENTES!AE379+COMEDOR!AE379+JORNADA!AE379+'DIETOLOGÍA(S)'!AE379)</f>
        <v>0</v>
      </c>
      <c r="AF379" s="6">
        <f>SUM(PACIENTES!AF379+COMEDOR!AF379+JORNADA!AF379+'DIETOLOGÍA(S)'!AF379)</f>
        <v>0</v>
      </c>
      <c r="AG379" s="6">
        <f>SUM(PACIENTES!AG379+COMEDOR!AG379+JORNADA!AG379+'DIETOLOGÍA(S)'!AG379)</f>
        <v>0</v>
      </c>
      <c r="AH379" s="6">
        <f>SUM(PACIENTES!AH379+COMEDOR!AH379+JORNADA!AH379+'DIETOLOGÍA(S)'!AH379)</f>
        <v>0</v>
      </c>
      <c r="AI379" s="9">
        <f t="shared" si="11"/>
        <v>0</v>
      </c>
    </row>
    <row r="380" spans="1:35" ht="15.75" customHeight="1">
      <c r="A380" s="238">
        <v>2212001191</v>
      </c>
      <c r="B380" s="239" t="s">
        <v>397</v>
      </c>
      <c r="C380" s="240" t="s">
        <v>6</v>
      </c>
      <c r="D380" s="6">
        <f>SUM(PACIENTES!D380+COMEDOR!D380+JORNADA!D380+'DIETOLOGÍA(S)'!D380)</f>
        <v>0</v>
      </c>
      <c r="E380" s="6">
        <f>SUM(PACIENTES!E380+COMEDOR!E380+JORNADA!E380+'DIETOLOGÍA(S)'!E380)</f>
        <v>0</v>
      </c>
      <c r="F380" s="6">
        <f>SUM(PACIENTES!F380+COMEDOR!F380+JORNADA!F380+'DIETOLOGÍA(S)'!F380)</f>
        <v>0</v>
      </c>
      <c r="G380" s="6">
        <f>SUM(PACIENTES!G380+COMEDOR!G380+JORNADA!G380+'DIETOLOGÍA(S)'!G380)</f>
        <v>0</v>
      </c>
      <c r="H380" s="6">
        <f>SUM(PACIENTES!H380+COMEDOR!H380+JORNADA!H380+'DIETOLOGÍA(S)'!H380)</f>
        <v>0</v>
      </c>
      <c r="I380" s="6">
        <f>SUM(PACIENTES!I380+COMEDOR!I380+JORNADA!I380+'DIETOLOGÍA(S)'!I380)</f>
        <v>0</v>
      </c>
      <c r="J380" s="6">
        <f>SUM(PACIENTES!J380+COMEDOR!J380+JORNADA!J380+'DIETOLOGÍA(S)'!J380)</f>
        <v>0</v>
      </c>
      <c r="K380" s="6">
        <f>SUM(PACIENTES!K380+COMEDOR!K380+JORNADA!K380+'DIETOLOGÍA(S)'!K380)</f>
        <v>0</v>
      </c>
      <c r="L380" s="6">
        <f>SUM(PACIENTES!L380+COMEDOR!L380+JORNADA!L380+'DIETOLOGÍA(S)'!L380)</f>
        <v>0</v>
      </c>
      <c r="M380" s="6">
        <f>SUM(PACIENTES!M380+COMEDOR!M380+JORNADA!M380+'DIETOLOGÍA(S)'!M380)</f>
        <v>0</v>
      </c>
      <c r="N380" s="6">
        <f>SUM(PACIENTES!N380+COMEDOR!N380+JORNADA!N380+'DIETOLOGÍA(S)'!N380)</f>
        <v>0</v>
      </c>
      <c r="O380" s="6">
        <f>SUM(PACIENTES!O380+COMEDOR!O380+JORNADA!O380+'DIETOLOGÍA(S)'!O380)</f>
        <v>0</v>
      </c>
      <c r="P380" s="6">
        <f>SUM(PACIENTES!P380+COMEDOR!P380+JORNADA!P380+'DIETOLOGÍA(S)'!P380)</f>
        <v>0</v>
      </c>
      <c r="Q380" s="6">
        <f>SUM(PACIENTES!Q380+COMEDOR!Q380+JORNADA!Q380+'DIETOLOGÍA(S)'!Q380)</f>
        <v>0</v>
      </c>
      <c r="R380" s="6">
        <f>SUM(PACIENTES!R380+COMEDOR!R380+JORNADA!R380+'DIETOLOGÍA(S)'!R380)</f>
        <v>0</v>
      </c>
      <c r="S380" s="6">
        <f>SUM(PACIENTES!S380+COMEDOR!S380+JORNADA!S380+'DIETOLOGÍA(S)'!S380)</f>
        <v>0</v>
      </c>
      <c r="T380" s="6">
        <f>SUM(PACIENTES!T380+COMEDOR!T380+JORNADA!T380+'DIETOLOGÍA(S)'!T380)</f>
        <v>0</v>
      </c>
      <c r="U380" s="6">
        <f>SUM(PACIENTES!U380+COMEDOR!U380+JORNADA!U380+'DIETOLOGÍA(S)'!U380)</f>
        <v>0</v>
      </c>
      <c r="V380" s="6">
        <f>SUM(PACIENTES!V380+COMEDOR!V380+JORNADA!V380+'DIETOLOGÍA(S)'!V380)</f>
        <v>0</v>
      </c>
      <c r="W380" s="6">
        <f>SUM(PACIENTES!W380+COMEDOR!W380+JORNADA!W380+'DIETOLOGÍA(S)'!W380)</f>
        <v>0</v>
      </c>
      <c r="X380" s="6">
        <f>SUM(PACIENTES!X380+COMEDOR!X380+JORNADA!X380+'DIETOLOGÍA(S)'!X380)</f>
        <v>0</v>
      </c>
      <c r="Y380" s="6">
        <f>SUM(PACIENTES!Y380+COMEDOR!Y380+JORNADA!Y380+'DIETOLOGÍA(S)'!Y380)</f>
        <v>0</v>
      </c>
      <c r="Z380" s="6">
        <f>SUM(PACIENTES!Z380+COMEDOR!Z380+JORNADA!Z380+'DIETOLOGÍA(S)'!Z380)</f>
        <v>0</v>
      </c>
      <c r="AA380" s="6">
        <f>SUM(PACIENTES!AA380+COMEDOR!AA380+JORNADA!AA380+'DIETOLOGÍA(S)'!AA380)</f>
        <v>0</v>
      </c>
      <c r="AB380" s="6">
        <f>SUM(PACIENTES!AB380+COMEDOR!AB380+JORNADA!AB380+'DIETOLOGÍA(S)'!AB380)</f>
        <v>0</v>
      </c>
      <c r="AC380" s="6">
        <f>SUM(PACIENTES!AC380+COMEDOR!AC380+JORNADA!AC380+'DIETOLOGÍA(S)'!AC380)</f>
        <v>0</v>
      </c>
      <c r="AD380" s="6">
        <f>SUM(PACIENTES!AD380+COMEDOR!AD380+JORNADA!AD380+'DIETOLOGÍA(S)'!AD380)</f>
        <v>0</v>
      </c>
      <c r="AE380" s="6">
        <f>SUM(PACIENTES!AE380+COMEDOR!AE380+JORNADA!AE380+'DIETOLOGÍA(S)'!AE380)</f>
        <v>0</v>
      </c>
      <c r="AF380" s="6">
        <f>SUM(PACIENTES!AF380+COMEDOR!AF380+JORNADA!AF380+'DIETOLOGÍA(S)'!AF380)</f>
        <v>0</v>
      </c>
      <c r="AG380" s="6">
        <f>SUM(PACIENTES!AG380+COMEDOR!AG380+JORNADA!AG380+'DIETOLOGÍA(S)'!AG380)</f>
        <v>0</v>
      </c>
      <c r="AH380" s="6">
        <f>SUM(PACIENTES!AH380+COMEDOR!AH380+JORNADA!AH380+'DIETOLOGÍA(S)'!AH380)</f>
        <v>0</v>
      </c>
      <c r="AI380" s="9">
        <f t="shared" si="11"/>
        <v>0</v>
      </c>
    </row>
    <row r="381" spans="1:35" ht="15.75" customHeight="1">
      <c r="A381" s="238">
        <v>2212001193</v>
      </c>
      <c r="B381" s="239" t="s">
        <v>398</v>
      </c>
      <c r="C381" s="240" t="s">
        <v>8</v>
      </c>
      <c r="D381" s="6">
        <f>SUM(PACIENTES!D381+COMEDOR!D381+JORNADA!D381+'DIETOLOGÍA(S)'!D381)</f>
        <v>0</v>
      </c>
      <c r="E381" s="6">
        <f>SUM(PACIENTES!E381+COMEDOR!E381+JORNADA!E381+'DIETOLOGÍA(S)'!E381)</f>
        <v>0</v>
      </c>
      <c r="F381" s="6">
        <f>SUM(PACIENTES!F381+COMEDOR!F381+JORNADA!F381+'DIETOLOGÍA(S)'!F381)</f>
        <v>0</v>
      </c>
      <c r="G381" s="6">
        <f>SUM(PACIENTES!G381+COMEDOR!G381+JORNADA!G381+'DIETOLOGÍA(S)'!G381)</f>
        <v>0</v>
      </c>
      <c r="H381" s="6">
        <f>SUM(PACIENTES!H381+COMEDOR!H381+JORNADA!H381+'DIETOLOGÍA(S)'!H381)</f>
        <v>0</v>
      </c>
      <c r="I381" s="6">
        <f>SUM(PACIENTES!I381+COMEDOR!I381+JORNADA!I381+'DIETOLOGÍA(S)'!I381)</f>
        <v>0</v>
      </c>
      <c r="J381" s="6">
        <f>SUM(PACIENTES!J381+COMEDOR!J381+JORNADA!J381+'DIETOLOGÍA(S)'!J381)</f>
        <v>0</v>
      </c>
      <c r="K381" s="6">
        <f>SUM(PACIENTES!K381+COMEDOR!K381+JORNADA!K381+'DIETOLOGÍA(S)'!K381)</f>
        <v>0</v>
      </c>
      <c r="L381" s="6">
        <f>SUM(PACIENTES!L381+COMEDOR!L381+JORNADA!L381+'DIETOLOGÍA(S)'!L381)</f>
        <v>0</v>
      </c>
      <c r="M381" s="6">
        <f>SUM(PACIENTES!M381+COMEDOR!M381+JORNADA!M381+'DIETOLOGÍA(S)'!M381)</f>
        <v>0</v>
      </c>
      <c r="N381" s="6">
        <f>SUM(PACIENTES!N381+COMEDOR!N381+JORNADA!N381+'DIETOLOGÍA(S)'!N381)</f>
        <v>0</v>
      </c>
      <c r="O381" s="6">
        <f>SUM(PACIENTES!O381+COMEDOR!O381+JORNADA!O381+'DIETOLOGÍA(S)'!O381)</f>
        <v>0</v>
      </c>
      <c r="P381" s="6">
        <f>SUM(PACIENTES!P381+COMEDOR!P381+JORNADA!P381+'DIETOLOGÍA(S)'!P381)</f>
        <v>0</v>
      </c>
      <c r="Q381" s="6">
        <f>SUM(PACIENTES!Q381+COMEDOR!Q381+JORNADA!Q381+'DIETOLOGÍA(S)'!Q381)</f>
        <v>0</v>
      </c>
      <c r="R381" s="6">
        <f>SUM(PACIENTES!R381+COMEDOR!R381+JORNADA!R381+'DIETOLOGÍA(S)'!R381)</f>
        <v>0</v>
      </c>
      <c r="S381" s="6">
        <f>SUM(PACIENTES!S381+COMEDOR!S381+JORNADA!S381+'DIETOLOGÍA(S)'!S381)</f>
        <v>0</v>
      </c>
      <c r="T381" s="6">
        <f>SUM(PACIENTES!T381+COMEDOR!T381+JORNADA!T381+'DIETOLOGÍA(S)'!T381)</f>
        <v>0</v>
      </c>
      <c r="U381" s="6">
        <f>SUM(PACIENTES!U381+COMEDOR!U381+JORNADA!U381+'DIETOLOGÍA(S)'!U381)</f>
        <v>0</v>
      </c>
      <c r="V381" s="6">
        <f>SUM(PACIENTES!V381+COMEDOR!V381+JORNADA!V381+'DIETOLOGÍA(S)'!V381)</f>
        <v>0</v>
      </c>
      <c r="W381" s="6">
        <f>SUM(PACIENTES!W381+COMEDOR!W381+JORNADA!W381+'DIETOLOGÍA(S)'!W381)</f>
        <v>0</v>
      </c>
      <c r="X381" s="6">
        <f>SUM(PACIENTES!X381+COMEDOR!X381+JORNADA!X381+'DIETOLOGÍA(S)'!X381)</f>
        <v>0</v>
      </c>
      <c r="Y381" s="6">
        <f>SUM(PACIENTES!Y381+COMEDOR!Y381+JORNADA!Y381+'DIETOLOGÍA(S)'!Y381)</f>
        <v>0</v>
      </c>
      <c r="Z381" s="6">
        <f>SUM(PACIENTES!Z381+COMEDOR!Z381+JORNADA!Z381+'DIETOLOGÍA(S)'!Z381)</f>
        <v>0</v>
      </c>
      <c r="AA381" s="6">
        <f>SUM(PACIENTES!AA381+COMEDOR!AA381+JORNADA!AA381+'DIETOLOGÍA(S)'!AA381)</f>
        <v>0</v>
      </c>
      <c r="AB381" s="6">
        <f>SUM(PACIENTES!AB381+COMEDOR!AB381+JORNADA!AB381+'DIETOLOGÍA(S)'!AB381)</f>
        <v>0</v>
      </c>
      <c r="AC381" s="6">
        <f>SUM(PACIENTES!AC381+COMEDOR!AC381+JORNADA!AC381+'DIETOLOGÍA(S)'!AC381)</f>
        <v>0</v>
      </c>
      <c r="AD381" s="6">
        <f>SUM(PACIENTES!AD381+COMEDOR!AD381+JORNADA!AD381+'DIETOLOGÍA(S)'!AD381)</f>
        <v>0</v>
      </c>
      <c r="AE381" s="6">
        <f>SUM(PACIENTES!AE381+COMEDOR!AE381+JORNADA!AE381+'DIETOLOGÍA(S)'!AE381)</f>
        <v>0</v>
      </c>
      <c r="AF381" s="6">
        <f>SUM(PACIENTES!AF381+COMEDOR!AF381+JORNADA!AF381+'DIETOLOGÍA(S)'!AF381)</f>
        <v>0</v>
      </c>
      <c r="AG381" s="6">
        <f>SUM(PACIENTES!AG381+COMEDOR!AG381+JORNADA!AG381+'DIETOLOGÍA(S)'!AG381)</f>
        <v>0</v>
      </c>
      <c r="AH381" s="6">
        <f>SUM(PACIENTES!AH381+COMEDOR!AH381+JORNADA!AH381+'DIETOLOGÍA(S)'!AH381)</f>
        <v>0</v>
      </c>
      <c r="AI381" s="9">
        <f t="shared" si="11"/>
        <v>0</v>
      </c>
    </row>
    <row r="382" spans="1:35" ht="15.75" customHeight="1">
      <c r="A382" s="238">
        <v>2212001194</v>
      </c>
      <c r="B382" s="271" t="s">
        <v>399</v>
      </c>
      <c r="C382" s="261" t="s">
        <v>384</v>
      </c>
      <c r="D382" s="6">
        <f>SUM(PACIENTES!D382+COMEDOR!D382+JORNADA!D382+'DIETOLOGÍA(S)'!D382)</f>
        <v>0</v>
      </c>
      <c r="E382" s="6">
        <f>SUM(PACIENTES!E382+COMEDOR!E382+JORNADA!E382+'DIETOLOGÍA(S)'!E382)</f>
        <v>0</v>
      </c>
      <c r="F382" s="6">
        <f>SUM(PACIENTES!F382+COMEDOR!F382+JORNADA!F382+'DIETOLOGÍA(S)'!F382)</f>
        <v>0</v>
      </c>
      <c r="G382" s="6">
        <f>SUM(PACIENTES!G382+COMEDOR!G382+JORNADA!G382+'DIETOLOGÍA(S)'!G382)</f>
        <v>0</v>
      </c>
      <c r="H382" s="6">
        <f>SUM(PACIENTES!H382+COMEDOR!H382+JORNADA!H382+'DIETOLOGÍA(S)'!H382)</f>
        <v>0</v>
      </c>
      <c r="I382" s="6">
        <f>SUM(PACIENTES!I382+COMEDOR!I382+JORNADA!I382+'DIETOLOGÍA(S)'!I382)</f>
        <v>0</v>
      </c>
      <c r="J382" s="6">
        <f>SUM(PACIENTES!J382+COMEDOR!J382+JORNADA!J382+'DIETOLOGÍA(S)'!J382)</f>
        <v>0</v>
      </c>
      <c r="K382" s="6">
        <f>SUM(PACIENTES!K382+COMEDOR!K382+JORNADA!K382+'DIETOLOGÍA(S)'!K382)</f>
        <v>0</v>
      </c>
      <c r="L382" s="6">
        <f>SUM(PACIENTES!L382+COMEDOR!L382+JORNADA!L382+'DIETOLOGÍA(S)'!L382)</f>
        <v>0</v>
      </c>
      <c r="M382" s="6">
        <f>SUM(PACIENTES!M382+COMEDOR!M382+JORNADA!M382+'DIETOLOGÍA(S)'!M382)</f>
        <v>0</v>
      </c>
      <c r="N382" s="6">
        <f>SUM(PACIENTES!N382+COMEDOR!N382+JORNADA!N382+'DIETOLOGÍA(S)'!N382)</f>
        <v>0</v>
      </c>
      <c r="O382" s="6">
        <f>SUM(PACIENTES!O382+COMEDOR!O382+JORNADA!O382+'DIETOLOGÍA(S)'!O382)</f>
        <v>0</v>
      </c>
      <c r="P382" s="6">
        <f>SUM(PACIENTES!P382+COMEDOR!P382+JORNADA!P382+'DIETOLOGÍA(S)'!P382)</f>
        <v>0</v>
      </c>
      <c r="Q382" s="6">
        <f>SUM(PACIENTES!Q382+COMEDOR!Q382+JORNADA!Q382+'DIETOLOGÍA(S)'!Q382)</f>
        <v>0</v>
      </c>
      <c r="R382" s="6">
        <f>SUM(PACIENTES!R382+COMEDOR!R382+JORNADA!R382+'DIETOLOGÍA(S)'!R382)</f>
        <v>0</v>
      </c>
      <c r="S382" s="6">
        <f>SUM(PACIENTES!S382+COMEDOR!S382+JORNADA!S382+'DIETOLOGÍA(S)'!S382)</f>
        <v>0</v>
      </c>
      <c r="T382" s="6">
        <f>SUM(PACIENTES!T382+COMEDOR!T382+JORNADA!T382+'DIETOLOGÍA(S)'!T382)</f>
        <v>0</v>
      </c>
      <c r="U382" s="6">
        <f>SUM(PACIENTES!U382+COMEDOR!U382+JORNADA!U382+'DIETOLOGÍA(S)'!U382)</f>
        <v>0</v>
      </c>
      <c r="V382" s="6">
        <f>SUM(PACIENTES!V382+COMEDOR!V382+JORNADA!V382+'DIETOLOGÍA(S)'!V382)</f>
        <v>0</v>
      </c>
      <c r="W382" s="6">
        <f>SUM(PACIENTES!W382+COMEDOR!W382+JORNADA!W382+'DIETOLOGÍA(S)'!W382)</f>
        <v>0</v>
      </c>
      <c r="X382" s="6">
        <f>SUM(PACIENTES!X382+COMEDOR!X382+JORNADA!X382+'DIETOLOGÍA(S)'!X382)</f>
        <v>0</v>
      </c>
      <c r="Y382" s="6">
        <f>SUM(PACIENTES!Y382+COMEDOR!Y382+JORNADA!Y382+'DIETOLOGÍA(S)'!Y382)</f>
        <v>0</v>
      </c>
      <c r="Z382" s="6">
        <f>SUM(PACIENTES!Z382+COMEDOR!Z382+JORNADA!Z382+'DIETOLOGÍA(S)'!Z382)</f>
        <v>0</v>
      </c>
      <c r="AA382" s="6">
        <f>SUM(PACIENTES!AA382+COMEDOR!AA382+JORNADA!AA382+'DIETOLOGÍA(S)'!AA382)</f>
        <v>0</v>
      </c>
      <c r="AB382" s="6">
        <f>SUM(PACIENTES!AB382+COMEDOR!AB382+JORNADA!AB382+'DIETOLOGÍA(S)'!AB382)</f>
        <v>0</v>
      </c>
      <c r="AC382" s="6">
        <f>SUM(PACIENTES!AC382+COMEDOR!AC382+JORNADA!AC382+'DIETOLOGÍA(S)'!AC382)</f>
        <v>0</v>
      </c>
      <c r="AD382" s="6">
        <f>SUM(PACIENTES!AD382+COMEDOR!AD382+JORNADA!AD382+'DIETOLOGÍA(S)'!AD382)</f>
        <v>0</v>
      </c>
      <c r="AE382" s="6">
        <f>SUM(PACIENTES!AE382+COMEDOR!AE382+JORNADA!AE382+'DIETOLOGÍA(S)'!AE382)</f>
        <v>0</v>
      </c>
      <c r="AF382" s="6">
        <f>SUM(PACIENTES!AF382+COMEDOR!AF382+JORNADA!AF382+'DIETOLOGÍA(S)'!AF382)</f>
        <v>0</v>
      </c>
      <c r="AG382" s="6">
        <f>SUM(PACIENTES!AG382+COMEDOR!AG382+JORNADA!AG382+'DIETOLOGÍA(S)'!AG382)</f>
        <v>0</v>
      </c>
      <c r="AH382" s="6">
        <f>SUM(PACIENTES!AH382+COMEDOR!AH382+JORNADA!AH382+'DIETOLOGÍA(S)'!AH382)</f>
        <v>0</v>
      </c>
      <c r="AI382" s="9">
        <f t="shared" si="11"/>
        <v>0</v>
      </c>
    </row>
    <row r="383" spans="1:35" ht="15.75" customHeight="1">
      <c r="A383" s="238">
        <v>2212003016</v>
      </c>
      <c r="B383" s="239" t="s">
        <v>400</v>
      </c>
      <c r="C383" s="240" t="s">
        <v>171</v>
      </c>
      <c r="D383" s="6">
        <f>SUM(PACIENTES!D383+COMEDOR!D383+JORNADA!D383+'DIETOLOGÍA(S)'!D383)</f>
        <v>0</v>
      </c>
      <c r="E383" s="6">
        <f>SUM(PACIENTES!E383+COMEDOR!E383+JORNADA!E383+'DIETOLOGÍA(S)'!E383)</f>
        <v>0</v>
      </c>
      <c r="F383" s="6">
        <f>SUM(PACIENTES!F383+COMEDOR!F383+JORNADA!F383+'DIETOLOGÍA(S)'!F383)</f>
        <v>0</v>
      </c>
      <c r="G383" s="6">
        <f>SUM(PACIENTES!G383+COMEDOR!G383+JORNADA!G383+'DIETOLOGÍA(S)'!G383)</f>
        <v>0</v>
      </c>
      <c r="H383" s="6">
        <f>SUM(PACIENTES!H383+COMEDOR!H383+JORNADA!H383+'DIETOLOGÍA(S)'!H383)</f>
        <v>0</v>
      </c>
      <c r="I383" s="6">
        <f>SUM(PACIENTES!I383+COMEDOR!I383+JORNADA!I383+'DIETOLOGÍA(S)'!I383)</f>
        <v>0</v>
      </c>
      <c r="J383" s="6">
        <f>SUM(PACIENTES!J383+COMEDOR!J383+JORNADA!J383+'DIETOLOGÍA(S)'!J383)</f>
        <v>0</v>
      </c>
      <c r="K383" s="6">
        <f>SUM(PACIENTES!K383+COMEDOR!K383+JORNADA!K383+'DIETOLOGÍA(S)'!K383)</f>
        <v>0</v>
      </c>
      <c r="L383" s="6">
        <f>SUM(PACIENTES!L383+COMEDOR!L383+JORNADA!L383+'DIETOLOGÍA(S)'!L383)</f>
        <v>0</v>
      </c>
      <c r="M383" s="6">
        <f>SUM(PACIENTES!M383+COMEDOR!M383+JORNADA!M383+'DIETOLOGÍA(S)'!M383)</f>
        <v>0</v>
      </c>
      <c r="N383" s="6">
        <f>SUM(PACIENTES!N383+COMEDOR!N383+JORNADA!N383+'DIETOLOGÍA(S)'!N383)</f>
        <v>0</v>
      </c>
      <c r="O383" s="6">
        <f>SUM(PACIENTES!O383+COMEDOR!O383+JORNADA!O383+'DIETOLOGÍA(S)'!O383)</f>
        <v>0</v>
      </c>
      <c r="P383" s="6">
        <f>SUM(PACIENTES!P383+COMEDOR!P383+JORNADA!P383+'DIETOLOGÍA(S)'!P383)</f>
        <v>0</v>
      </c>
      <c r="Q383" s="6">
        <f>SUM(PACIENTES!Q383+COMEDOR!Q383+JORNADA!Q383+'DIETOLOGÍA(S)'!Q383)</f>
        <v>0</v>
      </c>
      <c r="R383" s="6">
        <f>SUM(PACIENTES!R383+COMEDOR!R383+JORNADA!R383+'DIETOLOGÍA(S)'!R383)</f>
        <v>0</v>
      </c>
      <c r="S383" s="6">
        <f>SUM(PACIENTES!S383+COMEDOR!S383+JORNADA!S383+'DIETOLOGÍA(S)'!S383)</f>
        <v>0</v>
      </c>
      <c r="T383" s="6">
        <f>SUM(PACIENTES!T383+COMEDOR!T383+JORNADA!T383+'DIETOLOGÍA(S)'!T383)</f>
        <v>0</v>
      </c>
      <c r="U383" s="6">
        <f>SUM(PACIENTES!U383+COMEDOR!U383+JORNADA!U383+'DIETOLOGÍA(S)'!U383)</f>
        <v>0</v>
      </c>
      <c r="V383" s="6">
        <f>SUM(PACIENTES!V383+COMEDOR!V383+JORNADA!V383+'DIETOLOGÍA(S)'!V383)</f>
        <v>0</v>
      </c>
      <c r="W383" s="6">
        <f>SUM(PACIENTES!W383+COMEDOR!W383+JORNADA!W383+'DIETOLOGÍA(S)'!W383)</f>
        <v>0</v>
      </c>
      <c r="X383" s="6">
        <f>SUM(PACIENTES!X383+COMEDOR!X383+JORNADA!X383+'DIETOLOGÍA(S)'!X383)</f>
        <v>0</v>
      </c>
      <c r="Y383" s="6">
        <f>SUM(PACIENTES!Y383+COMEDOR!Y383+JORNADA!Y383+'DIETOLOGÍA(S)'!Y383)</f>
        <v>0</v>
      </c>
      <c r="Z383" s="6">
        <f>SUM(PACIENTES!Z383+COMEDOR!Z383+JORNADA!Z383+'DIETOLOGÍA(S)'!Z383)</f>
        <v>0</v>
      </c>
      <c r="AA383" s="6">
        <f>SUM(PACIENTES!AA383+COMEDOR!AA383+JORNADA!AA383+'DIETOLOGÍA(S)'!AA383)</f>
        <v>0</v>
      </c>
      <c r="AB383" s="6">
        <f>SUM(PACIENTES!AB383+COMEDOR!AB383+JORNADA!AB383+'DIETOLOGÍA(S)'!AB383)</f>
        <v>0</v>
      </c>
      <c r="AC383" s="6">
        <f>SUM(PACIENTES!AC383+COMEDOR!AC383+JORNADA!AC383+'DIETOLOGÍA(S)'!AC383)</f>
        <v>0</v>
      </c>
      <c r="AD383" s="6">
        <f>SUM(PACIENTES!AD383+COMEDOR!AD383+JORNADA!AD383+'DIETOLOGÍA(S)'!AD383)</f>
        <v>0</v>
      </c>
      <c r="AE383" s="6">
        <f>SUM(PACIENTES!AE383+COMEDOR!AE383+JORNADA!AE383+'DIETOLOGÍA(S)'!AE383)</f>
        <v>0</v>
      </c>
      <c r="AF383" s="6">
        <f>SUM(PACIENTES!AF383+COMEDOR!AF383+JORNADA!AF383+'DIETOLOGÍA(S)'!AF383)</f>
        <v>0</v>
      </c>
      <c r="AG383" s="6">
        <f>SUM(PACIENTES!AG383+COMEDOR!AG383+JORNADA!AG383+'DIETOLOGÍA(S)'!AG383)</f>
        <v>0</v>
      </c>
      <c r="AH383" s="6">
        <f>SUM(PACIENTES!AH383+COMEDOR!AH383+JORNADA!AH383+'DIETOLOGÍA(S)'!AH383)</f>
        <v>0</v>
      </c>
      <c r="AI383" s="9">
        <f t="shared" si="11"/>
        <v>0</v>
      </c>
    </row>
    <row r="384" spans="1:35" ht="15.75" customHeight="1">
      <c r="A384" s="274">
        <v>2212008048</v>
      </c>
      <c r="B384" s="275" t="s">
        <v>401</v>
      </c>
      <c r="C384" s="276" t="s">
        <v>8</v>
      </c>
      <c r="D384" s="6">
        <f>SUM(PACIENTES!D384+COMEDOR!D384+JORNADA!D384+'DIETOLOGÍA(S)'!D384)</f>
        <v>0</v>
      </c>
      <c r="E384" s="6">
        <f>SUM(PACIENTES!E384+COMEDOR!E384+JORNADA!E384+'DIETOLOGÍA(S)'!E384)</f>
        <v>0</v>
      </c>
      <c r="F384" s="6">
        <f>SUM(PACIENTES!F384+COMEDOR!F384+JORNADA!F384+'DIETOLOGÍA(S)'!F384)</f>
        <v>0</v>
      </c>
      <c r="G384" s="6">
        <f>SUM(PACIENTES!G384+COMEDOR!G384+JORNADA!G384+'DIETOLOGÍA(S)'!G384)</f>
        <v>0</v>
      </c>
      <c r="H384" s="6">
        <f>SUM(PACIENTES!H384+COMEDOR!H384+JORNADA!H384+'DIETOLOGÍA(S)'!H384)</f>
        <v>0</v>
      </c>
      <c r="I384" s="6">
        <f>SUM(PACIENTES!I384+COMEDOR!I384+JORNADA!I384+'DIETOLOGÍA(S)'!I384)</f>
        <v>0</v>
      </c>
      <c r="J384" s="6">
        <f>SUM(PACIENTES!J384+COMEDOR!J384+JORNADA!J384+'DIETOLOGÍA(S)'!J384)</f>
        <v>0</v>
      </c>
      <c r="K384" s="6">
        <f>SUM(PACIENTES!K384+COMEDOR!K384+JORNADA!K384+'DIETOLOGÍA(S)'!K384)</f>
        <v>0</v>
      </c>
      <c r="L384" s="6">
        <f>SUM(PACIENTES!L384+COMEDOR!L384+JORNADA!L384+'DIETOLOGÍA(S)'!L384)</f>
        <v>0</v>
      </c>
      <c r="M384" s="6">
        <f>SUM(PACIENTES!M384+COMEDOR!M384+JORNADA!M384+'DIETOLOGÍA(S)'!M384)</f>
        <v>0</v>
      </c>
      <c r="N384" s="6">
        <f>SUM(PACIENTES!N384+COMEDOR!N384+JORNADA!N384+'DIETOLOGÍA(S)'!N384)</f>
        <v>0</v>
      </c>
      <c r="O384" s="6">
        <f>SUM(PACIENTES!O384+COMEDOR!O384+JORNADA!O384+'DIETOLOGÍA(S)'!O384)</f>
        <v>0</v>
      </c>
      <c r="P384" s="6">
        <f>SUM(PACIENTES!P384+COMEDOR!P384+JORNADA!P384+'DIETOLOGÍA(S)'!P384)</f>
        <v>1</v>
      </c>
      <c r="Q384" s="6">
        <f>SUM(PACIENTES!Q384+COMEDOR!Q384+JORNADA!Q384+'DIETOLOGÍA(S)'!Q384)</f>
        <v>1</v>
      </c>
      <c r="R384" s="6">
        <f>SUM(PACIENTES!R384+COMEDOR!R384+JORNADA!R384+'DIETOLOGÍA(S)'!R384)</f>
        <v>0</v>
      </c>
      <c r="S384" s="6">
        <f>SUM(PACIENTES!S384+COMEDOR!S384+JORNADA!S384+'DIETOLOGÍA(S)'!S384)</f>
        <v>0</v>
      </c>
      <c r="T384" s="6">
        <f>SUM(PACIENTES!T384+COMEDOR!T384+JORNADA!T384+'DIETOLOGÍA(S)'!T384)</f>
        <v>0</v>
      </c>
      <c r="U384" s="6">
        <f>SUM(PACIENTES!U384+COMEDOR!U384+JORNADA!U384+'DIETOLOGÍA(S)'!U384)</f>
        <v>0</v>
      </c>
      <c r="V384" s="6">
        <f>SUM(PACIENTES!V384+COMEDOR!V384+JORNADA!V384+'DIETOLOGÍA(S)'!V384)</f>
        <v>0</v>
      </c>
      <c r="W384" s="6">
        <f>SUM(PACIENTES!W384+COMEDOR!W384+JORNADA!W384+'DIETOLOGÍA(S)'!W384)</f>
        <v>0</v>
      </c>
      <c r="X384" s="6">
        <f>SUM(PACIENTES!X384+COMEDOR!X384+JORNADA!X384+'DIETOLOGÍA(S)'!X384)</f>
        <v>0</v>
      </c>
      <c r="Y384" s="6">
        <f>SUM(PACIENTES!Y384+COMEDOR!Y384+JORNADA!Y384+'DIETOLOGÍA(S)'!Y384)</f>
        <v>0</v>
      </c>
      <c r="Z384" s="6">
        <f>SUM(PACIENTES!Z384+COMEDOR!Z384+JORNADA!Z384+'DIETOLOGÍA(S)'!Z384)</f>
        <v>0</v>
      </c>
      <c r="AA384" s="6">
        <f>SUM(PACIENTES!AA384+COMEDOR!AA384+JORNADA!AA384+'DIETOLOGÍA(S)'!AA384)</f>
        <v>0</v>
      </c>
      <c r="AB384" s="6">
        <f>SUM(PACIENTES!AB384+COMEDOR!AB384+JORNADA!AB384+'DIETOLOGÍA(S)'!AB384)</f>
        <v>0</v>
      </c>
      <c r="AC384" s="6">
        <f>SUM(PACIENTES!AC384+COMEDOR!AC384+JORNADA!AC384+'DIETOLOGÍA(S)'!AC384)</f>
        <v>0</v>
      </c>
      <c r="AD384" s="6">
        <f>SUM(PACIENTES!AD384+COMEDOR!AD384+JORNADA!AD384+'DIETOLOGÍA(S)'!AD384)</f>
        <v>0</v>
      </c>
      <c r="AE384" s="6">
        <f>SUM(PACIENTES!AE384+COMEDOR!AE384+JORNADA!AE384+'DIETOLOGÍA(S)'!AE384)</f>
        <v>0</v>
      </c>
      <c r="AF384" s="6">
        <f>SUM(PACIENTES!AF384+COMEDOR!AF384+JORNADA!AF384+'DIETOLOGÍA(S)'!AF384)</f>
        <v>0</v>
      </c>
      <c r="AG384" s="6">
        <f>SUM(PACIENTES!AG384+COMEDOR!AG384+JORNADA!AG384+'DIETOLOGÍA(S)'!AG384)</f>
        <v>0</v>
      </c>
      <c r="AH384" s="6">
        <f>SUM(PACIENTES!AH384+COMEDOR!AH384+JORNADA!AH384+'DIETOLOGÍA(S)'!AH384)</f>
        <v>0</v>
      </c>
      <c r="AI384" s="9">
        <f t="shared" si="11"/>
        <v>2</v>
      </c>
    </row>
    <row r="385" spans="1:35" ht="18.75" customHeight="1">
      <c r="A385" s="612" t="s">
        <v>402</v>
      </c>
      <c r="B385" s="606"/>
      <c r="C385" s="606"/>
      <c r="D385" s="606"/>
      <c r="E385" s="606"/>
      <c r="F385" s="606"/>
      <c r="G385" s="606"/>
      <c r="H385" s="606"/>
      <c r="I385" s="606"/>
      <c r="J385" s="606"/>
      <c r="K385" s="606"/>
      <c r="L385" s="606"/>
      <c r="M385" s="606"/>
      <c r="N385" s="606"/>
      <c r="O385" s="606"/>
      <c r="P385" s="606"/>
      <c r="Q385" s="606"/>
      <c r="R385" s="606"/>
      <c r="S385" s="606"/>
      <c r="T385" s="606"/>
      <c r="U385" s="606"/>
      <c r="V385" s="606"/>
      <c r="W385" s="606"/>
      <c r="X385" s="606"/>
      <c r="Y385" s="606"/>
      <c r="Z385" s="606"/>
      <c r="AA385" s="606"/>
      <c r="AB385" s="606"/>
      <c r="AC385" s="606"/>
      <c r="AD385" s="606"/>
      <c r="AE385" s="606"/>
      <c r="AF385" s="606"/>
      <c r="AG385" s="606"/>
      <c r="AH385" s="607"/>
      <c r="AI385" s="279"/>
    </row>
    <row r="386" spans="1:35" ht="15.75" customHeight="1">
      <c r="A386" s="280">
        <v>2212001170</v>
      </c>
      <c r="B386" s="281" t="s">
        <v>403</v>
      </c>
      <c r="C386" s="282" t="s">
        <v>219</v>
      </c>
      <c r="D386" s="6">
        <f>SUM('BANCO DE LECHE'!D4)</f>
        <v>0</v>
      </c>
      <c r="E386" s="6">
        <f>SUM('BANCO DE LECHE'!E4)</f>
        <v>0</v>
      </c>
      <c r="F386" s="6">
        <f>SUM('BANCO DE LECHE'!F4)</f>
        <v>0</v>
      </c>
      <c r="G386" s="6">
        <f>SUM('BANCO DE LECHE'!G4)</f>
        <v>0</v>
      </c>
      <c r="H386" s="6">
        <f>SUM('BANCO DE LECHE'!H4)</f>
        <v>0</v>
      </c>
      <c r="I386" s="6">
        <f>SUM('BANCO DE LECHE'!I4)</f>
        <v>0</v>
      </c>
      <c r="J386" s="6">
        <f>SUM('BANCO DE LECHE'!J4)</f>
        <v>0</v>
      </c>
      <c r="K386" s="6">
        <f>SUM('BANCO DE LECHE'!K4)</f>
        <v>0</v>
      </c>
      <c r="L386" s="6">
        <f>SUM('BANCO DE LECHE'!L4)</f>
        <v>0</v>
      </c>
      <c r="M386" s="6">
        <f>SUM('BANCO DE LECHE'!M4)</f>
        <v>0</v>
      </c>
      <c r="N386" s="6">
        <f>SUM('BANCO DE LECHE'!N4)</f>
        <v>0</v>
      </c>
      <c r="O386" s="6">
        <f>SUM('BANCO DE LECHE'!O4)</f>
        <v>0</v>
      </c>
      <c r="P386" s="6">
        <f>SUM('BANCO DE LECHE'!P4)</f>
        <v>0</v>
      </c>
      <c r="Q386" s="6">
        <f>SUM('BANCO DE LECHE'!Q4)</f>
        <v>0</v>
      </c>
      <c r="R386" s="6">
        <f>SUM('BANCO DE LECHE'!R4)</f>
        <v>0</v>
      </c>
      <c r="S386" s="6">
        <f>SUM('BANCO DE LECHE'!S4)</f>
        <v>0</v>
      </c>
      <c r="T386" s="6">
        <f>SUM('BANCO DE LECHE'!T4)</f>
        <v>0</v>
      </c>
      <c r="U386" s="6">
        <f>SUM('BANCO DE LECHE'!U4)</f>
        <v>0</v>
      </c>
      <c r="V386" s="6">
        <f>SUM('BANCO DE LECHE'!V4)</f>
        <v>0</v>
      </c>
      <c r="W386" s="6">
        <f>SUM('BANCO DE LECHE'!W4)</f>
        <v>0</v>
      </c>
      <c r="X386" s="6">
        <f>SUM('BANCO DE LECHE'!X4)</f>
        <v>0</v>
      </c>
      <c r="Y386" s="6">
        <f>SUM('BANCO DE LECHE'!Y4)</f>
        <v>0</v>
      </c>
      <c r="Z386" s="6">
        <f>SUM('BANCO DE LECHE'!Z4)</f>
        <v>0</v>
      </c>
      <c r="AA386" s="6">
        <f>SUM('BANCO DE LECHE'!AA4)</f>
        <v>0</v>
      </c>
      <c r="AB386" s="6">
        <f>SUM('BANCO DE LECHE'!AB4)</f>
        <v>0</v>
      </c>
      <c r="AC386" s="6">
        <f>SUM('BANCO DE LECHE'!AC4)</f>
        <v>0</v>
      </c>
      <c r="AD386" s="6">
        <f>SUM('BANCO DE LECHE'!AD4)</f>
        <v>0</v>
      </c>
      <c r="AE386" s="6">
        <f>SUM('BANCO DE LECHE'!AE4)</f>
        <v>0</v>
      </c>
      <c r="AF386" s="6">
        <f>SUM('BANCO DE LECHE'!AF4)</f>
        <v>0</v>
      </c>
      <c r="AG386" s="6">
        <f>SUM('BANCO DE LECHE'!AG4)</f>
        <v>0</v>
      </c>
      <c r="AH386" s="6">
        <f>SUM('BANCO DE LECHE'!AH4)</f>
        <v>0</v>
      </c>
      <c r="AI386" s="9">
        <f t="shared" ref="AI386:AI401" si="12">SUM(D386:AH386)</f>
        <v>0</v>
      </c>
    </row>
    <row r="387" spans="1:35" ht="15.75" customHeight="1">
      <c r="A387" s="283">
        <v>2212001181</v>
      </c>
      <c r="B387" s="284" t="s">
        <v>404</v>
      </c>
      <c r="C387" s="285" t="s">
        <v>6</v>
      </c>
      <c r="D387" s="77">
        <f>SUM('NUTRICIÓN CLÍNICA'!D13)</f>
        <v>0</v>
      </c>
      <c r="E387" s="77">
        <f>SUM('NUTRICIÓN CLÍNICA'!E13)</f>
        <v>0</v>
      </c>
      <c r="F387" s="77">
        <f>SUM('NUTRICIÓN CLÍNICA'!F13)</f>
        <v>0</v>
      </c>
      <c r="G387" s="77">
        <f>SUM('NUTRICIÓN CLÍNICA'!G13)</f>
        <v>0</v>
      </c>
      <c r="H387" s="77">
        <f>SUM('NUTRICIÓN CLÍNICA'!H13)</f>
        <v>0</v>
      </c>
      <c r="I387" s="77">
        <f>SUM('NUTRICIÓN CLÍNICA'!I13)</f>
        <v>25</v>
      </c>
      <c r="J387" s="77">
        <f>SUM('NUTRICIÓN CLÍNICA'!J13)</f>
        <v>0</v>
      </c>
      <c r="K387" s="77">
        <f>SUM('NUTRICIÓN CLÍNICA'!K13)</f>
        <v>0</v>
      </c>
      <c r="L387" s="77">
        <f>SUM('NUTRICIÓN CLÍNICA'!L13)</f>
        <v>0</v>
      </c>
      <c r="M387" s="77">
        <f>SUM('NUTRICIÓN CLÍNICA'!M13)</f>
        <v>0</v>
      </c>
      <c r="N387" s="77">
        <f>SUM('NUTRICIÓN CLÍNICA'!N13)</f>
        <v>0</v>
      </c>
      <c r="O387" s="77">
        <f>SUM('NUTRICIÓN CLÍNICA'!O13)</f>
        <v>0</v>
      </c>
      <c r="P387" s="77">
        <f>SUM('NUTRICIÓN CLÍNICA'!P13)</f>
        <v>0</v>
      </c>
      <c r="Q387" s="77">
        <f>SUM('NUTRICIÓN CLÍNICA'!Q13)</f>
        <v>0</v>
      </c>
      <c r="R387" s="77">
        <f>SUM('NUTRICIÓN CLÍNICA'!R13)</f>
        <v>0</v>
      </c>
      <c r="S387" s="77">
        <f>SUM('NUTRICIÓN CLÍNICA'!S13)</f>
        <v>0</v>
      </c>
      <c r="T387" s="77">
        <f>SUM('NUTRICIÓN CLÍNICA'!T13)</f>
        <v>0</v>
      </c>
      <c r="U387" s="77">
        <f>SUM('NUTRICIÓN CLÍNICA'!U13)</f>
        <v>0</v>
      </c>
      <c r="V387" s="77">
        <f>SUM('NUTRICIÓN CLÍNICA'!V13)</f>
        <v>0</v>
      </c>
      <c r="W387" s="77">
        <f>SUM('NUTRICIÓN CLÍNICA'!W13)</f>
        <v>25</v>
      </c>
      <c r="X387" s="77">
        <f>SUM('NUTRICIÓN CLÍNICA'!X13)</f>
        <v>0</v>
      </c>
      <c r="Y387" s="77">
        <f>SUM('NUTRICIÓN CLÍNICA'!Y13)</f>
        <v>0</v>
      </c>
      <c r="Z387" s="77">
        <f>SUM('NUTRICIÓN CLÍNICA'!Z13)</f>
        <v>0</v>
      </c>
      <c r="AA387" s="77">
        <f>SUM('NUTRICIÓN CLÍNICA'!AA13)</f>
        <v>0</v>
      </c>
      <c r="AB387" s="77">
        <f>SUM('NUTRICIÓN CLÍNICA'!AB13)</f>
        <v>0</v>
      </c>
      <c r="AC387" s="77">
        <f>SUM('NUTRICIÓN CLÍNICA'!AC13)</f>
        <v>0</v>
      </c>
      <c r="AD387" s="77">
        <f>SUM('NUTRICIÓN CLÍNICA'!AD13)</f>
        <v>0</v>
      </c>
      <c r="AE387" s="77">
        <f>SUM('NUTRICIÓN CLÍNICA'!AE13)</f>
        <v>0</v>
      </c>
      <c r="AF387" s="77">
        <f>SUM('NUTRICIÓN CLÍNICA'!AF13)</f>
        <v>0</v>
      </c>
      <c r="AG387" s="77">
        <f>SUM('NUTRICIÓN CLÍNICA'!AG13)</f>
        <v>0</v>
      </c>
      <c r="AH387" s="77">
        <f>SUM('NUTRICIÓN CLÍNICA'!AH13)</f>
        <v>0</v>
      </c>
      <c r="AI387" s="9">
        <f t="shared" si="12"/>
        <v>50</v>
      </c>
    </row>
    <row r="388" spans="1:35" ht="15.75" customHeight="1">
      <c r="A388" s="283">
        <v>2212004036</v>
      </c>
      <c r="B388" s="284" t="s">
        <v>405</v>
      </c>
      <c r="C388" s="285" t="s">
        <v>296</v>
      </c>
      <c r="D388" s="6">
        <f>SUM('BANCO DE LECHE'!D6)</f>
        <v>0</v>
      </c>
      <c r="E388" s="6">
        <f>SUM('BANCO DE LECHE'!E6)</f>
        <v>0</v>
      </c>
      <c r="F388" s="6">
        <f>SUM('BANCO DE LECHE'!F6)</f>
        <v>0</v>
      </c>
      <c r="G388" s="6">
        <f>SUM('BANCO DE LECHE'!G6)</f>
        <v>0</v>
      </c>
      <c r="H388" s="6">
        <f>SUM('BANCO DE LECHE'!H6)</f>
        <v>0</v>
      </c>
      <c r="I388" s="6">
        <f>SUM('BANCO DE LECHE'!I6)</f>
        <v>0</v>
      </c>
      <c r="J388" s="6">
        <f>SUM('BANCO DE LECHE'!J6)</f>
        <v>0</v>
      </c>
      <c r="K388" s="6">
        <f>SUM('BANCO DE LECHE'!K6)</f>
        <v>0</v>
      </c>
      <c r="L388" s="6">
        <f>SUM('BANCO DE LECHE'!L6)</f>
        <v>0</v>
      </c>
      <c r="M388" s="6">
        <f>SUM('BANCO DE LECHE'!M6)</f>
        <v>0</v>
      </c>
      <c r="N388" s="6">
        <f>SUM('BANCO DE LECHE'!N6)</f>
        <v>0</v>
      </c>
      <c r="O388" s="6">
        <f>SUM('BANCO DE LECHE'!O6)</f>
        <v>0</v>
      </c>
      <c r="P388" s="6">
        <f>SUM('BANCO DE LECHE'!P6)</f>
        <v>0</v>
      </c>
      <c r="Q388" s="6">
        <f>SUM('BANCO DE LECHE'!Q6)</f>
        <v>0</v>
      </c>
      <c r="R388" s="6">
        <f>SUM('BANCO DE LECHE'!R6)</f>
        <v>0</v>
      </c>
      <c r="S388" s="6">
        <f>SUM('BANCO DE LECHE'!S6)</f>
        <v>0</v>
      </c>
      <c r="T388" s="6">
        <f>SUM('BANCO DE LECHE'!T6)</f>
        <v>0</v>
      </c>
      <c r="U388" s="6">
        <f>SUM('BANCO DE LECHE'!U6)</f>
        <v>0</v>
      </c>
      <c r="V388" s="6">
        <f>SUM('BANCO DE LECHE'!V6)</f>
        <v>0</v>
      </c>
      <c r="W388" s="6">
        <f>SUM('BANCO DE LECHE'!W6)</f>
        <v>0</v>
      </c>
      <c r="X388" s="6">
        <f>SUM('BANCO DE LECHE'!X6)</f>
        <v>0</v>
      </c>
      <c r="Y388" s="6">
        <f>SUM('BANCO DE LECHE'!Y6)</f>
        <v>0</v>
      </c>
      <c r="Z388" s="6">
        <f>SUM('BANCO DE LECHE'!Z6)</f>
        <v>0</v>
      </c>
      <c r="AA388" s="6">
        <f>SUM('BANCO DE LECHE'!AA6)</f>
        <v>0</v>
      </c>
      <c r="AB388" s="6">
        <f>SUM('BANCO DE LECHE'!AB6)</f>
        <v>0</v>
      </c>
      <c r="AC388" s="6">
        <f>SUM('BANCO DE LECHE'!AC6)</f>
        <v>0</v>
      </c>
      <c r="AD388" s="6">
        <f>SUM('BANCO DE LECHE'!AD6)</f>
        <v>0</v>
      </c>
      <c r="AE388" s="6">
        <f>SUM('BANCO DE LECHE'!AE6)</f>
        <v>0</v>
      </c>
      <c r="AF388" s="6">
        <f>SUM('BANCO DE LECHE'!AF6)</f>
        <v>0</v>
      </c>
      <c r="AG388" s="6">
        <f>SUM('BANCO DE LECHE'!AG6)</f>
        <v>0</v>
      </c>
      <c r="AH388" s="6">
        <f>SUM('BANCO DE LECHE'!AH6)</f>
        <v>0</v>
      </c>
      <c r="AI388" s="9">
        <f t="shared" si="12"/>
        <v>0</v>
      </c>
    </row>
    <row r="389" spans="1:35" ht="15.75" customHeight="1">
      <c r="A389" s="283">
        <v>2212005043</v>
      </c>
      <c r="B389" s="284" t="s">
        <v>406</v>
      </c>
      <c r="C389" s="285" t="s">
        <v>8</v>
      </c>
      <c r="D389" s="77">
        <f>SUM('BANCO DE LECHE'!D7)</f>
        <v>0</v>
      </c>
      <c r="E389" s="77">
        <f>SUM('BANCO DE LECHE'!E7)</f>
        <v>0</v>
      </c>
      <c r="F389" s="77">
        <f>SUM('BANCO DE LECHE'!F7)</f>
        <v>0</v>
      </c>
      <c r="G389" s="77">
        <f>SUM('BANCO DE LECHE'!G7)</f>
        <v>0</v>
      </c>
      <c r="H389" s="77">
        <f>SUM('BANCO DE LECHE'!H7)</f>
        <v>1200</v>
      </c>
      <c r="I389" s="77">
        <f>SUM('BANCO DE LECHE'!I7)</f>
        <v>0</v>
      </c>
      <c r="J389" s="77">
        <f>SUM('BANCO DE LECHE'!J7)</f>
        <v>0</v>
      </c>
      <c r="K389" s="77">
        <f>SUM('BANCO DE LECHE'!K7)</f>
        <v>0</v>
      </c>
      <c r="L389" s="77">
        <f>SUM('BANCO DE LECHE'!L7)</f>
        <v>0</v>
      </c>
      <c r="M389" s="77">
        <f>SUM('BANCO DE LECHE'!M7)</f>
        <v>0</v>
      </c>
      <c r="N389" s="77">
        <f>SUM('BANCO DE LECHE'!N7)</f>
        <v>0</v>
      </c>
      <c r="O389" s="77">
        <f>SUM('BANCO DE LECHE'!O7)</f>
        <v>0</v>
      </c>
      <c r="P389" s="77">
        <f>SUM('BANCO DE LECHE'!P7)</f>
        <v>0</v>
      </c>
      <c r="Q389" s="77">
        <f>SUM('BANCO DE LECHE'!Q7)</f>
        <v>0</v>
      </c>
      <c r="R389" s="77">
        <f>SUM('BANCO DE LECHE'!R7)</f>
        <v>0</v>
      </c>
      <c r="S389" s="77">
        <f>SUM('BANCO DE LECHE'!S7)</f>
        <v>0</v>
      </c>
      <c r="T389" s="77">
        <f>SUM('BANCO DE LECHE'!T7)</f>
        <v>0</v>
      </c>
      <c r="U389" s="77">
        <f>SUM('BANCO DE LECHE'!U7)</f>
        <v>0</v>
      </c>
      <c r="V389" s="77">
        <f>SUM('BANCO DE LECHE'!V7)</f>
        <v>0</v>
      </c>
      <c r="W389" s="77">
        <f>SUM('BANCO DE LECHE'!W7)</f>
        <v>0</v>
      </c>
      <c r="X389" s="77">
        <f>SUM('BANCO DE LECHE'!X7)</f>
        <v>0</v>
      </c>
      <c r="Y389" s="77">
        <f>SUM('BANCO DE LECHE'!Y7)</f>
        <v>0</v>
      </c>
      <c r="Z389" s="77">
        <f>SUM('BANCO DE LECHE'!Z7)</f>
        <v>0</v>
      </c>
      <c r="AA389" s="77">
        <f>SUM('BANCO DE LECHE'!AA7)</f>
        <v>0</v>
      </c>
      <c r="AB389" s="77">
        <f>SUM('BANCO DE LECHE'!AB7)</f>
        <v>0</v>
      </c>
      <c r="AC389" s="77">
        <f>SUM('BANCO DE LECHE'!AC7)</f>
        <v>0</v>
      </c>
      <c r="AD389" s="77">
        <f>SUM('BANCO DE LECHE'!AD7)</f>
        <v>0</v>
      </c>
      <c r="AE389" s="77">
        <f>SUM('BANCO DE LECHE'!AE7)</f>
        <v>0</v>
      </c>
      <c r="AF389" s="77">
        <f>SUM('BANCO DE LECHE'!AF7)</f>
        <v>0</v>
      </c>
      <c r="AG389" s="77">
        <f>SUM('BANCO DE LECHE'!AG7)</f>
        <v>0</v>
      </c>
      <c r="AH389" s="77">
        <f>SUM('BANCO DE LECHE'!AH7)</f>
        <v>0</v>
      </c>
      <c r="AI389" s="9">
        <f t="shared" si="12"/>
        <v>1200</v>
      </c>
    </row>
    <row r="390" spans="1:35" ht="15.75" customHeight="1">
      <c r="A390" s="283">
        <v>2212012004</v>
      </c>
      <c r="B390" s="284" t="s">
        <v>407</v>
      </c>
      <c r="C390" s="285" t="s">
        <v>267</v>
      </c>
      <c r="D390" s="6">
        <f>SUM('BANCO DE LECHE'!D8)</f>
        <v>0</v>
      </c>
      <c r="E390" s="6">
        <f>SUM('BANCO DE LECHE'!E8)</f>
        <v>0</v>
      </c>
      <c r="F390" s="6">
        <f>SUM('BANCO DE LECHE'!F8)</f>
        <v>0</v>
      </c>
      <c r="G390" s="6">
        <f>SUM('BANCO DE LECHE'!G8)</f>
        <v>0</v>
      </c>
      <c r="H390" s="6">
        <f>SUM('BANCO DE LECHE'!H8)</f>
        <v>1504</v>
      </c>
      <c r="I390" s="6">
        <f>SUM('BANCO DE LECHE'!I8)</f>
        <v>0</v>
      </c>
      <c r="J390" s="6">
        <f>SUM('BANCO DE LECHE'!J8)</f>
        <v>0</v>
      </c>
      <c r="K390" s="6">
        <f>SUM('BANCO DE LECHE'!K8)</f>
        <v>0</v>
      </c>
      <c r="L390" s="6">
        <f>SUM('BANCO DE LECHE'!L8)</f>
        <v>0</v>
      </c>
      <c r="M390" s="6">
        <f>SUM('BANCO DE LECHE'!M8)</f>
        <v>0</v>
      </c>
      <c r="N390" s="6">
        <f>SUM('BANCO DE LECHE'!N8)</f>
        <v>0</v>
      </c>
      <c r="O390" s="6">
        <f>SUM('BANCO DE LECHE'!O8)</f>
        <v>0</v>
      </c>
      <c r="P390" s="6">
        <f>SUM('BANCO DE LECHE'!P8)</f>
        <v>0</v>
      </c>
      <c r="Q390" s="6">
        <f>SUM('BANCO DE LECHE'!Q8)</f>
        <v>0</v>
      </c>
      <c r="R390" s="6">
        <f>SUM('BANCO DE LECHE'!R8)</f>
        <v>0</v>
      </c>
      <c r="S390" s="6">
        <f>SUM('BANCO DE LECHE'!S8)</f>
        <v>0</v>
      </c>
      <c r="T390" s="6">
        <f>SUM('BANCO DE LECHE'!T8)</f>
        <v>0</v>
      </c>
      <c r="U390" s="6">
        <f>SUM('BANCO DE LECHE'!U8)</f>
        <v>0</v>
      </c>
      <c r="V390" s="6">
        <f>SUM('BANCO DE LECHE'!V8)</f>
        <v>0</v>
      </c>
      <c r="W390" s="6">
        <f>SUM('BANCO DE LECHE'!W8)</f>
        <v>0</v>
      </c>
      <c r="X390" s="6">
        <f>SUM('BANCO DE LECHE'!X8)</f>
        <v>0</v>
      </c>
      <c r="Y390" s="6">
        <f>SUM('BANCO DE LECHE'!Y8)</f>
        <v>0</v>
      </c>
      <c r="Z390" s="6">
        <f>SUM('BANCO DE LECHE'!Z8)</f>
        <v>0</v>
      </c>
      <c r="AA390" s="6">
        <f>SUM('BANCO DE LECHE'!AA8)</f>
        <v>0</v>
      </c>
      <c r="AB390" s="6">
        <f>SUM('BANCO DE LECHE'!AB8)</f>
        <v>0</v>
      </c>
      <c r="AC390" s="6">
        <f>SUM('BANCO DE LECHE'!AC8)</f>
        <v>0</v>
      </c>
      <c r="AD390" s="6">
        <f>SUM('BANCO DE LECHE'!AD8)</f>
        <v>0</v>
      </c>
      <c r="AE390" s="6">
        <f>SUM('BANCO DE LECHE'!AE8)</f>
        <v>0</v>
      </c>
      <c r="AF390" s="6">
        <f>SUM('BANCO DE LECHE'!AF8)</f>
        <v>0</v>
      </c>
      <c r="AG390" s="6">
        <f>SUM('BANCO DE LECHE'!AG8)</f>
        <v>0</v>
      </c>
      <c r="AH390" s="6">
        <f>SUM('BANCO DE LECHE'!AH8)</f>
        <v>0</v>
      </c>
      <c r="AI390" s="9">
        <f t="shared" si="12"/>
        <v>1504</v>
      </c>
    </row>
    <row r="391" spans="1:35" ht="15.75" customHeight="1">
      <c r="A391" s="283">
        <v>2212012005</v>
      </c>
      <c r="B391" s="284" t="s">
        <v>408</v>
      </c>
      <c r="C391" s="285" t="s">
        <v>296</v>
      </c>
      <c r="D391" s="77">
        <f>SUM('BANCO DE LECHE'!D9)</f>
        <v>0</v>
      </c>
      <c r="E391" s="77">
        <f>SUM('BANCO DE LECHE'!E9)</f>
        <v>0</v>
      </c>
      <c r="F391" s="77">
        <f>SUM('BANCO DE LECHE'!F9)</f>
        <v>0</v>
      </c>
      <c r="G391" s="77">
        <f>SUM('BANCO DE LECHE'!G9)</f>
        <v>0</v>
      </c>
      <c r="H391" s="77">
        <f>SUM('BANCO DE LECHE'!H9)</f>
        <v>0</v>
      </c>
      <c r="I391" s="77">
        <f>SUM('BANCO DE LECHE'!I9)</f>
        <v>0</v>
      </c>
      <c r="J391" s="77">
        <f>SUM('BANCO DE LECHE'!J9)</f>
        <v>0</v>
      </c>
      <c r="K391" s="77">
        <f>SUM('BANCO DE LECHE'!K9)</f>
        <v>0</v>
      </c>
      <c r="L391" s="77">
        <f>SUM('BANCO DE LECHE'!L9)</f>
        <v>0</v>
      </c>
      <c r="M391" s="77">
        <f>SUM('BANCO DE LECHE'!M9)</f>
        <v>0</v>
      </c>
      <c r="N391" s="77">
        <f>SUM('BANCO DE LECHE'!N9)</f>
        <v>0</v>
      </c>
      <c r="O391" s="77">
        <f>SUM('BANCO DE LECHE'!O9)</f>
        <v>0</v>
      </c>
      <c r="P391" s="77">
        <f>SUM('BANCO DE LECHE'!P9)</f>
        <v>0</v>
      </c>
      <c r="Q391" s="77">
        <f>SUM('BANCO DE LECHE'!Q9)</f>
        <v>0</v>
      </c>
      <c r="R391" s="77">
        <f>SUM('BANCO DE LECHE'!R9)</f>
        <v>0</v>
      </c>
      <c r="S391" s="77">
        <f>SUM('BANCO DE LECHE'!S9)</f>
        <v>0</v>
      </c>
      <c r="T391" s="77">
        <f>SUM('BANCO DE LECHE'!T9)</f>
        <v>0</v>
      </c>
      <c r="U391" s="77">
        <f>SUM('BANCO DE LECHE'!U9)</f>
        <v>0</v>
      </c>
      <c r="V391" s="77">
        <f>SUM('BANCO DE LECHE'!V9)</f>
        <v>0</v>
      </c>
      <c r="W391" s="77">
        <f>SUM('BANCO DE LECHE'!W9)</f>
        <v>0</v>
      </c>
      <c r="X391" s="77">
        <f>SUM('BANCO DE LECHE'!X9)</f>
        <v>0</v>
      </c>
      <c r="Y391" s="77">
        <f>SUM('BANCO DE LECHE'!Y9)</f>
        <v>0</v>
      </c>
      <c r="Z391" s="77">
        <f>SUM('BANCO DE LECHE'!Z9)</f>
        <v>0</v>
      </c>
      <c r="AA391" s="77">
        <f>SUM('BANCO DE LECHE'!AA9)</f>
        <v>0</v>
      </c>
      <c r="AB391" s="77">
        <f>SUM('BANCO DE LECHE'!AB9)</f>
        <v>0</v>
      </c>
      <c r="AC391" s="77">
        <f>SUM('BANCO DE LECHE'!AC9)</f>
        <v>0</v>
      </c>
      <c r="AD391" s="77">
        <f>SUM('BANCO DE LECHE'!AD9)</f>
        <v>0</v>
      </c>
      <c r="AE391" s="77">
        <f>SUM('BANCO DE LECHE'!AE9)</f>
        <v>0</v>
      </c>
      <c r="AF391" s="77">
        <f>SUM('BANCO DE LECHE'!AF9)</f>
        <v>0</v>
      </c>
      <c r="AG391" s="77">
        <f>SUM('BANCO DE LECHE'!AG9)</f>
        <v>0</v>
      </c>
      <c r="AH391" s="77">
        <f>SUM('BANCO DE LECHE'!AH9)</f>
        <v>0</v>
      </c>
      <c r="AI391" s="9">
        <f t="shared" si="12"/>
        <v>0</v>
      </c>
    </row>
    <row r="392" spans="1:35" ht="15.75" customHeight="1">
      <c r="A392" s="283">
        <v>2212012007</v>
      </c>
      <c r="B392" s="284" t="s">
        <v>409</v>
      </c>
      <c r="C392" s="285" t="s">
        <v>296</v>
      </c>
      <c r="D392" s="6">
        <f>SUM('BANCO DE LECHE'!D10)</f>
        <v>0</v>
      </c>
      <c r="E392" s="6">
        <f>SUM('BANCO DE LECHE'!E10)</f>
        <v>0</v>
      </c>
      <c r="F392" s="6">
        <f>SUM('BANCO DE LECHE'!F10)</f>
        <v>0</v>
      </c>
      <c r="G392" s="6">
        <f>SUM('BANCO DE LECHE'!G10)</f>
        <v>0</v>
      </c>
      <c r="H392" s="6">
        <f>SUM('BANCO DE LECHE'!H10)</f>
        <v>0</v>
      </c>
      <c r="I392" s="6">
        <f>SUM('BANCO DE LECHE'!I10)</f>
        <v>0</v>
      </c>
      <c r="J392" s="6">
        <f>SUM('BANCO DE LECHE'!J10)</f>
        <v>0</v>
      </c>
      <c r="K392" s="6">
        <f>SUM('BANCO DE LECHE'!K10)</f>
        <v>0</v>
      </c>
      <c r="L392" s="6">
        <f>SUM('BANCO DE LECHE'!L10)</f>
        <v>0</v>
      </c>
      <c r="M392" s="6">
        <f>SUM('BANCO DE LECHE'!M10)</f>
        <v>0</v>
      </c>
      <c r="N392" s="6">
        <f>SUM('BANCO DE LECHE'!N10)</f>
        <v>0</v>
      </c>
      <c r="O392" s="6">
        <f>SUM('BANCO DE LECHE'!O10)</f>
        <v>0</v>
      </c>
      <c r="P392" s="6">
        <f>SUM('BANCO DE LECHE'!P10)</f>
        <v>0</v>
      </c>
      <c r="Q392" s="6">
        <f>SUM('BANCO DE LECHE'!Q10)</f>
        <v>0</v>
      </c>
      <c r="R392" s="6">
        <f>SUM('BANCO DE LECHE'!R10)</f>
        <v>0</v>
      </c>
      <c r="S392" s="6">
        <f>SUM('BANCO DE LECHE'!S10)</f>
        <v>0</v>
      </c>
      <c r="T392" s="6">
        <f>SUM('BANCO DE LECHE'!T10)</f>
        <v>0</v>
      </c>
      <c r="U392" s="6">
        <f>SUM('BANCO DE LECHE'!U10)</f>
        <v>0</v>
      </c>
      <c r="V392" s="6">
        <f>SUM('BANCO DE LECHE'!V10)</f>
        <v>0</v>
      </c>
      <c r="W392" s="6">
        <f>SUM('BANCO DE LECHE'!W10)</f>
        <v>0</v>
      </c>
      <c r="X392" s="6">
        <f>SUM('BANCO DE LECHE'!X10)</f>
        <v>0</v>
      </c>
      <c r="Y392" s="6">
        <f>SUM('BANCO DE LECHE'!Y10)</f>
        <v>0</v>
      </c>
      <c r="Z392" s="6">
        <f>SUM('BANCO DE LECHE'!Z10)</f>
        <v>0</v>
      </c>
      <c r="AA392" s="6">
        <f>SUM('BANCO DE LECHE'!AA10)</f>
        <v>0</v>
      </c>
      <c r="AB392" s="6">
        <f>SUM('BANCO DE LECHE'!AB10)</f>
        <v>0</v>
      </c>
      <c r="AC392" s="6">
        <f>SUM('BANCO DE LECHE'!AC10)</f>
        <v>0</v>
      </c>
      <c r="AD392" s="6">
        <f>SUM('BANCO DE LECHE'!AD10)</f>
        <v>0</v>
      </c>
      <c r="AE392" s="6">
        <f>SUM('BANCO DE LECHE'!AE10)</f>
        <v>0</v>
      </c>
      <c r="AF392" s="6">
        <f>SUM('BANCO DE LECHE'!AF10)</f>
        <v>0</v>
      </c>
      <c r="AG392" s="6">
        <f>SUM('BANCO DE LECHE'!AG10)</f>
        <v>0</v>
      </c>
      <c r="AH392" s="6">
        <f>SUM('BANCO DE LECHE'!AH10)</f>
        <v>0</v>
      </c>
      <c r="AI392" s="9">
        <f t="shared" si="12"/>
        <v>0</v>
      </c>
    </row>
    <row r="393" spans="1:35" ht="15.75" customHeight="1">
      <c r="A393" s="283">
        <v>2212012008</v>
      </c>
      <c r="B393" s="284" t="s">
        <v>410</v>
      </c>
      <c r="C393" s="285" t="s">
        <v>296</v>
      </c>
      <c r="D393" s="77">
        <f>SUM('BANCO DE LECHE'!D11)</f>
        <v>0</v>
      </c>
      <c r="E393" s="77">
        <f>SUM('BANCO DE LECHE'!E11)</f>
        <v>0</v>
      </c>
      <c r="F393" s="77">
        <f>SUM('BANCO DE LECHE'!F11)</f>
        <v>0</v>
      </c>
      <c r="G393" s="77">
        <f>SUM('BANCO DE LECHE'!G11)</f>
        <v>0</v>
      </c>
      <c r="H393" s="77">
        <f>SUM('BANCO DE LECHE'!H11)</f>
        <v>0</v>
      </c>
      <c r="I393" s="77">
        <f>SUM('BANCO DE LECHE'!I11)</f>
        <v>0</v>
      </c>
      <c r="J393" s="77">
        <f>SUM('BANCO DE LECHE'!J11)</f>
        <v>0</v>
      </c>
      <c r="K393" s="77">
        <f>SUM('BANCO DE LECHE'!K11)</f>
        <v>0</v>
      </c>
      <c r="L393" s="77">
        <f>SUM('BANCO DE LECHE'!L11)</f>
        <v>0</v>
      </c>
      <c r="M393" s="77">
        <f>SUM('BANCO DE LECHE'!M11)</f>
        <v>0</v>
      </c>
      <c r="N393" s="77">
        <f>SUM('BANCO DE LECHE'!N11)</f>
        <v>0</v>
      </c>
      <c r="O393" s="77">
        <f>SUM('BANCO DE LECHE'!O11)</f>
        <v>0</v>
      </c>
      <c r="P393" s="77">
        <f>SUM('BANCO DE LECHE'!P11)</f>
        <v>0</v>
      </c>
      <c r="Q393" s="77">
        <f>SUM('BANCO DE LECHE'!Q11)</f>
        <v>0</v>
      </c>
      <c r="R393" s="77">
        <f>SUM('BANCO DE LECHE'!R11)</f>
        <v>0</v>
      </c>
      <c r="S393" s="77">
        <f>SUM('BANCO DE LECHE'!S11)</f>
        <v>0</v>
      </c>
      <c r="T393" s="77">
        <f>SUM('BANCO DE LECHE'!T11)</f>
        <v>0</v>
      </c>
      <c r="U393" s="77">
        <f>SUM('BANCO DE LECHE'!U11)</f>
        <v>0</v>
      </c>
      <c r="V393" s="77">
        <f>SUM('BANCO DE LECHE'!V11)</f>
        <v>0</v>
      </c>
      <c r="W393" s="77">
        <f>SUM('BANCO DE LECHE'!W11)</f>
        <v>0</v>
      </c>
      <c r="X393" s="77">
        <f>SUM('BANCO DE LECHE'!X11)</f>
        <v>0</v>
      </c>
      <c r="Y393" s="77">
        <f>SUM('BANCO DE LECHE'!Y11)</f>
        <v>0</v>
      </c>
      <c r="Z393" s="77">
        <f>SUM('BANCO DE LECHE'!Z11)</f>
        <v>0</v>
      </c>
      <c r="AA393" s="77">
        <f>SUM('BANCO DE LECHE'!AA11)</f>
        <v>0</v>
      </c>
      <c r="AB393" s="77">
        <f>SUM('BANCO DE LECHE'!AB11)</f>
        <v>0</v>
      </c>
      <c r="AC393" s="77">
        <f>SUM('BANCO DE LECHE'!AC11)</f>
        <v>0</v>
      </c>
      <c r="AD393" s="77">
        <f>SUM('BANCO DE LECHE'!AD11)</f>
        <v>0</v>
      </c>
      <c r="AE393" s="77">
        <f>SUM('BANCO DE LECHE'!AE11)</f>
        <v>0</v>
      </c>
      <c r="AF393" s="77">
        <f>SUM('BANCO DE LECHE'!AF11)</f>
        <v>0</v>
      </c>
      <c r="AG393" s="77">
        <f>SUM('BANCO DE LECHE'!AG11)</f>
        <v>0</v>
      </c>
      <c r="AH393" s="77">
        <f>SUM('BANCO DE LECHE'!AH11)</f>
        <v>0</v>
      </c>
      <c r="AI393" s="9">
        <f t="shared" si="12"/>
        <v>0</v>
      </c>
    </row>
    <row r="394" spans="1:35" ht="15.75" customHeight="1">
      <c r="A394" s="283">
        <v>2212012009</v>
      </c>
      <c r="B394" s="284" t="s">
        <v>411</v>
      </c>
      <c r="C394" s="285" t="s">
        <v>296</v>
      </c>
      <c r="D394" s="6">
        <f>SUM('BANCO DE LECHE'!D12)</f>
        <v>0</v>
      </c>
      <c r="E394" s="6">
        <f>SUM('BANCO DE LECHE'!E12)</f>
        <v>0</v>
      </c>
      <c r="F394" s="6">
        <f>SUM('BANCO DE LECHE'!F12)</f>
        <v>0</v>
      </c>
      <c r="G394" s="6">
        <f>SUM('BANCO DE LECHE'!G12)</f>
        <v>0</v>
      </c>
      <c r="H394" s="6">
        <f>SUM('BANCO DE LECHE'!H12)</f>
        <v>0</v>
      </c>
      <c r="I394" s="6">
        <f>SUM('BANCO DE LECHE'!I12)</f>
        <v>0</v>
      </c>
      <c r="J394" s="6">
        <f>SUM('BANCO DE LECHE'!J12)</f>
        <v>0</v>
      </c>
      <c r="K394" s="6">
        <f>SUM('BANCO DE LECHE'!K12)</f>
        <v>0</v>
      </c>
      <c r="L394" s="6">
        <f>SUM('BANCO DE LECHE'!L12)</f>
        <v>0</v>
      </c>
      <c r="M394" s="6">
        <f>SUM('BANCO DE LECHE'!M12)</f>
        <v>0</v>
      </c>
      <c r="N394" s="6">
        <f>SUM('BANCO DE LECHE'!N12)</f>
        <v>0</v>
      </c>
      <c r="O394" s="6">
        <f>SUM('BANCO DE LECHE'!O12)</f>
        <v>0</v>
      </c>
      <c r="P394" s="6">
        <f>SUM('BANCO DE LECHE'!P12)</f>
        <v>0</v>
      </c>
      <c r="Q394" s="6">
        <f>SUM('BANCO DE LECHE'!Q12)</f>
        <v>0</v>
      </c>
      <c r="R394" s="6">
        <f>SUM('BANCO DE LECHE'!R12)</f>
        <v>0</v>
      </c>
      <c r="S394" s="6">
        <f>SUM('BANCO DE LECHE'!S12)</f>
        <v>0</v>
      </c>
      <c r="T394" s="6">
        <f>SUM('BANCO DE LECHE'!T12)</f>
        <v>0</v>
      </c>
      <c r="U394" s="6">
        <f>SUM('BANCO DE LECHE'!U12)</f>
        <v>0</v>
      </c>
      <c r="V394" s="6">
        <f>SUM('BANCO DE LECHE'!V12)</f>
        <v>0</v>
      </c>
      <c r="W394" s="6">
        <f>SUM('BANCO DE LECHE'!W12)</f>
        <v>0</v>
      </c>
      <c r="X394" s="6">
        <f>SUM('BANCO DE LECHE'!X12)</f>
        <v>0</v>
      </c>
      <c r="Y394" s="6">
        <f>SUM('BANCO DE LECHE'!Y12)</f>
        <v>0</v>
      </c>
      <c r="Z394" s="6">
        <f>SUM('BANCO DE LECHE'!Z12)</f>
        <v>0</v>
      </c>
      <c r="AA394" s="6">
        <f>SUM('BANCO DE LECHE'!AA12)</f>
        <v>0</v>
      </c>
      <c r="AB394" s="6">
        <f>SUM('BANCO DE LECHE'!AB12)</f>
        <v>0</v>
      </c>
      <c r="AC394" s="6">
        <f>SUM('BANCO DE LECHE'!AC12)</f>
        <v>0</v>
      </c>
      <c r="AD394" s="6">
        <f>SUM('BANCO DE LECHE'!AD12)</f>
        <v>0</v>
      </c>
      <c r="AE394" s="6">
        <f>SUM('BANCO DE LECHE'!AE12)</f>
        <v>0</v>
      </c>
      <c r="AF394" s="6">
        <f>SUM('BANCO DE LECHE'!AF12)</f>
        <v>0</v>
      </c>
      <c r="AG394" s="6">
        <f>SUM('BANCO DE LECHE'!AG12)</f>
        <v>0</v>
      </c>
      <c r="AH394" s="6">
        <f>SUM('BANCO DE LECHE'!AH12)</f>
        <v>0</v>
      </c>
      <c r="AI394" s="9">
        <f t="shared" si="12"/>
        <v>0</v>
      </c>
    </row>
    <row r="395" spans="1:35" ht="15.75" customHeight="1">
      <c r="A395" s="283">
        <v>2212012010</v>
      </c>
      <c r="B395" s="284" t="s">
        <v>412</v>
      </c>
      <c r="C395" s="285" t="s">
        <v>296</v>
      </c>
      <c r="D395" s="77">
        <f>SUM('BANCO DE LECHE'!D13)</f>
        <v>0</v>
      </c>
      <c r="E395" s="77">
        <f>SUM('BANCO DE LECHE'!E13)</f>
        <v>0</v>
      </c>
      <c r="F395" s="77">
        <f>SUM('BANCO DE LECHE'!F13)</f>
        <v>0</v>
      </c>
      <c r="G395" s="77">
        <f>SUM('BANCO DE LECHE'!G13)</f>
        <v>0</v>
      </c>
      <c r="H395" s="77">
        <f>SUM('BANCO DE LECHE'!H13)</f>
        <v>0</v>
      </c>
      <c r="I395" s="77">
        <f>SUM('BANCO DE LECHE'!I13)</f>
        <v>0</v>
      </c>
      <c r="J395" s="77">
        <f>SUM('BANCO DE LECHE'!J13)</f>
        <v>0</v>
      </c>
      <c r="K395" s="77">
        <f>SUM('BANCO DE LECHE'!K13)</f>
        <v>0</v>
      </c>
      <c r="L395" s="77">
        <f>SUM('BANCO DE LECHE'!L13)</f>
        <v>0</v>
      </c>
      <c r="M395" s="77">
        <f>SUM('BANCO DE LECHE'!M13)</f>
        <v>0</v>
      </c>
      <c r="N395" s="77">
        <f>SUM('BANCO DE LECHE'!N13)</f>
        <v>0</v>
      </c>
      <c r="O395" s="77">
        <f>SUM('BANCO DE LECHE'!O13)</f>
        <v>0</v>
      </c>
      <c r="P395" s="77">
        <f>SUM('BANCO DE LECHE'!P13)</f>
        <v>0</v>
      </c>
      <c r="Q395" s="77">
        <f>SUM('BANCO DE LECHE'!Q13)</f>
        <v>0</v>
      </c>
      <c r="R395" s="77">
        <f>SUM('BANCO DE LECHE'!R13)</f>
        <v>0</v>
      </c>
      <c r="S395" s="77">
        <f>SUM('BANCO DE LECHE'!S13)</f>
        <v>0</v>
      </c>
      <c r="T395" s="77">
        <f>SUM('BANCO DE LECHE'!T13)</f>
        <v>0</v>
      </c>
      <c r="U395" s="77">
        <f>SUM('BANCO DE LECHE'!U13)</f>
        <v>0</v>
      </c>
      <c r="V395" s="77">
        <f>SUM('BANCO DE LECHE'!V13)</f>
        <v>0</v>
      </c>
      <c r="W395" s="77">
        <f>SUM('BANCO DE LECHE'!W13)</f>
        <v>0</v>
      </c>
      <c r="X395" s="77">
        <f>SUM('BANCO DE LECHE'!X13)</f>
        <v>0</v>
      </c>
      <c r="Y395" s="77">
        <f>SUM('BANCO DE LECHE'!Y13)</f>
        <v>0</v>
      </c>
      <c r="Z395" s="77">
        <f>SUM('BANCO DE LECHE'!Z13)</f>
        <v>0</v>
      </c>
      <c r="AA395" s="77">
        <f>SUM('BANCO DE LECHE'!AA13)</f>
        <v>0</v>
      </c>
      <c r="AB395" s="77">
        <f>SUM('BANCO DE LECHE'!AB13)</f>
        <v>0</v>
      </c>
      <c r="AC395" s="77">
        <f>SUM('BANCO DE LECHE'!AC13)</f>
        <v>0</v>
      </c>
      <c r="AD395" s="77">
        <f>SUM('BANCO DE LECHE'!AD13)</f>
        <v>0</v>
      </c>
      <c r="AE395" s="77">
        <f>SUM('BANCO DE LECHE'!AE13)</f>
        <v>0</v>
      </c>
      <c r="AF395" s="77">
        <f>SUM('BANCO DE LECHE'!AF13)</f>
        <v>0</v>
      </c>
      <c r="AG395" s="77">
        <f>SUM('BANCO DE LECHE'!AG13)</f>
        <v>0</v>
      </c>
      <c r="AH395" s="77">
        <f>SUM('BANCO DE LECHE'!AH13)</f>
        <v>0</v>
      </c>
      <c r="AI395" s="9">
        <f t="shared" si="12"/>
        <v>0</v>
      </c>
    </row>
    <row r="396" spans="1:35" ht="15.75" customHeight="1">
      <c r="A396" s="283">
        <v>2212012011</v>
      </c>
      <c r="B396" s="284" t="s">
        <v>413</v>
      </c>
      <c r="C396" s="285" t="s">
        <v>296</v>
      </c>
      <c r="D396" s="6">
        <f>SUM('BANCO DE LECHE'!D14)</f>
        <v>0</v>
      </c>
      <c r="E396" s="6">
        <f>SUM('BANCO DE LECHE'!E14)</f>
        <v>0</v>
      </c>
      <c r="F396" s="6">
        <f>SUM('BANCO DE LECHE'!F14)</f>
        <v>0</v>
      </c>
      <c r="G396" s="6">
        <f>SUM('BANCO DE LECHE'!G14)</f>
        <v>0</v>
      </c>
      <c r="H396" s="6">
        <f>SUM('BANCO DE LECHE'!H14)</f>
        <v>0</v>
      </c>
      <c r="I396" s="6">
        <f>SUM('BANCO DE LECHE'!I14)</f>
        <v>0</v>
      </c>
      <c r="J396" s="6">
        <f>SUM('BANCO DE LECHE'!J14)</f>
        <v>0</v>
      </c>
      <c r="K396" s="6">
        <f>SUM('BANCO DE LECHE'!K14)</f>
        <v>0</v>
      </c>
      <c r="L396" s="6">
        <f>SUM('BANCO DE LECHE'!L14)</f>
        <v>0</v>
      </c>
      <c r="M396" s="6">
        <f>SUM('BANCO DE LECHE'!M14)</f>
        <v>0</v>
      </c>
      <c r="N396" s="6">
        <f>SUM('BANCO DE LECHE'!N14)</f>
        <v>0</v>
      </c>
      <c r="O396" s="6">
        <f>SUM('BANCO DE LECHE'!O14)</f>
        <v>0</v>
      </c>
      <c r="P396" s="6">
        <f>SUM('BANCO DE LECHE'!P14)</f>
        <v>0</v>
      </c>
      <c r="Q396" s="6">
        <f>SUM('BANCO DE LECHE'!Q14)</f>
        <v>0</v>
      </c>
      <c r="R396" s="6">
        <f>SUM('BANCO DE LECHE'!R14)</f>
        <v>0</v>
      </c>
      <c r="S396" s="6">
        <f>SUM('BANCO DE LECHE'!S14)</f>
        <v>0</v>
      </c>
      <c r="T396" s="6">
        <f>SUM('BANCO DE LECHE'!T14)</f>
        <v>0</v>
      </c>
      <c r="U396" s="6">
        <f>SUM('BANCO DE LECHE'!U14)</f>
        <v>0</v>
      </c>
      <c r="V396" s="6">
        <f>SUM('BANCO DE LECHE'!V14)</f>
        <v>0</v>
      </c>
      <c r="W396" s="6">
        <f>SUM('BANCO DE LECHE'!W14)</f>
        <v>0</v>
      </c>
      <c r="X396" s="6">
        <f>SUM('BANCO DE LECHE'!X14)</f>
        <v>0</v>
      </c>
      <c r="Y396" s="6">
        <f>SUM('BANCO DE LECHE'!Y14)</f>
        <v>0</v>
      </c>
      <c r="Z396" s="6">
        <f>SUM('BANCO DE LECHE'!Z14)</f>
        <v>0</v>
      </c>
      <c r="AA396" s="6">
        <f>SUM('BANCO DE LECHE'!AA14)</f>
        <v>0</v>
      </c>
      <c r="AB396" s="6">
        <f>SUM('BANCO DE LECHE'!AB14)</f>
        <v>0</v>
      </c>
      <c r="AC396" s="6">
        <f>SUM('BANCO DE LECHE'!AC14)</f>
        <v>0</v>
      </c>
      <c r="AD396" s="6">
        <f>SUM('BANCO DE LECHE'!AD14)</f>
        <v>0</v>
      </c>
      <c r="AE396" s="6">
        <f>SUM('BANCO DE LECHE'!AE14)</f>
        <v>0</v>
      </c>
      <c r="AF396" s="6">
        <f>SUM('BANCO DE LECHE'!AF14)</f>
        <v>0</v>
      </c>
      <c r="AG396" s="6">
        <f>SUM('BANCO DE LECHE'!AG14)</f>
        <v>0</v>
      </c>
      <c r="AH396" s="6">
        <f>SUM('BANCO DE LECHE'!AH14)</f>
        <v>0</v>
      </c>
      <c r="AI396" s="9">
        <f t="shared" si="12"/>
        <v>0</v>
      </c>
    </row>
    <row r="397" spans="1:35" ht="15.75" customHeight="1">
      <c r="A397" s="283">
        <v>2212012012</v>
      </c>
      <c r="B397" s="284" t="s">
        <v>414</v>
      </c>
      <c r="C397" s="285" t="s">
        <v>296</v>
      </c>
      <c r="D397" s="77">
        <f>SUM('BANCO DE LECHE'!D15)</f>
        <v>0</v>
      </c>
      <c r="E397" s="77">
        <f>SUM('BANCO DE LECHE'!E15)</f>
        <v>0</v>
      </c>
      <c r="F397" s="77">
        <f>SUM('BANCO DE LECHE'!F15)</f>
        <v>0</v>
      </c>
      <c r="G397" s="77">
        <f>SUM('BANCO DE LECHE'!G15)</f>
        <v>0</v>
      </c>
      <c r="H397" s="77">
        <f>SUM('BANCO DE LECHE'!H15)</f>
        <v>0</v>
      </c>
      <c r="I397" s="77">
        <f>SUM('BANCO DE LECHE'!I15)</f>
        <v>0</v>
      </c>
      <c r="J397" s="77">
        <f>SUM('BANCO DE LECHE'!J15)</f>
        <v>0</v>
      </c>
      <c r="K397" s="77">
        <f>SUM('BANCO DE LECHE'!K15)</f>
        <v>0</v>
      </c>
      <c r="L397" s="77">
        <f>SUM('BANCO DE LECHE'!L15)</f>
        <v>0</v>
      </c>
      <c r="M397" s="77">
        <f>SUM('BANCO DE LECHE'!M15)</f>
        <v>0</v>
      </c>
      <c r="N397" s="77">
        <f>SUM('BANCO DE LECHE'!N15)</f>
        <v>0</v>
      </c>
      <c r="O397" s="77">
        <f>SUM('BANCO DE LECHE'!O15)</f>
        <v>0</v>
      </c>
      <c r="P397" s="77">
        <f>SUM('BANCO DE LECHE'!P15)</f>
        <v>0</v>
      </c>
      <c r="Q397" s="77">
        <f>SUM('BANCO DE LECHE'!Q15)</f>
        <v>0</v>
      </c>
      <c r="R397" s="77">
        <f>SUM('BANCO DE LECHE'!R15)</f>
        <v>0</v>
      </c>
      <c r="S397" s="77">
        <f>SUM('BANCO DE LECHE'!S15)</f>
        <v>0</v>
      </c>
      <c r="T397" s="77">
        <f>SUM('BANCO DE LECHE'!T15)</f>
        <v>0</v>
      </c>
      <c r="U397" s="77">
        <f>SUM('BANCO DE LECHE'!U15)</f>
        <v>0</v>
      </c>
      <c r="V397" s="77">
        <f>SUM('BANCO DE LECHE'!V15)</f>
        <v>0</v>
      </c>
      <c r="W397" s="77">
        <f>SUM('BANCO DE LECHE'!W15)</f>
        <v>0</v>
      </c>
      <c r="X397" s="77">
        <f>SUM('BANCO DE LECHE'!X15)</f>
        <v>0</v>
      </c>
      <c r="Y397" s="77">
        <f>SUM('BANCO DE LECHE'!Y15)</f>
        <v>0</v>
      </c>
      <c r="Z397" s="77">
        <f>SUM('BANCO DE LECHE'!Z15)</f>
        <v>0</v>
      </c>
      <c r="AA397" s="77">
        <f>SUM('BANCO DE LECHE'!AA15)</f>
        <v>0</v>
      </c>
      <c r="AB397" s="77">
        <f>SUM('BANCO DE LECHE'!AB15)</f>
        <v>0</v>
      </c>
      <c r="AC397" s="77">
        <f>SUM('BANCO DE LECHE'!AC15)</f>
        <v>0</v>
      </c>
      <c r="AD397" s="77">
        <f>SUM('BANCO DE LECHE'!AD15)</f>
        <v>0</v>
      </c>
      <c r="AE397" s="77">
        <f>SUM('BANCO DE LECHE'!AE15)</f>
        <v>0</v>
      </c>
      <c r="AF397" s="77">
        <f>SUM('BANCO DE LECHE'!AF15)</f>
        <v>0</v>
      </c>
      <c r="AG397" s="77">
        <f>SUM('BANCO DE LECHE'!AG15)</f>
        <v>0</v>
      </c>
      <c r="AH397" s="77">
        <f>SUM('BANCO DE LECHE'!AH15)</f>
        <v>0</v>
      </c>
      <c r="AI397" s="9">
        <f t="shared" si="12"/>
        <v>0</v>
      </c>
    </row>
    <row r="398" spans="1:35" ht="15.75" customHeight="1">
      <c r="A398" s="283">
        <v>2212012013</v>
      </c>
      <c r="B398" s="284" t="s">
        <v>415</v>
      </c>
      <c r="C398" s="285" t="s">
        <v>296</v>
      </c>
      <c r="D398" s="6">
        <f>SUM('BANCO DE LECHE'!D16)</f>
        <v>0</v>
      </c>
      <c r="E398" s="6">
        <f>SUM('BANCO DE LECHE'!E16)</f>
        <v>0</v>
      </c>
      <c r="F398" s="6">
        <f>SUM('BANCO DE LECHE'!F16)</f>
        <v>0</v>
      </c>
      <c r="G398" s="6">
        <f>SUM('BANCO DE LECHE'!G16)</f>
        <v>0</v>
      </c>
      <c r="H398" s="6">
        <f>SUM('BANCO DE LECHE'!H16)</f>
        <v>0</v>
      </c>
      <c r="I398" s="6">
        <f>SUM('BANCO DE LECHE'!I16)</f>
        <v>0</v>
      </c>
      <c r="J398" s="6">
        <f>SUM('BANCO DE LECHE'!J16)</f>
        <v>0</v>
      </c>
      <c r="K398" s="6">
        <f>SUM('BANCO DE LECHE'!K16)</f>
        <v>0</v>
      </c>
      <c r="L398" s="6">
        <f>SUM('BANCO DE LECHE'!L16)</f>
        <v>0</v>
      </c>
      <c r="M398" s="6">
        <f>SUM('BANCO DE LECHE'!M16)</f>
        <v>0</v>
      </c>
      <c r="N398" s="6">
        <f>SUM('BANCO DE LECHE'!N16)</f>
        <v>0</v>
      </c>
      <c r="O398" s="6">
        <f>SUM('BANCO DE LECHE'!O16)</f>
        <v>0</v>
      </c>
      <c r="P398" s="6">
        <f>SUM('BANCO DE LECHE'!P16)</f>
        <v>0</v>
      </c>
      <c r="Q398" s="6">
        <f>SUM('BANCO DE LECHE'!Q16)</f>
        <v>0</v>
      </c>
      <c r="R398" s="6">
        <f>SUM('BANCO DE LECHE'!R16)</f>
        <v>0</v>
      </c>
      <c r="S398" s="6">
        <f>SUM('BANCO DE LECHE'!S16)</f>
        <v>0</v>
      </c>
      <c r="T398" s="6">
        <f>SUM('BANCO DE LECHE'!T16)</f>
        <v>0</v>
      </c>
      <c r="U398" s="6">
        <f>SUM('BANCO DE LECHE'!U16)</f>
        <v>0</v>
      </c>
      <c r="V398" s="6">
        <f>SUM('BANCO DE LECHE'!V16)</f>
        <v>0</v>
      </c>
      <c r="W398" s="6">
        <f>SUM('BANCO DE LECHE'!W16)</f>
        <v>0</v>
      </c>
      <c r="X398" s="6">
        <f>SUM('BANCO DE LECHE'!X16)</f>
        <v>0</v>
      </c>
      <c r="Y398" s="6">
        <f>SUM('BANCO DE LECHE'!Y16)</f>
        <v>0</v>
      </c>
      <c r="Z398" s="6">
        <f>SUM('BANCO DE LECHE'!Z16)</f>
        <v>0</v>
      </c>
      <c r="AA398" s="6">
        <f>SUM('BANCO DE LECHE'!AA16)</f>
        <v>0</v>
      </c>
      <c r="AB398" s="6">
        <f>SUM('BANCO DE LECHE'!AB16)</f>
        <v>0</v>
      </c>
      <c r="AC398" s="6">
        <f>SUM('BANCO DE LECHE'!AC16)</f>
        <v>0</v>
      </c>
      <c r="AD398" s="6">
        <f>SUM('BANCO DE LECHE'!AD16)</f>
        <v>0</v>
      </c>
      <c r="AE398" s="6">
        <f>SUM('BANCO DE LECHE'!AE16)</f>
        <v>0</v>
      </c>
      <c r="AF398" s="6">
        <f>SUM('BANCO DE LECHE'!AF16)</f>
        <v>0</v>
      </c>
      <c r="AG398" s="6">
        <f>SUM('BANCO DE LECHE'!AG16)</f>
        <v>0</v>
      </c>
      <c r="AH398" s="6">
        <f>SUM('BANCO DE LECHE'!AH16)</f>
        <v>0</v>
      </c>
      <c r="AI398" s="9">
        <f t="shared" si="12"/>
        <v>0</v>
      </c>
    </row>
    <row r="399" spans="1:35" ht="15.75" customHeight="1">
      <c r="A399" s="283">
        <v>2212012014</v>
      </c>
      <c r="B399" s="284" t="s">
        <v>416</v>
      </c>
      <c r="C399" s="285" t="s">
        <v>296</v>
      </c>
      <c r="D399" s="77">
        <f>SUM('NUTRICIÓN CLÍNICA'!D14)</f>
        <v>0</v>
      </c>
      <c r="E399" s="77">
        <f>SUM('NUTRICIÓN CLÍNICA'!E14)</f>
        <v>0</v>
      </c>
      <c r="F399" s="77">
        <f>SUM('NUTRICIÓN CLÍNICA'!F14)</f>
        <v>0</v>
      </c>
      <c r="G399" s="77">
        <f>SUM('NUTRICIÓN CLÍNICA'!G14)</f>
        <v>0</v>
      </c>
      <c r="H399" s="77">
        <f>SUM('NUTRICIÓN CLÍNICA'!H14)</f>
        <v>0</v>
      </c>
      <c r="I399" s="77">
        <f>SUM('NUTRICIÓN CLÍNICA'!I14)</f>
        <v>300</v>
      </c>
      <c r="J399" s="77">
        <f>SUM('NUTRICIÓN CLÍNICA'!J14)</f>
        <v>0</v>
      </c>
      <c r="K399" s="77">
        <f>SUM('NUTRICIÓN CLÍNICA'!K14)</f>
        <v>0</v>
      </c>
      <c r="L399" s="77">
        <f>SUM('NUTRICIÓN CLÍNICA'!L14)</f>
        <v>0</v>
      </c>
      <c r="M399" s="77">
        <f>SUM('NUTRICIÓN CLÍNICA'!M14)</f>
        <v>0</v>
      </c>
      <c r="N399" s="77">
        <f>SUM('NUTRICIÓN CLÍNICA'!N14)</f>
        <v>0</v>
      </c>
      <c r="O399" s="77">
        <f>SUM('NUTRICIÓN CLÍNICA'!O14)</f>
        <v>0</v>
      </c>
      <c r="P399" s="77">
        <f>SUM('NUTRICIÓN CLÍNICA'!P14)</f>
        <v>0</v>
      </c>
      <c r="Q399" s="77">
        <f>SUM('NUTRICIÓN CLÍNICA'!Q14)</f>
        <v>0</v>
      </c>
      <c r="R399" s="77">
        <f>SUM('NUTRICIÓN CLÍNICA'!R14)</f>
        <v>0</v>
      </c>
      <c r="S399" s="77">
        <f>SUM('NUTRICIÓN CLÍNICA'!S14)</f>
        <v>0</v>
      </c>
      <c r="T399" s="77">
        <f>SUM('NUTRICIÓN CLÍNICA'!T14)</f>
        <v>0</v>
      </c>
      <c r="U399" s="77">
        <f>SUM('NUTRICIÓN CLÍNICA'!U14)</f>
        <v>0</v>
      </c>
      <c r="V399" s="77">
        <f>SUM('NUTRICIÓN CLÍNICA'!V14)</f>
        <v>0</v>
      </c>
      <c r="W399" s="77">
        <f>SUM('NUTRICIÓN CLÍNICA'!W14)</f>
        <v>300</v>
      </c>
      <c r="X399" s="77">
        <f>SUM('NUTRICIÓN CLÍNICA'!X14)</f>
        <v>0</v>
      </c>
      <c r="Y399" s="77">
        <f>SUM('NUTRICIÓN CLÍNICA'!Y14)</f>
        <v>0</v>
      </c>
      <c r="Z399" s="77">
        <f>SUM('NUTRICIÓN CLÍNICA'!Z14)</f>
        <v>0</v>
      </c>
      <c r="AA399" s="77">
        <f>SUM('NUTRICIÓN CLÍNICA'!AA14)</f>
        <v>0</v>
      </c>
      <c r="AB399" s="77">
        <f>SUM('NUTRICIÓN CLÍNICA'!AB14)</f>
        <v>0</v>
      </c>
      <c r="AC399" s="77">
        <f>SUM('NUTRICIÓN CLÍNICA'!AC14)</f>
        <v>0</v>
      </c>
      <c r="AD399" s="77">
        <f>SUM('NUTRICIÓN CLÍNICA'!AD14)</f>
        <v>0</v>
      </c>
      <c r="AE399" s="77">
        <f>SUM('NUTRICIÓN CLÍNICA'!AE14)</f>
        <v>0</v>
      </c>
      <c r="AF399" s="77">
        <f>SUM('NUTRICIÓN CLÍNICA'!AF14)</f>
        <v>0</v>
      </c>
      <c r="AG399" s="77">
        <f>SUM('NUTRICIÓN CLÍNICA'!AG14)</f>
        <v>0</v>
      </c>
      <c r="AH399" s="77">
        <f>SUM('NUTRICIÓN CLÍNICA'!AH14)</f>
        <v>0</v>
      </c>
      <c r="AI399" s="9">
        <f t="shared" si="12"/>
        <v>600</v>
      </c>
    </row>
    <row r="400" spans="1:35" ht="15.75" customHeight="1">
      <c r="A400" s="283">
        <v>2212012015</v>
      </c>
      <c r="B400" s="284" t="s">
        <v>417</v>
      </c>
      <c r="C400" s="285" t="s">
        <v>296</v>
      </c>
      <c r="D400" s="6">
        <f>SUM('BANCO DE LECHE'!D18)</f>
        <v>0</v>
      </c>
      <c r="E400" s="6">
        <f>SUM('BANCO DE LECHE'!E18)</f>
        <v>0</v>
      </c>
      <c r="F400" s="6">
        <f>SUM('BANCO DE LECHE'!F18)</f>
        <v>0</v>
      </c>
      <c r="G400" s="6">
        <f>SUM('BANCO DE LECHE'!G18)</f>
        <v>0</v>
      </c>
      <c r="H400" s="6">
        <f>SUM('BANCO DE LECHE'!H18)</f>
        <v>0</v>
      </c>
      <c r="I400" s="6">
        <f>SUM('BANCO DE LECHE'!I18)</f>
        <v>0</v>
      </c>
      <c r="J400" s="6">
        <f>SUM('BANCO DE LECHE'!J18)</f>
        <v>0</v>
      </c>
      <c r="K400" s="6">
        <f>SUM('BANCO DE LECHE'!K18)</f>
        <v>0</v>
      </c>
      <c r="L400" s="6">
        <f>SUM('BANCO DE LECHE'!L18)</f>
        <v>0</v>
      </c>
      <c r="M400" s="6">
        <f>SUM('BANCO DE LECHE'!M18)</f>
        <v>0</v>
      </c>
      <c r="N400" s="6">
        <f>SUM('BANCO DE LECHE'!N18)</f>
        <v>0</v>
      </c>
      <c r="O400" s="6">
        <f>SUM('BANCO DE LECHE'!O18)</f>
        <v>0</v>
      </c>
      <c r="P400" s="6">
        <f>SUM('BANCO DE LECHE'!P18)</f>
        <v>0</v>
      </c>
      <c r="Q400" s="6">
        <f>SUM('BANCO DE LECHE'!Q18)</f>
        <v>0</v>
      </c>
      <c r="R400" s="6">
        <f>SUM('BANCO DE LECHE'!R18)</f>
        <v>0</v>
      </c>
      <c r="S400" s="6">
        <f>SUM('BANCO DE LECHE'!S18)</f>
        <v>0</v>
      </c>
      <c r="T400" s="6">
        <f>SUM('BANCO DE LECHE'!T18)</f>
        <v>0</v>
      </c>
      <c r="U400" s="6">
        <f>SUM('BANCO DE LECHE'!U18)</f>
        <v>0</v>
      </c>
      <c r="V400" s="6">
        <f>SUM('BANCO DE LECHE'!V18)</f>
        <v>0</v>
      </c>
      <c r="W400" s="6">
        <f>SUM('BANCO DE LECHE'!W18)</f>
        <v>0</v>
      </c>
      <c r="X400" s="6">
        <f>SUM('BANCO DE LECHE'!X18)</f>
        <v>0</v>
      </c>
      <c r="Y400" s="6">
        <f>SUM('BANCO DE LECHE'!Y18)</f>
        <v>0</v>
      </c>
      <c r="Z400" s="6">
        <f>SUM('BANCO DE LECHE'!Z18)</f>
        <v>0</v>
      </c>
      <c r="AA400" s="6">
        <f>SUM('BANCO DE LECHE'!AA18)</f>
        <v>0</v>
      </c>
      <c r="AB400" s="6">
        <f>SUM('BANCO DE LECHE'!AB18)</f>
        <v>0</v>
      </c>
      <c r="AC400" s="6">
        <f>SUM('BANCO DE LECHE'!AC18)</f>
        <v>0</v>
      </c>
      <c r="AD400" s="6">
        <f>SUM('BANCO DE LECHE'!AD18)</f>
        <v>0</v>
      </c>
      <c r="AE400" s="6">
        <f>SUM('BANCO DE LECHE'!AE18)</f>
        <v>0</v>
      </c>
      <c r="AF400" s="6">
        <f>SUM('BANCO DE LECHE'!AF18)</f>
        <v>0</v>
      </c>
      <c r="AG400" s="6">
        <f>SUM('BANCO DE LECHE'!AG18)</f>
        <v>0</v>
      </c>
      <c r="AH400" s="6">
        <f>SUM('BANCO DE LECHE'!AH18)</f>
        <v>0</v>
      </c>
      <c r="AI400" s="9">
        <f t="shared" si="12"/>
        <v>0</v>
      </c>
    </row>
    <row r="401" spans="1:35" ht="15.75" customHeight="1">
      <c r="A401" s="286">
        <v>2212012016</v>
      </c>
      <c r="B401" s="287" t="s">
        <v>418</v>
      </c>
      <c r="C401" s="288" t="s">
        <v>296</v>
      </c>
      <c r="D401" s="289">
        <f>SUM('BANCO DE LECHE'!D19)</f>
        <v>0</v>
      </c>
      <c r="E401" s="289">
        <f>SUM('BANCO DE LECHE'!E19)</f>
        <v>0</v>
      </c>
      <c r="F401" s="289">
        <f>SUM('BANCO DE LECHE'!F19)</f>
        <v>0</v>
      </c>
      <c r="G401" s="289">
        <f>SUM('BANCO DE LECHE'!G19)</f>
        <v>0</v>
      </c>
      <c r="H401" s="289">
        <f>SUM('BANCO DE LECHE'!H19)</f>
        <v>0</v>
      </c>
      <c r="I401" s="289">
        <f>SUM('BANCO DE LECHE'!I19)</f>
        <v>0</v>
      </c>
      <c r="J401" s="289">
        <f>SUM('BANCO DE LECHE'!J19)</f>
        <v>0</v>
      </c>
      <c r="K401" s="289">
        <f>SUM('BANCO DE LECHE'!K19)</f>
        <v>0</v>
      </c>
      <c r="L401" s="289">
        <f>SUM('BANCO DE LECHE'!L19)</f>
        <v>0</v>
      </c>
      <c r="M401" s="289">
        <f>SUM('BANCO DE LECHE'!M19)</f>
        <v>0</v>
      </c>
      <c r="N401" s="289">
        <f>SUM('BANCO DE LECHE'!N19)</f>
        <v>0</v>
      </c>
      <c r="O401" s="289">
        <f>SUM('BANCO DE LECHE'!O19)</f>
        <v>0</v>
      </c>
      <c r="P401" s="289">
        <f>SUM('BANCO DE LECHE'!P19)</f>
        <v>0</v>
      </c>
      <c r="Q401" s="289">
        <f>SUM('BANCO DE LECHE'!Q19)</f>
        <v>0</v>
      </c>
      <c r="R401" s="289">
        <f>SUM('BANCO DE LECHE'!R19)</f>
        <v>0</v>
      </c>
      <c r="S401" s="289">
        <f>SUM('BANCO DE LECHE'!S19)</f>
        <v>0</v>
      </c>
      <c r="T401" s="289">
        <f>SUM('BANCO DE LECHE'!T19)</f>
        <v>0</v>
      </c>
      <c r="U401" s="289">
        <f>SUM('BANCO DE LECHE'!U19)</f>
        <v>0</v>
      </c>
      <c r="V401" s="289">
        <f>SUM('BANCO DE LECHE'!V19)</f>
        <v>0</v>
      </c>
      <c r="W401" s="289">
        <f>SUM('BANCO DE LECHE'!W19)</f>
        <v>0</v>
      </c>
      <c r="X401" s="289">
        <f>SUM('BANCO DE LECHE'!X19)</f>
        <v>0</v>
      </c>
      <c r="Y401" s="289">
        <f>SUM('BANCO DE LECHE'!Y19)</f>
        <v>0</v>
      </c>
      <c r="Z401" s="289">
        <f>SUM('BANCO DE LECHE'!Z19)</f>
        <v>0</v>
      </c>
      <c r="AA401" s="289">
        <f>SUM('BANCO DE LECHE'!AA19)</f>
        <v>0</v>
      </c>
      <c r="AB401" s="289">
        <f>SUM('BANCO DE LECHE'!AB19)</f>
        <v>0</v>
      </c>
      <c r="AC401" s="289">
        <f>SUM('BANCO DE LECHE'!AC19)</f>
        <v>0</v>
      </c>
      <c r="AD401" s="289">
        <f>SUM('BANCO DE LECHE'!AD19)</f>
        <v>0</v>
      </c>
      <c r="AE401" s="289">
        <f>SUM('BANCO DE LECHE'!AE19)</f>
        <v>0</v>
      </c>
      <c r="AF401" s="289">
        <f>SUM('BANCO DE LECHE'!AF19)</f>
        <v>0</v>
      </c>
      <c r="AG401" s="289">
        <f>SUM('BANCO DE LECHE'!AG19)</f>
        <v>0</v>
      </c>
      <c r="AH401" s="289">
        <f>SUM('BANCO DE LECHE'!AH19)</f>
        <v>0</v>
      </c>
      <c r="AI401" s="290">
        <f t="shared" si="12"/>
        <v>0</v>
      </c>
    </row>
    <row r="402" spans="1:35" ht="15.75" customHeight="1">
      <c r="A402" s="291"/>
      <c r="B402" s="292"/>
      <c r="C402" s="293"/>
      <c r="D402" s="294"/>
      <c r="E402" s="294"/>
      <c r="F402" s="294"/>
      <c r="G402" s="294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  <c r="AC402" s="294"/>
      <c r="AD402" s="294"/>
      <c r="AE402" s="294"/>
      <c r="AF402" s="294"/>
      <c r="AG402" s="294"/>
      <c r="AH402" s="294"/>
      <c r="AI402" s="295"/>
    </row>
    <row r="403" spans="1:35" ht="15.75" customHeight="1">
      <c r="A403" s="291"/>
      <c r="B403" s="296"/>
      <c r="C403" s="297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  <c r="AH403" s="298"/>
      <c r="AI403" s="299"/>
    </row>
    <row r="404" spans="1:35" ht="15.75" customHeight="1"/>
    <row r="405" spans="1:35" ht="15.75" customHeight="1"/>
    <row r="406" spans="1:35" ht="15.75" customHeight="1"/>
    <row r="407" spans="1:35" ht="15.75" customHeight="1"/>
    <row r="408" spans="1:35" ht="15.75" customHeight="1"/>
    <row r="409" spans="1:35" ht="15.75" customHeight="1"/>
    <row r="410" spans="1:35" ht="15.75" customHeight="1"/>
    <row r="411" spans="1:35" ht="15.75" customHeight="1"/>
    <row r="412" spans="1:35" ht="15.75" customHeight="1"/>
    <row r="413" spans="1:35" ht="15.75" customHeight="1"/>
    <row r="414" spans="1:35" ht="15.75" customHeight="1"/>
    <row r="415" spans="1:35" ht="15.75" customHeight="1"/>
    <row r="416" spans="1:35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8">
    <mergeCell ref="A385:AH385"/>
    <mergeCell ref="A3:AI3"/>
    <mergeCell ref="A35:AH35"/>
    <mergeCell ref="A90:AH90"/>
    <mergeCell ref="A112:AH112"/>
    <mergeCell ref="A132:AH132"/>
    <mergeCell ref="A142:AH142"/>
    <mergeCell ref="A153:AH153"/>
    <mergeCell ref="A164:AH164"/>
    <mergeCell ref="A190:AH190"/>
    <mergeCell ref="A225:AH225"/>
    <mergeCell ref="A262:AH262"/>
    <mergeCell ref="A281:AH281"/>
    <mergeCell ref="AG1:AG2"/>
    <mergeCell ref="AH1:AH2"/>
    <mergeCell ref="AI1:AI2"/>
    <mergeCell ref="V1:V2"/>
    <mergeCell ref="W1:W2"/>
    <mergeCell ref="X1:X2"/>
    <mergeCell ref="Y1:Y2"/>
    <mergeCell ref="Z1:Z2"/>
    <mergeCell ref="AA1:AA2"/>
    <mergeCell ref="AB1:AB2"/>
    <mergeCell ref="U1:U2"/>
    <mergeCell ref="AC1:AC2"/>
    <mergeCell ref="AD1:AD2"/>
    <mergeCell ref="AE1:AE2"/>
    <mergeCell ref="AF1:AF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D4:AH34">
    <cfRule type="cellIs" dxfId="1" priority="1" operator="greaterThan">
      <formula>0</formula>
    </cfRule>
  </conditionalFormatting>
  <printOptions horizontalCentered="1" verticalCentered="1" gridLines="1"/>
  <pageMargins left="0.25049701789264411" right="0.13916500994035785" top="0" bottom="0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AI9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/>
  <cols>
    <col min="1" max="1" width="10.5703125" customWidth="1"/>
    <col min="2" max="2" width="43.42578125" customWidth="1"/>
    <col min="3" max="3" width="6.42578125" customWidth="1"/>
    <col min="4" max="4" width="4.42578125" customWidth="1"/>
    <col min="5" max="34" width="3.85546875" customWidth="1"/>
    <col min="35" max="35" width="6.42578125" customWidth="1"/>
  </cols>
  <sheetData>
    <row r="1" spans="1:35" ht="15.75" customHeight="1">
      <c r="A1" s="600"/>
      <c r="B1" s="600" t="s">
        <v>0</v>
      </c>
      <c r="C1" s="602" t="s">
        <v>1</v>
      </c>
      <c r="D1" s="600">
        <v>1</v>
      </c>
      <c r="E1" s="600">
        <v>2</v>
      </c>
      <c r="F1" s="600">
        <v>3</v>
      </c>
      <c r="G1" s="600">
        <v>4</v>
      </c>
      <c r="H1" s="600">
        <v>5</v>
      </c>
      <c r="I1" s="600">
        <v>6</v>
      </c>
      <c r="J1" s="600">
        <v>7</v>
      </c>
      <c r="K1" s="600">
        <v>8</v>
      </c>
      <c r="L1" s="600">
        <v>9</v>
      </c>
      <c r="M1" s="600">
        <v>10</v>
      </c>
      <c r="N1" s="600">
        <v>11</v>
      </c>
      <c r="O1" s="600">
        <v>12</v>
      </c>
      <c r="P1" s="600">
        <v>13</v>
      </c>
      <c r="Q1" s="600">
        <v>14</v>
      </c>
      <c r="R1" s="600">
        <v>15</v>
      </c>
      <c r="S1" s="600">
        <v>16</v>
      </c>
      <c r="T1" s="600">
        <v>17</v>
      </c>
      <c r="U1" s="600">
        <v>18</v>
      </c>
      <c r="V1" s="600">
        <v>19</v>
      </c>
      <c r="W1" s="600">
        <v>20</v>
      </c>
      <c r="X1" s="600">
        <v>21</v>
      </c>
      <c r="Y1" s="600">
        <v>22</v>
      </c>
      <c r="Z1" s="600">
        <v>23</v>
      </c>
      <c r="AA1" s="600">
        <v>24</v>
      </c>
      <c r="AB1" s="600">
        <v>25</v>
      </c>
      <c r="AC1" s="600">
        <v>26</v>
      </c>
      <c r="AD1" s="600">
        <v>27</v>
      </c>
      <c r="AE1" s="600">
        <v>28</v>
      </c>
      <c r="AF1" s="600">
        <v>29</v>
      </c>
      <c r="AG1" s="600">
        <v>30</v>
      </c>
      <c r="AH1" s="600">
        <v>31</v>
      </c>
      <c r="AI1" s="603" t="s">
        <v>3</v>
      </c>
    </row>
    <row r="2" spans="1:35" ht="18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4"/>
    </row>
    <row r="3" spans="1:35" ht="18.75" customHeight="1">
      <c r="A3" s="613" t="s">
        <v>4</v>
      </c>
      <c r="B3" s="606"/>
      <c r="C3" s="60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2"/>
    </row>
    <row r="4" spans="1:35" ht="15.75" customHeight="1">
      <c r="A4" s="3">
        <v>2212004001</v>
      </c>
      <c r="B4" s="4" t="s">
        <v>5</v>
      </c>
      <c r="C4" s="5" t="s">
        <v>6</v>
      </c>
      <c r="D4" s="6"/>
      <c r="E4" s="7"/>
      <c r="F4" s="8"/>
      <c r="G4" s="8"/>
      <c r="H4" s="8"/>
      <c r="I4" s="8"/>
      <c r="J4" s="8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9">
        <f t="shared" ref="AI4:AI34" si="0">SUM(D4:AH4)</f>
        <v>0</v>
      </c>
    </row>
    <row r="5" spans="1:35" ht="15.75" customHeight="1">
      <c r="A5" s="10">
        <v>2212004002</v>
      </c>
      <c r="B5" s="11" t="s">
        <v>7</v>
      </c>
      <c r="C5" s="12" t="s">
        <v>8</v>
      </c>
      <c r="D5" s="6"/>
      <c r="E5" s="7"/>
      <c r="F5" s="8"/>
      <c r="G5" s="8"/>
      <c r="H5" s="8"/>
      <c r="I5" s="8"/>
      <c r="J5" s="8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9">
        <f t="shared" si="0"/>
        <v>0</v>
      </c>
    </row>
    <row r="6" spans="1:35" ht="15.75" customHeight="1">
      <c r="A6" s="10">
        <v>2212004003</v>
      </c>
      <c r="B6" s="11" t="s">
        <v>9</v>
      </c>
      <c r="C6" s="12" t="s">
        <v>6</v>
      </c>
      <c r="D6" s="6"/>
      <c r="E6" s="7"/>
      <c r="F6" s="8"/>
      <c r="G6" s="8"/>
      <c r="H6" s="8"/>
      <c r="I6" s="8"/>
      <c r="J6" s="8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9">
        <f t="shared" si="0"/>
        <v>0</v>
      </c>
    </row>
    <row r="7" spans="1:35" ht="15.75" customHeight="1">
      <c r="A7" s="10">
        <v>2212004004</v>
      </c>
      <c r="B7" s="11" t="s">
        <v>10</v>
      </c>
      <c r="C7" s="12" t="s">
        <v>6</v>
      </c>
      <c r="D7" s="6"/>
      <c r="E7" s="7"/>
      <c r="F7" s="8"/>
      <c r="G7" s="8"/>
      <c r="H7" s="8"/>
      <c r="I7" s="8"/>
      <c r="J7" s="8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9">
        <f t="shared" si="0"/>
        <v>0</v>
      </c>
    </row>
    <row r="8" spans="1:35" ht="15.75" customHeight="1">
      <c r="A8" s="10">
        <v>2212004005</v>
      </c>
      <c r="B8" s="11" t="s">
        <v>11</v>
      </c>
      <c r="C8" s="12" t="s">
        <v>6</v>
      </c>
      <c r="D8" s="6"/>
      <c r="E8" s="7"/>
      <c r="F8" s="8"/>
      <c r="G8" s="8"/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9">
        <f t="shared" si="0"/>
        <v>0</v>
      </c>
    </row>
    <row r="9" spans="1:35" ht="15.75" customHeight="1">
      <c r="A9" s="10">
        <v>2212004006</v>
      </c>
      <c r="B9" s="11" t="s">
        <v>12</v>
      </c>
      <c r="C9" s="12" t="s">
        <v>6</v>
      </c>
      <c r="D9" s="6"/>
      <c r="E9" s="7"/>
      <c r="F9" s="8"/>
      <c r="G9" s="8"/>
      <c r="H9" s="8"/>
      <c r="I9" s="8"/>
      <c r="J9" s="8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9">
        <f t="shared" si="0"/>
        <v>0</v>
      </c>
    </row>
    <row r="10" spans="1:35" ht="15.75" customHeight="1">
      <c r="A10" s="10">
        <v>2212004007</v>
      </c>
      <c r="B10" s="11" t="s">
        <v>13</v>
      </c>
      <c r="C10" s="12" t="s">
        <v>6</v>
      </c>
      <c r="D10" s="6"/>
      <c r="E10" s="7"/>
      <c r="F10" s="8"/>
      <c r="G10" s="8"/>
      <c r="H10" s="8"/>
      <c r="I10" s="8"/>
      <c r="J10" s="8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9">
        <f t="shared" si="0"/>
        <v>0</v>
      </c>
    </row>
    <row r="11" spans="1:35" ht="15.75" customHeight="1">
      <c r="A11" s="10">
        <v>2212004008</v>
      </c>
      <c r="B11" s="11" t="s">
        <v>14</v>
      </c>
      <c r="C11" s="12" t="s">
        <v>6</v>
      </c>
      <c r="D11" s="6"/>
      <c r="E11" s="7"/>
      <c r="F11" s="8"/>
      <c r="G11" s="8"/>
      <c r="H11" s="8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9">
        <f t="shared" si="0"/>
        <v>0</v>
      </c>
    </row>
    <row r="12" spans="1:35" ht="15.75" customHeight="1">
      <c r="A12" s="10">
        <v>2212004009</v>
      </c>
      <c r="B12" s="11" t="s">
        <v>15</v>
      </c>
      <c r="C12" s="12" t="s">
        <v>6</v>
      </c>
      <c r="D12" s="6"/>
      <c r="E12" s="7"/>
      <c r="F12" s="8"/>
      <c r="G12" s="8"/>
      <c r="H12" s="8"/>
      <c r="I12" s="8"/>
      <c r="J12" s="8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9">
        <f t="shared" si="0"/>
        <v>0</v>
      </c>
    </row>
    <row r="13" spans="1:35" ht="15.75" customHeight="1">
      <c r="A13" s="10">
        <v>2212004011</v>
      </c>
      <c r="B13" s="11" t="s">
        <v>16</v>
      </c>
      <c r="C13" s="12" t="s">
        <v>6</v>
      </c>
      <c r="D13" s="6"/>
      <c r="E13" s="7"/>
      <c r="F13" s="8"/>
      <c r="G13" s="8"/>
      <c r="H13" s="8"/>
      <c r="I13" s="8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9">
        <f t="shared" si="0"/>
        <v>0</v>
      </c>
    </row>
    <row r="14" spans="1:35" ht="15.75" customHeight="1">
      <c r="A14" s="10">
        <v>2212004012</v>
      </c>
      <c r="B14" s="11" t="s">
        <v>17</v>
      </c>
      <c r="C14" s="12" t="s">
        <v>6</v>
      </c>
      <c r="D14" s="6"/>
      <c r="E14" s="7"/>
      <c r="F14" s="8"/>
      <c r="G14" s="8"/>
      <c r="H14" s="8"/>
      <c r="I14" s="8"/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9">
        <f t="shared" si="0"/>
        <v>0</v>
      </c>
    </row>
    <row r="15" spans="1:35" ht="15.75" customHeight="1">
      <c r="A15" s="10">
        <v>2212004013</v>
      </c>
      <c r="B15" s="11" t="s">
        <v>18</v>
      </c>
      <c r="C15" s="12" t="s">
        <v>6</v>
      </c>
      <c r="D15" s="6"/>
      <c r="E15" s="7"/>
      <c r="F15" s="8"/>
      <c r="G15" s="8"/>
      <c r="H15" s="8"/>
      <c r="I15" s="8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9">
        <f t="shared" si="0"/>
        <v>0</v>
      </c>
    </row>
    <row r="16" spans="1:35" ht="15.75" customHeight="1">
      <c r="A16" s="10">
        <v>2212004014</v>
      </c>
      <c r="B16" s="11" t="s">
        <v>19</v>
      </c>
      <c r="C16" s="12" t="s">
        <v>6</v>
      </c>
      <c r="D16" s="6"/>
      <c r="E16" s="7"/>
      <c r="F16" s="8"/>
      <c r="G16" s="8"/>
      <c r="H16" s="8"/>
      <c r="I16" s="8"/>
      <c r="J16" s="8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9">
        <f t="shared" si="0"/>
        <v>0</v>
      </c>
    </row>
    <row r="17" spans="1:35" ht="15.75" customHeight="1">
      <c r="A17" s="10">
        <v>2212004015</v>
      </c>
      <c r="B17" s="11" t="s">
        <v>20</v>
      </c>
      <c r="C17" s="12" t="s">
        <v>6</v>
      </c>
      <c r="D17" s="6"/>
      <c r="E17" s="7"/>
      <c r="F17" s="8"/>
      <c r="G17" s="8"/>
      <c r="H17" s="8"/>
      <c r="I17" s="8"/>
      <c r="J17" s="8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9">
        <f t="shared" si="0"/>
        <v>0</v>
      </c>
    </row>
    <row r="18" spans="1:35" ht="15.75" customHeight="1">
      <c r="A18" s="10">
        <v>2212004016</v>
      </c>
      <c r="B18" s="11" t="s">
        <v>21</v>
      </c>
      <c r="C18" s="12" t="s">
        <v>6</v>
      </c>
      <c r="D18" s="6"/>
      <c r="E18" s="7"/>
      <c r="F18" s="8"/>
      <c r="G18" s="8"/>
      <c r="H18" s="8"/>
      <c r="I18" s="8"/>
      <c r="J18" s="8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9">
        <f t="shared" si="0"/>
        <v>0</v>
      </c>
    </row>
    <row r="19" spans="1:35" ht="15.75" customHeight="1">
      <c r="A19" s="10">
        <v>2212004017</v>
      </c>
      <c r="B19" s="11" t="s">
        <v>22</v>
      </c>
      <c r="C19" s="12" t="s">
        <v>6</v>
      </c>
      <c r="D19" s="6"/>
      <c r="E19" s="7"/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9">
        <f t="shared" si="0"/>
        <v>0</v>
      </c>
    </row>
    <row r="20" spans="1:35" ht="15.75" customHeight="1">
      <c r="A20" s="10">
        <v>2212004018</v>
      </c>
      <c r="B20" s="11" t="s">
        <v>23</v>
      </c>
      <c r="C20" s="12" t="s">
        <v>6</v>
      </c>
      <c r="D20" s="6"/>
      <c r="E20" s="7"/>
      <c r="F20" s="8"/>
      <c r="G20" s="8"/>
      <c r="H20" s="8"/>
      <c r="I20" s="8"/>
      <c r="J20" s="8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9">
        <f t="shared" si="0"/>
        <v>0</v>
      </c>
    </row>
    <row r="21" spans="1:35" ht="15.75" customHeight="1">
      <c r="A21" s="10">
        <v>2212004019</v>
      </c>
      <c r="B21" s="11" t="s">
        <v>24</v>
      </c>
      <c r="C21" s="12" t="s">
        <v>6</v>
      </c>
      <c r="D21" s="6"/>
      <c r="E21" s="7"/>
      <c r="F21" s="8"/>
      <c r="G21" s="8"/>
      <c r="H21" s="8"/>
      <c r="I21" s="8"/>
      <c r="J21" s="8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9">
        <f t="shared" si="0"/>
        <v>0</v>
      </c>
    </row>
    <row r="22" spans="1:35" ht="15.75" customHeight="1">
      <c r="A22" s="10">
        <v>2212004020</v>
      </c>
      <c r="B22" s="11" t="s">
        <v>25</v>
      </c>
      <c r="C22" s="12" t="s">
        <v>6</v>
      </c>
      <c r="D22" s="6"/>
      <c r="E22" s="7"/>
      <c r="F22" s="8"/>
      <c r="G22" s="8"/>
      <c r="H22" s="8"/>
      <c r="I22" s="8"/>
      <c r="J22" s="8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9">
        <f t="shared" si="0"/>
        <v>0</v>
      </c>
    </row>
    <row r="23" spans="1:35" ht="15.75" customHeight="1">
      <c r="A23" s="10">
        <v>2212004021</v>
      </c>
      <c r="B23" s="11" t="s">
        <v>26</v>
      </c>
      <c r="C23" s="12" t="s">
        <v>6</v>
      </c>
      <c r="D23" s="6"/>
      <c r="E23" s="7"/>
      <c r="F23" s="8"/>
      <c r="G23" s="8"/>
      <c r="H23" s="8"/>
      <c r="I23" s="8"/>
      <c r="J23" s="8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9">
        <f t="shared" si="0"/>
        <v>0</v>
      </c>
    </row>
    <row r="24" spans="1:35" ht="15.75" customHeight="1">
      <c r="A24" s="10">
        <v>2212004022</v>
      </c>
      <c r="B24" s="11" t="s">
        <v>27</v>
      </c>
      <c r="C24" s="12" t="s">
        <v>6</v>
      </c>
      <c r="D24" s="6"/>
      <c r="E24" s="7"/>
      <c r="F24" s="8"/>
      <c r="G24" s="8"/>
      <c r="H24" s="8"/>
      <c r="I24" s="8"/>
      <c r="J24" s="8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9">
        <f t="shared" si="0"/>
        <v>0</v>
      </c>
    </row>
    <row r="25" spans="1:35" ht="15.75" customHeight="1">
      <c r="A25" s="10">
        <v>2212004023</v>
      </c>
      <c r="B25" s="11" t="s">
        <v>28</v>
      </c>
      <c r="C25" s="12" t="s">
        <v>6</v>
      </c>
      <c r="D25" s="6"/>
      <c r="E25" s="7"/>
      <c r="F25" s="8"/>
      <c r="G25" s="8"/>
      <c r="H25" s="8"/>
      <c r="I25" s="8"/>
      <c r="J25" s="8"/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9">
        <f t="shared" si="0"/>
        <v>0</v>
      </c>
    </row>
    <row r="26" spans="1:35" ht="15.75" customHeight="1">
      <c r="A26" s="10">
        <v>2212004025</v>
      </c>
      <c r="B26" s="11" t="s">
        <v>29</v>
      </c>
      <c r="C26" s="12" t="s">
        <v>6</v>
      </c>
      <c r="D26" s="6"/>
      <c r="E26" s="7"/>
      <c r="F26" s="8"/>
      <c r="G26" s="8"/>
      <c r="H26" s="8"/>
      <c r="I26" s="8"/>
      <c r="J26" s="8"/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9">
        <f t="shared" si="0"/>
        <v>0</v>
      </c>
    </row>
    <row r="27" spans="1:35" ht="15.75" customHeight="1">
      <c r="A27" s="33">
        <v>2212004028</v>
      </c>
      <c r="B27" s="36" t="s">
        <v>30</v>
      </c>
      <c r="C27" s="12" t="s">
        <v>6</v>
      </c>
      <c r="D27" s="6"/>
      <c r="E27" s="7"/>
      <c r="F27" s="8"/>
      <c r="G27" s="8"/>
      <c r="H27" s="8"/>
      <c r="I27" s="8"/>
      <c r="J27" s="8"/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9">
        <f t="shared" si="0"/>
        <v>0</v>
      </c>
    </row>
    <row r="28" spans="1:35" ht="15.75" customHeight="1">
      <c r="A28" s="10">
        <v>2212004029</v>
      </c>
      <c r="B28" s="11" t="s">
        <v>31</v>
      </c>
      <c r="C28" s="12" t="s">
        <v>6</v>
      </c>
      <c r="D28" s="6"/>
      <c r="E28" s="7"/>
      <c r="F28" s="8"/>
      <c r="G28" s="8"/>
      <c r="H28" s="8"/>
      <c r="I28" s="8"/>
      <c r="J28" s="8"/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9">
        <f t="shared" si="0"/>
        <v>0</v>
      </c>
    </row>
    <row r="29" spans="1:35" ht="15.75" customHeight="1">
      <c r="A29" s="10">
        <v>2212004030</v>
      </c>
      <c r="B29" s="11" t="s">
        <v>32</v>
      </c>
      <c r="C29" s="12" t="s">
        <v>6</v>
      </c>
      <c r="D29" s="6"/>
      <c r="E29" s="7"/>
      <c r="F29" s="8"/>
      <c r="G29" s="8"/>
      <c r="H29" s="8"/>
      <c r="I29" s="8"/>
      <c r="J29" s="8"/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9">
        <f t="shared" si="0"/>
        <v>0</v>
      </c>
    </row>
    <row r="30" spans="1:35" ht="15.75" customHeight="1">
      <c r="A30" s="10">
        <v>2212004031</v>
      </c>
      <c r="B30" s="11" t="s">
        <v>33</v>
      </c>
      <c r="C30" s="12" t="s">
        <v>6</v>
      </c>
      <c r="D30" s="6"/>
      <c r="E30" s="7"/>
      <c r="F30" s="8"/>
      <c r="G30" s="8"/>
      <c r="H30" s="8"/>
      <c r="I30" s="8"/>
      <c r="J30" s="8"/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9">
        <f t="shared" si="0"/>
        <v>0</v>
      </c>
    </row>
    <row r="31" spans="1:35" ht="15.75" customHeight="1">
      <c r="A31" s="10">
        <v>2212004032</v>
      </c>
      <c r="B31" s="11" t="s">
        <v>34</v>
      </c>
      <c r="C31" s="12" t="s">
        <v>6</v>
      </c>
      <c r="D31" s="6"/>
      <c r="E31" s="7"/>
      <c r="F31" s="8"/>
      <c r="G31" s="8"/>
      <c r="H31" s="8"/>
      <c r="I31" s="8"/>
      <c r="J31" s="8"/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9">
        <f t="shared" si="0"/>
        <v>0</v>
      </c>
    </row>
    <row r="32" spans="1:35" ht="15.75" customHeight="1">
      <c r="A32" s="10">
        <v>2212004034</v>
      </c>
      <c r="B32" s="11" t="s">
        <v>35</v>
      </c>
      <c r="C32" s="12" t="s">
        <v>6</v>
      </c>
      <c r="D32" s="6"/>
      <c r="E32" s="7"/>
      <c r="F32" s="8"/>
      <c r="G32" s="8"/>
      <c r="H32" s="8"/>
      <c r="I32" s="8"/>
      <c r="J32" s="8"/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9">
        <f t="shared" si="0"/>
        <v>0</v>
      </c>
    </row>
    <row r="33" spans="1:35" ht="15.75" customHeight="1">
      <c r="A33" s="10">
        <v>2212004035</v>
      </c>
      <c r="B33" s="11" t="s">
        <v>36</v>
      </c>
      <c r="C33" s="12" t="s">
        <v>6</v>
      </c>
      <c r="D33" s="6"/>
      <c r="E33" s="7"/>
      <c r="F33" s="8"/>
      <c r="G33" s="8"/>
      <c r="H33" s="8"/>
      <c r="I33" s="8"/>
      <c r="J33" s="8"/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9">
        <f t="shared" si="0"/>
        <v>0</v>
      </c>
    </row>
    <row r="34" spans="1:35" ht="15.75" customHeight="1">
      <c r="A34" s="37">
        <v>2212004038</v>
      </c>
      <c r="B34" s="38" t="s">
        <v>37</v>
      </c>
      <c r="C34" s="39" t="s">
        <v>8</v>
      </c>
      <c r="D34" s="6"/>
      <c r="E34" s="7"/>
      <c r="F34" s="8"/>
      <c r="G34" s="8"/>
      <c r="H34" s="8"/>
      <c r="I34" s="8"/>
      <c r="J34" s="8"/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40">
        <f t="shared" si="0"/>
        <v>0</v>
      </c>
    </row>
    <row r="35" spans="1:35" ht="18.75" customHeight="1">
      <c r="A35" s="615" t="s">
        <v>38</v>
      </c>
      <c r="B35" s="606"/>
      <c r="C35" s="606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3"/>
      <c r="AI35" s="44"/>
    </row>
    <row r="36" spans="1:35" ht="15.75" customHeight="1">
      <c r="A36" s="45">
        <v>2212010003</v>
      </c>
      <c r="B36" s="46" t="s">
        <v>39</v>
      </c>
      <c r="C36" s="47" t="s">
        <v>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8">
        <f t="shared" ref="AI36:AI89" si="1">SUM(D36:AH36)</f>
        <v>0</v>
      </c>
    </row>
    <row r="37" spans="1:35" ht="15.75" customHeight="1">
      <c r="A37" s="49">
        <v>2212010004</v>
      </c>
      <c r="B37" s="50" t="s">
        <v>40</v>
      </c>
      <c r="C37" s="51" t="s">
        <v>6</v>
      </c>
      <c r="D37" s="8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9">
        <f t="shared" si="1"/>
        <v>0</v>
      </c>
    </row>
    <row r="38" spans="1:35" ht="15.75" customHeight="1">
      <c r="A38" s="49">
        <v>2212010005</v>
      </c>
      <c r="B38" s="50" t="s">
        <v>41</v>
      </c>
      <c r="C38" s="51" t="s">
        <v>42</v>
      </c>
      <c r="D38" s="8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9">
        <f t="shared" si="1"/>
        <v>0</v>
      </c>
    </row>
    <row r="39" spans="1:35" ht="15.75" customHeight="1">
      <c r="A39" s="49">
        <v>2212010006</v>
      </c>
      <c r="B39" s="50" t="s">
        <v>43</v>
      </c>
      <c r="C39" s="51" t="s">
        <v>42</v>
      </c>
      <c r="D39" s="8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9">
        <f t="shared" si="1"/>
        <v>0</v>
      </c>
    </row>
    <row r="40" spans="1:35" ht="15.75" customHeight="1">
      <c r="A40" s="49">
        <v>2212010007</v>
      </c>
      <c r="B40" s="50" t="s">
        <v>44</v>
      </c>
      <c r="C40" s="51" t="s">
        <v>42</v>
      </c>
      <c r="D40" s="8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9">
        <f t="shared" si="1"/>
        <v>0</v>
      </c>
    </row>
    <row r="41" spans="1:35" ht="15.75" customHeight="1">
      <c r="A41" s="49">
        <v>2212010008</v>
      </c>
      <c r="B41" s="50" t="s">
        <v>45</v>
      </c>
      <c r="C41" s="51" t="s">
        <v>6</v>
      </c>
      <c r="D41" s="8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9">
        <f t="shared" si="1"/>
        <v>0</v>
      </c>
    </row>
    <row r="42" spans="1:35" ht="15.75" customHeight="1">
      <c r="A42" s="49">
        <v>2212010009</v>
      </c>
      <c r="B42" s="50" t="s">
        <v>46</v>
      </c>
      <c r="C42" s="51" t="s">
        <v>6</v>
      </c>
      <c r="D42" s="8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9">
        <f t="shared" si="1"/>
        <v>0</v>
      </c>
    </row>
    <row r="43" spans="1:35" ht="15.75" customHeight="1">
      <c r="A43" s="49">
        <v>2212010010</v>
      </c>
      <c r="B43" s="50" t="s">
        <v>47</v>
      </c>
      <c r="C43" s="51" t="s">
        <v>42</v>
      </c>
      <c r="D43" s="8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9">
        <f t="shared" si="1"/>
        <v>0</v>
      </c>
    </row>
    <row r="44" spans="1:35" ht="15.75" customHeight="1">
      <c r="A44" s="49">
        <v>2212010011</v>
      </c>
      <c r="B44" s="50" t="s">
        <v>48</v>
      </c>
      <c r="C44" s="51" t="s">
        <v>6</v>
      </c>
      <c r="D44" s="8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9">
        <f t="shared" si="1"/>
        <v>0</v>
      </c>
    </row>
    <row r="45" spans="1:35" ht="15.75" customHeight="1">
      <c r="A45" s="49">
        <v>2212010012</v>
      </c>
      <c r="B45" s="50" t="s">
        <v>49</v>
      </c>
      <c r="C45" s="51" t="s">
        <v>6</v>
      </c>
      <c r="D45" s="8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9">
        <f t="shared" si="1"/>
        <v>0</v>
      </c>
    </row>
    <row r="46" spans="1:35" ht="15.75" customHeight="1">
      <c r="A46" s="49">
        <v>2212010013</v>
      </c>
      <c r="B46" s="50" t="s">
        <v>50</v>
      </c>
      <c r="C46" s="51" t="s">
        <v>6</v>
      </c>
      <c r="D46" s="8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9">
        <f t="shared" si="1"/>
        <v>0</v>
      </c>
    </row>
    <row r="47" spans="1:35" ht="15.75" customHeight="1">
      <c r="A47" s="49">
        <v>2212010014</v>
      </c>
      <c r="B47" s="50" t="s">
        <v>51</v>
      </c>
      <c r="C47" s="51" t="s">
        <v>6</v>
      </c>
      <c r="D47" s="8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9">
        <f t="shared" si="1"/>
        <v>0</v>
      </c>
    </row>
    <row r="48" spans="1:35" ht="15.75" customHeight="1">
      <c r="A48" s="49">
        <v>2212010015</v>
      </c>
      <c r="B48" s="50" t="s">
        <v>52</v>
      </c>
      <c r="C48" s="51" t="s">
        <v>6</v>
      </c>
      <c r="D48" s="8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9">
        <f t="shared" si="1"/>
        <v>0</v>
      </c>
    </row>
    <row r="49" spans="1:35" ht="15.75" customHeight="1">
      <c r="A49" s="49">
        <v>2212010016</v>
      </c>
      <c r="B49" s="50" t="s">
        <v>53</v>
      </c>
      <c r="C49" s="51" t="s">
        <v>42</v>
      </c>
      <c r="D49" s="8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9">
        <f t="shared" si="1"/>
        <v>0</v>
      </c>
    </row>
    <row r="50" spans="1:35" ht="15.75" customHeight="1">
      <c r="A50" s="49">
        <v>2212010017</v>
      </c>
      <c r="B50" s="50" t="s">
        <v>54</v>
      </c>
      <c r="C50" s="51" t="s">
        <v>6</v>
      </c>
      <c r="D50" s="8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9">
        <f t="shared" si="1"/>
        <v>0</v>
      </c>
    </row>
    <row r="51" spans="1:35" ht="15.75" customHeight="1">
      <c r="A51" s="49">
        <v>2212010019</v>
      </c>
      <c r="B51" s="50" t="s">
        <v>55</v>
      </c>
      <c r="C51" s="51" t="s">
        <v>6</v>
      </c>
      <c r="D51" s="8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9">
        <f t="shared" si="1"/>
        <v>0</v>
      </c>
    </row>
    <row r="52" spans="1:35" ht="15.75" customHeight="1">
      <c r="A52" s="49">
        <v>2212010020</v>
      </c>
      <c r="B52" s="50" t="s">
        <v>56</v>
      </c>
      <c r="C52" s="51" t="s">
        <v>6</v>
      </c>
      <c r="D52" s="8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9">
        <f t="shared" si="1"/>
        <v>0</v>
      </c>
    </row>
    <row r="53" spans="1:35" ht="15.75" customHeight="1">
      <c r="A53" s="49">
        <v>2212010021</v>
      </c>
      <c r="B53" s="50" t="s">
        <v>57</v>
      </c>
      <c r="C53" s="51" t="s">
        <v>6</v>
      </c>
      <c r="D53" s="8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9">
        <f t="shared" si="1"/>
        <v>0</v>
      </c>
    </row>
    <row r="54" spans="1:35" ht="15.75" customHeight="1">
      <c r="A54" s="49">
        <v>2212010022</v>
      </c>
      <c r="B54" s="50" t="s">
        <v>58</v>
      </c>
      <c r="C54" s="51" t="s">
        <v>6</v>
      </c>
      <c r="D54" s="8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9">
        <f t="shared" si="1"/>
        <v>0</v>
      </c>
    </row>
    <row r="55" spans="1:35" ht="15.75" customHeight="1">
      <c r="A55" s="49">
        <v>2212010023</v>
      </c>
      <c r="B55" s="53" t="s">
        <v>59</v>
      </c>
      <c r="C55" s="51" t="s">
        <v>6</v>
      </c>
      <c r="D55" s="8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7"/>
      <c r="AG55" s="6"/>
      <c r="AH55" s="6"/>
      <c r="AI55" s="9">
        <f t="shared" si="1"/>
        <v>0</v>
      </c>
    </row>
    <row r="56" spans="1:35" ht="15.75" customHeight="1">
      <c r="A56" s="49">
        <v>2212010024</v>
      </c>
      <c r="B56" s="50" t="s">
        <v>60</v>
      </c>
      <c r="C56" s="51" t="s">
        <v>6</v>
      </c>
      <c r="D56" s="8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9">
        <f t="shared" si="1"/>
        <v>0</v>
      </c>
    </row>
    <row r="57" spans="1:35" ht="15.75" customHeight="1">
      <c r="A57" s="49">
        <v>2212010025</v>
      </c>
      <c r="B57" s="50" t="s">
        <v>61</v>
      </c>
      <c r="C57" s="51" t="s">
        <v>42</v>
      </c>
      <c r="D57" s="8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9">
        <f t="shared" si="1"/>
        <v>0</v>
      </c>
    </row>
    <row r="58" spans="1:35" ht="15.75" customHeight="1">
      <c r="A58" s="49">
        <v>2212010026</v>
      </c>
      <c r="B58" s="50" t="s">
        <v>62</v>
      </c>
      <c r="C58" s="51" t="s">
        <v>6</v>
      </c>
      <c r="D58" s="8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9">
        <f t="shared" si="1"/>
        <v>0</v>
      </c>
    </row>
    <row r="59" spans="1:35" ht="15.75" customHeight="1">
      <c r="A59" s="49">
        <v>2212010027</v>
      </c>
      <c r="B59" s="50" t="s">
        <v>63</v>
      </c>
      <c r="C59" s="51" t="s">
        <v>6</v>
      </c>
      <c r="D59" s="8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9">
        <f t="shared" si="1"/>
        <v>0</v>
      </c>
    </row>
    <row r="60" spans="1:35" ht="15.75" customHeight="1">
      <c r="A60" s="49">
        <v>2212010028</v>
      </c>
      <c r="B60" s="50" t="s">
        <v>64</v>
      </c>
      <c r="C60" s="51" t="s">
        <v>6</v>
      </c>
      <c r="D60" s="8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9">
        <f t="shared" si="1"/>
        <v>0</v>
      </c>
    </row>
    <row r="61" spans="1:35" ht="15.75" customHeight="1">
      <c r="A61" s="49">
        <v>2212010029</v>
      </c>
      <c r="B61" s="50" t="s">
        <v>65</v>
      </c>
      <c r="C61" s="51" t="s">
        <v>6</v>
      </c>
      <c r="D61" s="8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9">
        <f t="shared" si="1"/>
        <v>0</v>
      </c>
    </row>
    <row r="62" spans="1:35" ht="15.75" customHeight="1">
      <c r="A62" s="49">
        <v>2212010030</v>
      </c>
      <c r="B62" s="53" t="s">
        <v>66</v>
      </c>
      <c r="C62" s="51" t="s">
        <v>8</v>
      </c>
      <c r="D62" s="8"/>
      <c r="E62" s="7"/>
      <c r="F62" s="8"/>
      <c r="G62" s="8"/>
      <c r="H62" s="8"/>
      <c r="I62" s="7"/>
      <c r="J62" s="8"/>
      <c r="K62" s="8"/>
      <c r="L62" s="8"/>
      <c r="M62" s="8"/>
      <c r="N62" s="8"/>
      <c r="O62" s="8"/>
      <c r="P62" s="8"/>
      <c r="Q62" s="8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9">
        <f t="shared" si="1"/>
        <v>0</v>
      </c>
    </row>
    <row r="63" spans="1:35" ht="15.75" customHeight="1">
      <c r="A63" s="49">
        <v>2212010031</v>
      </c>
      <c r="B63" s="50" t="s">
        <v>67</v>
      </c>
      <c r="C63" s="51" t="s">
        <v>6</v>
      </c>
      <c r="D63" s="8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9">
        <f t="shared" si="1"/>
        <v>0</v>
      </c>
    </row>
    <row r="64" spans="1:35" ht="15.75" customHeight="1">
      <c r="A64" s="49">
        <v>2212010032</v>
      </c>
      <c r="B64" s="50" t="s">
        <v>68</v>
      </c>
      <c r="C64" s="51" t="s">
        <v>6</v>
      </c>
      <c r="D64" s="8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9">
        <f t="shared" si="1"/>
        <v>0</v>
      </c>
    </row>
    <row r="65" spans="1:35" ht="15.75" customHeight="1">
      <c r="A65" s="49">
        <v>2212010033</v>
      </c>
      <c r="B65" s="50" t="s">
        <v>69</v>
      </c>
      <c r="C65" s="51" t="s">
        <v>42</v>
      </c>
      <c r="D65" s="8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9">
        <f t="shared" si="1"/>
        <v>0</v>
      </c>
    </row>
    <row r="66" spans="1:35" ht="15.75" customHeight="1">
      <c r="A66" s="49">
        <v>2212010034</v>
      </c>
      <c r="B66" s="50" t="s">
        <v>70</v>
      </c>
      <c r="C66" s="51" t="s">
        <v>6</v>
      </c>
      <c r="D66" s="8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9">
        <f t="shared" si="1"/>
        <v>0</v>
      </c>
    </row>
    <row r="67" spans="1:35" ht="15.75" customHeight="1">
      <c r="A67" s="49">
        <v>2212010035</v>
      </c>
      <c r="B67" s="50" t="s">
        <v>71</v>
      </c>
      <c r="C67" s="51" t="s">
        <v>6</v>
      </c>
      <c r="D67" s="8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9">
        <f t="shared" si="1"/>
        <v>0</v>
      </c>
    </row>
    <row r="68" spans="1:35" ht="15.75" customHeight="1">
      <c r="A68" s="49">
        <v>2212010036</v>
      </c>
      <c r="B68" s="50" t="s">
        <v>72</v>
      </c>
      <c r="C68" s="51" t="s">
        <v>8</v>
      </c>
      <c r="D68" s="8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9">
        <f t="shared" si="1"/>
        <v>0</v>
      </c>
    </row>
    <row r="69" spans="1:35" ht="15.75" customHeight="1">
      <c r="A69" s="49">
        <v>2212010037</v>
      </c>
      <c r="B69" s="50" t="s">
        <v>73</v>
      </c>
      <c r="C69" s="51" t="s">
        <v>6</v>
      </c>
      <c r="D69" s="8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9">
        <f t="shared" si="1"/>
        <v>0</v>
      </c>
    </row>
    <row r="70" spans="1:35" ht="15.75" customHeight="1">
      <c r="A70" s="49">
        <v>2212010038</v>
      </c>
      <c r="B70" s="53" t="s">
        <v>74</v>
      </c>
      <c r="C70" s="51" t="s">
        <v>6</v>
      </c>
      <c r="D70" s="8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9">
        <f t="shared" si="1"/>
        <v>0</v>
      </c>
    </row>
    <row r="71" spans="1:35" ht="15.75" customHeight="1">
      <c r="A71" s="49">
        <v>2212010039</v>
      </c>
      <c r="B71" s="50" t="s">
        <v>75</v>
      </c>
      <c r="C71" s="51" t="s">
        <v>42</v>
      </c>
      <c r="D71" s="8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9">
        <f t="shared" si="1"/>
        <v>0</v>
      </c>
    </row>
    <row r="72" spans="1:35" ht="15.75" customHeight="1">
      <c r="A72" s="49">
        <v>2212010040</v>
      </c>
      <c r="B72" s="50" t="s">
        <v>76</v>
      </c>
      <c r="C72" s="51" t="s">
        <v>6</v>
      </c>
      <c r="D72" s="8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9">
        <f t="shared" si="1"/>
        <v>0</v>
      </c>
    </row>
    <row r="73" spans="1:35" ht="15.75" customHeight="1">
      <c r="A73" s="49">
        <v>2212010041</v>
      </c>
      <c r="B73" s="50" t="s">
        <v>77</v>
      </c>
      <c r="C73" s="51" t="s">
        <v>6</v>
      </c>
      <c r="D73" s="8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9">
        <f t="shared" si="1"/>
        <v>0</v>
      </c>
    </row>
    <row r="74" spans="1:35" ht="15.75" customHeight="1">
      <c r="A74" s="49">
        <v>2212010042</v>
      </c>
      <c r="B74" s="50" t="s">
        <v>78</v>
      </c>
      <c r="C74" s="51" t="s">
        <v>6</v>
      </c>
      <c r="D74" s="8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9">
        <f t="shared" si="1"/>
        <v>0</v>
      </c>
    </row>
    <row r="75" spans="1:35" ht="15.75" customHeight="1">
      <c r="A75" s="49">
        <v>2212010043</v>
      </c>
      <c r="B75" s="50" t="s">
        <v>79</v>
      </c>
      <c r="C75" s="51" t="s">
        <v>42</v>
      </c>
      <c r="D75" s="8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9">
        <f t="shared" si="1"/>
        <v>0</v>
      </c>
    </row>
    <row r="76" spans="1:35" ht="15.75" customHeight="1">
      <c r="A76" s="49">
        <v>2212010044</v>
      </c>
      <c r="B76" s="50" t="s">
        <v>80</v>
      </c>
      <c r="C76" s="51" t="s">
        <v>42</v>
      </c>
      <c r="D76" s="8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9">
        <f t="shared" si="1"/>
        <v>0</v>
      </c>
    </row>
    <row r="77" spans="1:35" ht="15.75" customHeight="1">
      <c r="A77" s="49">
        <v>2212010046</v>
      </c>
      <c r="B77" s="50" t="s">
        <v>81</v>
      </c>
      <c r="C77" s="51" t="s">
        <v>42</v>
      </c>
      <c r="D77" s="8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9">
        <f t="shared" si="1"/>
        <v>0</v>
      </c>
    </row>
    <row r="78" spans="1:35" ht="15.75" customHeight="1">
      <c r="A78" s="49">
        <v>2212010047</v>
      </c>
      <c r="B78" s="50" t="s">
        <v>82</v>
      </c>
      <c r="C78" s="51" t="s">
        <v>6</v>
      </c>
      <c r="D78" s="8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9">
        <f t="shared" si="1"/>
        <v>0</v>
      </c>
    </row>
    <row r="79" spans="1:35" ht="15.75" customHeight="1">
      <c r="A79" s="49">
        <v>2212010048</v>
      </c>
      <c r="B79" s="50" t="s">
        <v>83</v>
      </c>
      <c r="C79" s="51" t="s">
        <v>6</v>
      </c>
      <c r="D79" s="8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9">
        <f t="shared" si="1"/>
        <v>0</v>
      </c>
    </row>
    <row r="80" spans="1:35" ht="15.75" customHeight="1">
      <c r="A80" s="49">
        <v>2212010049</v>
      </c>
      <c r="B80" s="50" t="s">
        <v>84</v>
      </c>
      <c r="C80" s="51" t="s">
        <v>6</v>
      </c>
      <c r="D80" s="8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9">
        <f t="shared" si="1"/>
        <v>0</v>
      </c>
    </row>
    <row r="81" spans="1:35" ht="15.75" customHeight="1">
      <c r="A81" s="49">
        <v>2212010050</v>
      </c>
      <c r="B81" s="50" t="s">
        <v>85</v>
      </c>
      <c r="C81" s="51" t="s">
        <v>86</v>
      </c>
      <c r="D81" s="8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9">
        <f t="shared" si="1"/>
        <v>0</v>
      </c>
    </row>
    <row r="82" spans="1:35" ht="15.75" customHeight="1">
      <c r="A82" s="49">
        <v>2212010053</v>
      </c>
      <c r="B82" s="50" t="s">
        <v>87</v>
      </c>
      <c r="C82" s="51" t="s">
        <v>42</v>
      </c>
      <c r="D82" s="8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9">
        <f t="shared" si="1"/>
        <v>0</v>
      </c>
    </row>
    <row r="83" spans="1:35" ht="15.75" customHeight="1">
      <c r="A83" s="49">
        <v>2212010054</v>
      </c>
      <c r="B83" s="50" t="s">
        <v>88</v>
      </c>
      <c r="C83" s="51" t="s">
        <v>6</v>
      </c>
      <c r="D83" s="8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9">
        <f t="shared" si="1"/>
        <v>0</v>
      </c>
    </row>
    <row r="84" spans="1:35" ht="15.75" customHeight="1">
      <c r="A84" s="49">
        <v>2212010055</v>
      </c>
      <c r="B84" s="50" t="s">
        <v>89</v>
      </c>
      <c r="C84" s="51" t="s">
        <v>6</v>
      </c>
      <c r="D84" s="8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9">
        <f t="shared" si="1"/>
        <v>0</v>
      </c>
    </row>
    <row r="85" spans="1:35" ht="15.75" customHeight="1">
      <c r="A85" s="49">
        <v>2212010056</v>
      </c>
      <c r="B85" s="50" t="s">
        <v>90</v>
      </c>
      <c r="C85" s="51" t="s">
        <v>8</v>
      </c>
      <c r="D85" s="8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9">
        <f t="shared" si="1"/>
        <v>0</v>
      </c>
    </row>
    <row r="86" spans="1:35" ht="15.75" customHeight="1">
      <c r="A86" s="49">
        <v>2212010057</v>
      </c>
      <c r="B86" s="50" t="s">
        <v>91</v>
      </c>
      <c r="C86" s="51" t="s">
        <v>8</v>
      </c>
      <c r="D86" s="8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9">
        <f t="shared" si="1"/>
        <v>0</v>
      </c>
    </row>
    <row r="87" spans="1:35" ht="15.75" customHeight="1">
      <c r="A87" s="49">
        <v>2212010058</v>
      </c>
      <c r="B87" s="50" t="s">
        <v>92</v>
      </c>
      <c r="C87" s="51" t="s">
        <v>6</v>
      </c>
      <c r="D87" s="8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9">
        <f t="shared" si="1"/>
        <v>0</v>
      </c>
    </row>
    <row r="88" spans="1:35" ht="15.75" customHeight="1">
      <c r="A88" s="49">
        <v>2212010060</v>
      </c>
      <c r="B88" s="50" t="s">
        <v>93</v>
      </c>
      <c r="C88" s="51" t="s">
        <v>6</v>
      </c>
      <c r="D88" s="8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9">
        <f t="shared" si="1"/>
        <v>0</v>
      </c>
    </row>
    <row r="89" spans="1:35" ht="15.75" customHeight="1">
      <c r="A89" s="69">
        <v>2212004040</v>
      </c>
      <c r="B89" s="70" t="s">
        <v>94</v>
      </c>
      <c r="C89" s="71" t="s">
        <v>6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40">
        <f t="shared" si="1"/>
        <v>0</v>
      </c>
    </row>
    <row r="90" spans="1:35" ht="18.75" customHeight="1">
      <c r="A90" s="616" t="s">
        <v>95</v>
      </c>
      <c r="B90" s="606"/>
      <c r="C90" s="606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3"/>
      <c r="AI90" s="44"/>
    </row>
    <row r="91" spans="1:35" ht="15.75" customHeight="1">
      <c r="A91" s="74">
        <v>2212002001</v>
      </c>
      <c r="B91" s="75" t="s">
        <v>96</v>
      </c>
      <c r="C91" s="76" t="s">
        <v>6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48">
        <f t="shared" ref="AI91:AI111" si="2">SUM(D91:AH91)</f>
        <v>0</v>
      </c>
    </row>
    <row r="92" spans="1:35" ht="15.75" customHeight="1">
      <c r="A92" s="78">
        <v>2212002004</v>
      </c>
      <c r="B92" s="79" t="s">
        <v>97</v>
      </c>
      <c r="C92" s="80" t="s">
        <v>6</v>
      </c>
      <c r="D92" s="8"/>
      <c r="E92" s="7"/>
      <c r="F92" s="8"/>
      <c r="G92" s="8"/>
      <c r="H92" s="8"/>
      <c r="I92" s="8"/>
      <c r="J92" s="8"/>
      <c r="K92" s="8"/>
      <c r="L92" s="8"/>
      <c r="M92" s="8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9">
        <f t="shared" si="2"/>
        <v>0</v>
      </c>
    </row>
    <row r="93" spans="1:35" ht="15.75" customHeight="1">
      <c r="A93" s="78">
        <v>2212002007</v>
      </c>
      <c r="B93" s="79" t="s">
        <v>98</v>
      </c>
      <c r="C93" s="80" t="s">
        <v>6</v>
      </c>
      <c r="D93" s="8"/>
      <c r="E93" s="7"/>
      <c r="F93" s="8"/>
      <c r="G93" s="8"/>
      <c r="H93" s="8"/>
      <c r="I93" s="8"/>
      <c r="J93" s="8"/>
      <c r="K93" s="8"/>
      <c r="L93" s="8"/>
      <c r="M93" s="8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9">
        <f t="shared" si="2"/>
        <v>0</v>
      </c>
    </row>
    <row r="94" spans="1:35" ht="15.75" customHeight="1">
      <c r="A94" s="78">
        <v>2212002009</v>
      </c>
      <c r="B94" s="79" t="s">
        <v>99</v>
      </c>
      <c r="C94" s="80" t="s">
        <v>6</v>
      </c>
      <c r="D94" s="8"/>
      <c r="E94" s="7"/>
      <c r="F94" s="8"/>
      <c r="G94" s="8"/>
      <c r="H94" s="8"/>
      <c r="I94" s="8"/>
      <c r="J94" s="8"/>
      <c r="K94" s="8"/>
      <c r="L94" s="8"/>
      <c r="M94" s="8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9">
        <f t="shared" si="2"/>
        <v>0</v>
      </c>
    </row>
    <row r="95" spans="1:35" ht="15.75" customHeight="1">
      <c r="A95" s="78">
        <v>2212002010</v>
      </c>
      <c r="B95" s="79" t="s">
        <v>100</v>
      </c>
      <c r="C95" s="80" t="s">
        <v>6</v>
      </c>
      <c r="D95" s="8"/>
      <c r="E95" s="7"/>
      <c r="F95" s="8"/>
      <c r="G95" s="8"/>
      <c r="H95" s="8"/>
      <c r="I95" s="8"/>
      <c r="J95" s="8"/>
      <c r="K95" s="8"/>
      <c r="L95" s="8"/>
      <c r="M95" s="8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9">
        <f t="shared" si="2"/>
        <v>0</v>
      </c>
    </row>
    <row r="96" spans="1:35" ht="15.75" customHeight="1">
      <c r="A96" s="78">
        <v>2212002011</v>
      </c>
      <c r="B96" s="79" t="s">
        <v>101</v>
      </c>
      <c r="C96" s="80" t="s">
        <v>6</v>
      </c>
      <c r="D96" s="8"/>
      <c r="E96" s="7"/>
      <c r="F96" s="8"/>
      <c r="G96" s="8"/>
      <c r="H96" s="8"/>
      <c r="I96" s="8"/>
      <c r="J96" s="8"/>
      <c r="K96" s="8"/>
      <c r="L96" s="8"/>
      <c r="M96" s="8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9">
        <f t="shared" si="2"/>
        <v>0</v>
      </c>
    </row>
    <row r="97" spans="1:35" ht="15.75" customHeight="1">
      <c r="A97" s="78">
        <v>2212002014</v>
      </c>
      <c r="B97" s="79" t="s">
        <v>102</v>
      </c>
      <c r="C97" s="80" t="s">
        <v>6</v>
      </c>
      <c r="D97" s="8"/>
      <c r="E97" s="7"/>
      <c r="F97" s="8"/>
      <c r="G97" s="8"/>
      <c r="H97" s="8"/>
      <c r="I97" s="8"/>
      <c r="J97" s="8"/>
      <c r="K97" s="8"/>
      <c r="L97" s="8"/>
      <c r="M97" s="8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9">
        <f t="shared" si="2"/>
        <v>0</v>
      </c>
    </row>
    <row r="98" spans="1:35" ht="15.75" customHeight="1">
      <c r="A98" s="78">
        <v>2212002016</v>
      </c>
      <c r="B98" s="79" t="s">
        <v>103</v>
      </c>
      <c r="C98" s="80" t="s">
        <v>6</v>
      </c>
      <c r="D98" s="8"/>
      <c r="E98" s="7"/>
      <c r="F98" s="8"/>
      <c r="G98" s="8"/>
      <c r="H98" s="8"/>
      <c r="I98" s="8"/>
      <c r="J98" s="8"/>
      <c r="K98" s="8"/>
      <c r="L98" s="8"/>
      <c r="M98" s="8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9">
        <f t="shared" si="2"/>
        <v>0</v>
      </c>
    </row>
    <row r="99" spans="1:35" ht="15.75" customHeight="1">
      <c r="A99" s="78">
        <v>2212002018</v>
      </c>
      <c r="B99" s="79" t="s">
        <v>104</v>
      </c>
      <c r="C99" s="80" t="s">
        <v>6</v>
      </c>
      <c r="D99" s="8"/>
      <c r="E99" s="7"/>
      <c r="F99" s="8"/>
      <c r="G99" s="8"/>
      <c r="H99" s="8"/>
      <c r="I99" s="8"/>
      <c r="J99" s="8"/>
      <c r="K99" s="8"/>
      <c r="L99" s="8"/>
      <c r="M99" s="8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9">
        <f t="shared" si="2"/>
        <v>0</v>
      </c>
    </row>
    <row r="100" spans="1:35" ht="15.75" customHeight="1">
      <c r="A100" s="78">
        <v>2212002022</v>
      </c>
      <c r="B100" s="79" t="s">
        <v>105</v>
      </c>
      <c r="C100" s="80" t="s">
        <v>6</v>
      </c>
      <c r="D100" s="8"/>
      <c r="E100" s="7"/>
      <c r="F100" s="8"/>
      <c r="G100" s="8"/>
      <c r="H100" s="8"/>
      <c r="I100" s="8"/>
      <c r="J100" s="8"/>
      <c r="K100" s="8"/>
      <c r="L100" s="8"/>
      <c r="M100" s="8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9">
        <f t="shared" si="2"/>
        <v>0</v>
      </c>
    </row>
    <row r="101" spans="1:35" ht="15.75" customHeight="1">
      <c r="A101" s="78">
        <v>2212002023</v>
      </c>
      <c r="B101" s="79" t="s">
        <v>106</v>
      </c>
      <c r="C101" s="80" t="s">
        <v>6</v>
      </c>
      <c r="D101" s="8"/>
      <c r="E101" s="7"/>
      <c r="F101" s="8"/>
      <c r="G101" s="8"/>
      <c r="H101" s="8"/>
      <c r="I101" s="8"/>
      <c r="J101" s="8"/>
      <c r="K101" s="8"/>
      <c r="L101" s="8"/>
      <c r="M101" s="8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9">
        <f t="shared" si="2"/>
        <v>0</v>
      </c>
    </row>
    <row r="102" spans="1:35" ht="15.75" customHeight="1">
      <c r="A102" s="78">
        <v>2212002025</v>
      </c>
      <c r="B102" s="79" t="s">
        <v>107</v>
      </c>
      <c r="C102" s="80" t="s">
        <v>6</v>
      </c>
      <c r="D102" s="8"/>
      <c r="E102" s="7"/>
      <c r="F102" s="8"/>
      <c r="G102" s="8"/>
      <c r="H102" s="8"/>
      <c r="I102" s="8"/>
      <c r="J102" s="8"/>
      <c r="K102" s="8"/>
      <c r="L102" s="8"/>
      <c r="M102" s="8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9">
        <f t="shared" si="2"/>
        <v>0</v>
      </c>
    </row>
    <row r="103" spans="1:35" ht="15.75" customHeight="1">
      <c r="A103" s="78">
        <v>2212002026</v>
      </c>
      <c r="B103" s="79" t="s">
        <v>108</v>
      </c>
      <c r="C103" s="80" t="s">
        <v>6</v>
      </c>
      <c r="D103" s="8"/>
      <c r="E103" s="7"/>
      <c r="F103" s="8"/>
      <c r="G103" s="8"/>
      <c r="H103" s="8"/>
      <c r="I103" s="8"/>
      <c r="J103" s="8"/>
      <c r="K103" s="8"/>
      <c r="L103" s="8"/>
      <c r="M103" s="8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9">
        <f t="shared" si="2"/>
        <v>0</v>
      </c>
    </row>
    <row r="104" spans="1:35" ht="15.75" customHeight="1">
      <c r="A104" s="78">
        <v>2212002027</v>
      </c>
      <c r="B104" s="79" t="s">
        <v>109</v>
      </c>
      <c r="C104" s="80" t="s">
        <v>6</v>
      </c>
      <c r="D104" s="8"/>
      <c r="E104" s="7"/>
      <c r="F104" s="8"/>
      <c r="G104" s="8"/>
      <c r="H104" s="8"/>
      <c r="I104" s="8"/>
      <c r="J104" s="8"/>
      <c r="K104" s="8"/>
      <c r="L104" s="8"/>
      <c r="M104" s="8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9">
        <f t="shared" si="2"/>
        <v>0</v>
      </c>
    </row>
    <row r="105" spans="1:35" ht="15.75" customHeight="1">
      <c r="A105" s="78">
        <v>2212002028</v>
      </c>
      <c r="B105" s="79" t="s">
        <v>110</v>
      </c>
      <c r="C105" s="80" t="s">
        <v>6</v>
      </c>
      <c r="D105" s="8"/>
      <c r="E105" s="7"/>
      <c r="F105" s="8"/>
      <c r="G105" s="8"/>
      <c r="H105" s="8"/>
      <c r="I105" s="8"/>
      <c r="J105" s="8"/>
      <c r="K105" s="8"/>
      <c r="L105" s="8"/>
      <c r="M105" s="8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9">
        <f t="shared" si="2"/>
        <v>0</v>
      </c>
    </row>
    <row r="106" spans="1:35" ht="15.75" customHeight="1">
      <c r="A106" s="78">
        <v>2212002030</v>
      </c>
      <c r="B106" s="79" t="s">
        <v>111</v>
      </c>
      <c r="C106" s="80" t="s">
        <v>6</v>
      </c>
      <c r="D106" s="8"/>
      <c r="E106" s="7"/>
      <c r="F106" s="8"/>
      <c r="G106" s="8"/>
      <c r="H106" s="8"/>
      <c r="I106" s="8"/>
      <c r="J106" s="8"/>
      <c r="K106" s="8"/>
      <c r="L106" s="8"/>
      <c r="M106" s="8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9">
        <f t="shared" si="2"/>
        <v>0</v>
      </c>
    </row>
    <row r="107" spans="1:35" ht="15.75" customHeight="1">
      <c r="A107" s="78">
        <v>2212002035</v>
      </c>
      <c r="B107" s="79" t="s">
        <v>112</v>
      </c>
      <c r="C107" s="80" t="s">
        <v>6</v>
      </c>
      <c r="D107" s="8"/>
      <c r="E107" s="7"/>
      <c r="F107" s="8"/>
      <c r="G107" s="8"/>
      <c r="H107" s="8"/>
      <c r="I107" s="8"/>
      <c r="J107" s="8"/>
      <c r="K107" s="8"/>
      <c r="L107" s="8"/>
      <c r="M107" s="8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9">
        <f t="shared" si="2"/>
        <v>0</v>
      </c>
    </row>
    <row r="108" spans="1:35" ht="15.75" customHeight="1">
      <c r="A108" s="78">
        <v>2212002036</v>
      </c>
      <c r="B108" s="79" t="s">
        <v>113</v>
      </c>
      <c r="C108" s="80" t="s">
        <v>6</v>
      </c>
      <c r="D108" s="8"/>
      <c r="E108" s="7"/>
      <c r="F108" s="8"/>
      <c r="G108" s="8"/>
      <c r="H108" s="8"/>
      <c r="I108" s="8"/>
      <c r="J108" s="8"/>
      <c r="K108" s="8"/>
      <c r="L108" s="8"/>
      <c r="M108" s="8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9">
        <f t="shared" si="2"/>
        <v>0</v>
      </c>
    </row>
    <row r="109" spans="1:35" ht="15.75" customHeight="1">
      <c r="A109" s="78">
        <v>2212002040</v>
      </c>
      <c r="B109" s="79" t="s">
        <v>114</v>
      </c>
      <c r="C109" s="80" t="s">
        <v>6</v>
      </c>
      <c r="D109" s="8"/>
      <c r="E109" s="7"/>
      <c r="F109" s="8"/>
      <c r="G109" s="8"/>
      <c r="H109" s="8"/>
      <c r="I109" s="8"/>
      <c r="J109" s="8"/>
      <c r="K109" s="8"/>
      <c r="L109" s="8"/>
      <c r="M109" s="8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9">
        <f t="shared" si="2"/>
        <v>0</v>
      </c>
    </row>
    <row r="110" spans="1:35" ht="15.75" customHeight="1">
      <c r="A110" s="78">
        <v>2212002045</v>
      </c>
      <c r="B110" s="79" t="s">
        <v>115</v>
      </c>
      <c r="C110" s="80" t="s">
        <v>6</v>
      </c>
      <c r="D110" s="8"/>
      <c r="E110" s="7"/>
      <c r="F110" s="8"/>
      <c r="G110" s="8"/>
      <c r="H110" s="8"/>
      <c r="I110" s="8"/>
      <c r="J110" s="8"/>
      <c r="K110" s="8"/>
      <c r="L110" s="8"/>
      <c r="M110" s="8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9">
        <f t="shared" si="2"/>
        <v>0</v>
      </c>
    </row>
    <row r="111" spans="1:35" ht="15.75" customHeight="1">
      <c r="A111" s="81">
        <v>2212002046</v>
      </c>
      <c r="B111" s="82" t="s">
        <v>116</v>
      </c>
      <c r="C111" s="83" t="s">
        <v>6</v>
      </c>
      <c r="D111" s="8"/>
      <c r="E111" s="7"/>
      <c r="F111" s="8"/>
      <c r="G111" s="8"/>
      <c r="H111" s="8"/>
      <c r="I111" s="8"/>
      <c r="J111" s="8"/>
      <c r="K111" s="8"/>
      <c r="L111" s="8"/>
      <c r="M111" s="8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40">
        <f t="shared" si="2"/>
        <v>0</v>
      </c>
    </row>
    <row r="112" spans="1:35" ht="18.75" customHeight="1">
      <c r="A112" s="617" t="s">
        <v>117</v>
      </c>
      <c r="B112" s="606"/>
      <c r="C112" s="606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5"/>
      <c r="AI112" s="86"/>
    </row>
    <row r="113" spans="1:35" ht="15.75" customHeight="1">
      <c r="A113" s="87">
        <v>2212002003</v>
      </c>
      <c r="B113" s="88" t="s">
        <v>118</v>
      </c>
      <c r="C113" s="89" t="s">
        <v>6</v>
      </c>
      <c r="D113" s="77"/>
      <c r="E113" s="7"/>
      <c r="F113" s="8"/>
      <c r="G113" s="8"/>
      <c r="H113" s="8"/>
      <c r="I113" s="8"/>
      <c r="J113" s="8"/>
      <c r="K113" s="8"/>
      <c r="L113" s="8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48">
        <f t="shared" ref="AI113:AI131" si="3">SUM(D113:AH113)</f>
        <v>0</v>
      </c>
    </row>
    <row r="114" spans="1:35" ht="15.75" customHeight="1">
      <c r="A114" s="90">
        <v>2212002005</v>
      </c>
      <c r="B114" s="53" t="s">
        <v>119</v>
      </c>
      <c r="C114" s="91" t="s">
        <v>6</v>
      </c>
      <c r="D114" s="77"/>
      <c r="E114" s="7"/>
      <c r="F114" s="8"/>
      <c r="G114" s="8"/>
      <c r="H114" s="8"/>
      <c r="I114" s="8"/>
      <c r="J114" s="8"/>
      <c r="K114" s="8"/>
      <c r="L114" s="8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9">
        <f t="shared" si="3"/>
        <v>0</v>
      </c>
    </row>
    <row r="115" spans="1:35" ht="15.75" customHeight="1">
      <c r="A115" s="90">
        <v>2212002006</v>
      </c>
      <c r="B115" s="92" t="s">
        <v>120</v>
      </c>
      <c r="C115" s="91" t="s">
        <v>6</v>
      </c>
      <c r="D115" s="77"/>
      <c r="E115" s="7"/>
      <c r="F115" s="8"/>
      <c r="G115" s="8"/>
      <c r="H115" s="8"/>
      <c r="I115" s="8"/>
      <c r="J115" s="8"/>
      <c r="K115" s="8"/>
      <c r="L115" s="8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9">
        <f t="shared" si="3"/>
        <v>0</v>
      </c>
    </row>
    <row r="116" spans="1:35" ht="15.75" customHeight="1">
      <c r="A116" s="90">
        <v>2212002008</v>
      </c>
      <c r="B116" s="53" t="s">
        <v>121</v>
      </c>
      <c r="C116" s="91" t="s">
        <v>6</v>
      </c>
      <c r="D116" s="77"/>
      <c r="E116" s="7"/>
      <c r="F116" s="8"/>
      <c r="G116" s="8"/>
      <c r="H116" s="8"/>
      <c r="I116" s="8"/>
      <c r="J116" s="8"/>
      <c r="K116" s="8"/>
      <c r="L116" s="8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9">
        <f t="shared" si="3"/>
        <v>0</v>
      </c>
    </row>
    <row r="117" spans="1:35" ht="15.75" customHeight="1">
      <c r="A117" s="90">
        <v>2212002012</v>
      </c>
      <c r="B117" s="92" t="s">
        <v>122</v>
      </c>
      <c r="C117" s="91" t="s">
        <v>6</v>
      </c>
      <c r="D117" s="77"/>
      <c r="E117" s="7"/>
      <c r="F117" s="8"/>
      <c r="G117" s="8"/>
      <c r="H117" s="8"/>
      <c r="I117" s="8"/>
      <c r="J117" s="8"/>
      <c r="K117" s="8"/>
      <c r="L117" s="8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9">
        <f t="shared" si="3"/>
        <v>0</v>
      </c>
    </row>
    <row r="118" spans="1:35" ht="15.75" customHeight="1">
      <c r="A118" s="90">
        <v>2212002013</v>
      </c>
      <c r="B118" s="92" t="s">
        <v>123</v>
      </c>
      <c r="C118" s="91" t="s">
        <v>6</v>
      </c>
      <c r="D118" s="77"/>
      <c r="E118" s="7"/>
      <c r="F118" s="8"/>
      <c r="G118" s="8"/>
      <c r="H118" s="8"/>
      <c r="I118" s="8"/>
      <c r="J118" s="8"/>
      <c r="K118" s="8"/>
      <c r="L118" s="8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9">
        <f t="shared" si="3"/>
        <v>0</v>
      </c>
    </row>
    <row r="119" spans="1:35" ht="15.75" customHeight="1">
      <c r="A119" s="90">
        <v>2212002015</v>
      </c>
      <c r="B119" s="92" t="s">
        <v>124</v>
      </c>
      <c r="C119" s="91" t="s">
        <v>6</v>
      </c>
      <c r="D119" s="77"/>
      <c r="E119" s="7"/>
      <c r="F119" s="8"/>
      <c r="G119" s="8"/>
      <c r="H119" s="8"/>
      <c r="I119" s="8"/>
      <c r="J119" s="8"/>
      <c r="K119" s="8"/>
      <c r="L119" s="8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9">
        <f t="shared" si="3"/>
        <v>0</v>
      </c>
    </row>
    <row r="120" spans="1:35" ht="15.75" customHeight="1">
      <c r="A120" s="90">
        <v>2212002019</v>
      </c>
      <c r="B120" s="92" t="s">
        <v>125</v>
      </c>
      <c r="C120" s="91" t="s">
        <v>6</v>
      </c>
      <c r="D120" s="77"/>
      <c r="E120" s="7"/>
      <c r="F120" s="8"/>
      <c r="G120" s="8"/>
      <c r="H120" s="8"/>
      <c r="I120" s="8"/>
      <c r="J120" s="8"/>
      <c r="K120" s="8"/>
      <c r="L120" s="8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9">
        <f t="shared" si="3"/>
        <v>0</v>
      </c>
    </row>
    <row r="121" spans="1:35" ht="15.75" customHeight="1">
      <c r="A121" s="90">
        <v>2212002020</v>
      </c>
      <c r="B121" s="92" t="s">
        <v>126</v>
      </c>
      <c r="C121" s="91" t="s">
        <v>6</v>
      </c>
      <c r="D121" s="77"/>
      <c r="E121" s="7"/>
      <c r="F121" s="8"/>
      <c r="G121" s="8"/>
      <c r="H121" s="8"/>
      <c r="I121" s="8"/>
      <c r="J121" s="8"/>
      <c r="K121" s="8"/>
      <c r="L121" s="8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9">
        <f t="shared" si="3"/>
        <v>0</v>
      </c>
    </row>
    <row r="122" spans="1:35" ht="15.75" customHeight="1">
      <c r="A122" s="90">
        <v>2212002021</v>
      </c>
      <c r="B122" s="92" t="s">
        <v>127</v>
      </c>
      <c r="C122" s="91" t="s">
        <v>6</v>
      </c>
      <c r="D122" s="77"/>
      <c r="E122" s="7"/>
      <c r="F122" s="8"/>
      <c r="G122" s="8"/>
      <c r="H122" s="8"/>
      <c r="I122" s="8"/>
      <c r="J122" s="8"/>
      <c r="K122" s="8"/>
      <c r="L122" s="8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9">
        <f t="shared" si="3"/>
        <v>0</v>
      </c>
    </row>
    <row r="123" spans="1:35" ht="15.75" customHeight="1">
      <c r="A123" s="90">
        <v>2212002024</v>
      </c>
      <c r="B123" s="92" t="s">
        <v>128</v>
      </c>
      <c r="C123" s="91" t="s">
        <v>6</v>
      </c>
      <c r="D123" s="77"/>
      <c r="E123" s="7"/>
      <c r="F123" s="8"/>
      <c r="G123" s="8"/>
      <c r="H123" s="8"/>
      <c r="I123" s="8"/>
      <c r="J123" s="8"/>
      <c r="K123" s="8"/>
      <c r="L123" s="8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9">
        <f t="shared" si="3"/>
        <v>0</v>
      </c>
    </row>
    <row r="124" spans="1:35" ht="15.75" customHeight="1">
      <c r="A124" s="90">
        <v>2212002032</v>
      </c>
      <c r="B124" s="92" t="s">
        <v>129</v>
      </c>
      <c r="C124" s="91" t="s">
        <v>6</v>
      </c>
      <c r="D124" s="77"/>
      <c r="E124" s="7"/>
      <c r="F124" s="8"/>
      <c r="G124" s="8"/>
      <c r="H124" s="8"/>
      <c r="I124" s="8"/>
      <c r="J124" s="8"/>
      <c r="K124" s="8"/>
      <c r="L124" s="8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9">
        <f t="shared" si="3"/>
        <v>0</v>
      </c>
    </row>
    <row r="125" spans="1:35" ht="15.75" customHeight="1">
      <c r="A125" s="90">
        <v>2212002033</v>
      </c>
      <c r="B125" s="92" t="s">
        <v>130</v>
      </c>
      <c r="C125" s="91" t="s">
        <v>6</v>
      </c>
      <c r="D125" s="77"/>
      <c r="E125" s="7"/>
      <c r="F125" s="8"/>
      <c r="G125" s="8"/>
      <c r="H125" s="8"/>
      <c r="I125" s="8"/>
      <c r="J125" s="8"/>
      <c r="K125" s="8"/>
      <c r="L125" s="8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9">
        <f t="shared" si="3"/>
        <v>0</v>
      </c>
    </row>
    <row r="126" spans="1:35" ht="15.75" customHeight="1">
      <c r="A126" s="90">
        <v>2212002037</v>
      </c>
      <c r="B126" s="92" t="s">
        <v>131</v>
      </c>
      <c r="C126" s="91" t="s">
        <v>6</v>
      </c>
      <c r="D126" s="77"/>
      <c r="E126" s="7"/>
      <c r="F126" s="8"/>
      <c r="G126" s="8"/>
      <c r="H126" s="8"/>
      <c r="I126" s="8"/>
      <c r="J126" s="8"/>
      <c r="K126" s="8"/>
      <c r="L126" s="8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9">
        <f t="shared" si="3"/>
        <v>0</v>
      </c>
    </row>
    <row r="127" spans="1:35" ht="15.75" customHeight="1">
      <c r="A127" s="90">
        <v>2212002039</v>
      </c>
      <c r="B127" s="92" t="s">
        <v>132</v>
      </c>
      <c r="C127" s="91" t="s">
        <v>6</v>
      </c>
      <c r="D127" s="77"/>
      <c r="E127" s="7"/>
      <c r="F127" s="8"/>
      <c r="G127" s="8"/>
      <c r="H127" s="8"/>
      <c r="I127" s="8"/>
      <c r="J127" s="8"/>
      <c r="K127" s="8"/>
      <c r="L127" s="8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9">
        <f t="shared" si="3"/>
        <v>0</v>
      </c>
    </row>
    <row r="128" spans="1:35" ht="15.75" customHeight="1">
      <c r="A128" s="90">
        <v>2212002041</v>
      </c>
      <c r="B128" s="53" t="s">
        <v>133</v>
      </c>
      <c r="C128" s="91" t="s">
        <v>6</v>
      </c>
      <c r="D128" s="77"/>
      <c r="E128" s="7"/>
      <c r="F128" s="8"/>
      <c r="G128" s="8"/>
      <c r="H128" s="8"/>
      <c r="I128" s="8"/>
      <c r="J128" s="8"/>
      <c r="K128" s="8"/>
      <c r="L128" s="8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9">
        <f t="shared" si="3"/>
        <v>0</v>
      </c>
    </row>
    <row r="129" spans="1:35" ht="15.75" customHeight="1">
      <c r="A129" s="90">
        <v>2212002042</v>
      </c>
      <c r="B129" s="92" t="s">
        <v>134</v>
      </c>
      <c r="C129" s="91" t="s">
        <v>6</v>
      </c>
      <c r="D129" s="77"/>
      <c r="E129" s="7"/>
      <c r="F129" s="8"/>
      <c r="G129" s="8"/>
      <c r="H129" s="8"/>
      <c r="I129" s="8"/>
      <c r="J129" s="8"/>
      <c r="K129" s="8"/>
      <c r="L129" s="8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9">
        <f t="shared" si="3"/>
        <v>0</v>
      </c>
    </row>
    <row r="130" spans="1:35" ht="15.75" customHeight="1">
      <c r="A130" s="90">
        <v>2212002043</v>
      </c>
      <c r="B130" s="92" t="s">
        <v>135</v>
      </c>
      <c r="C130" s="91" t="s">
        <v>6</v>
      </c>
      <c r="D130" s="77"/>
      <c r="E130" s="7"/>
      <c r="F130" s="8"/>
      <c r="G130" s="8"/>
      <c r="H130" s="8"/>
      <c r="I130" s="8"/>
      <c r="J130" s="8"/>
      <c r="K130" s="8"/>
      <c r="L130" s="8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9">
        <f t="shared" si="3"/>
        <v>0</v>
      </c>
    </row>
    <row r="131" spans="1:35" ht="15.75" customHeight="1">
      <c r="A131" s="94">
        <v>2212002044</v>
      </c>
      <c r="B131" s="95" t="s">
        <v>136</v>
      </c>
      <c r="C131" s="96" t="s">
        <v>6</v>
      </c>
      <c r="D131" s="77"/>
      <c r="E131" s="7"/>
      <c r="F131" s="8"/>
      <c r="G131" s="8"/>
      <c r="H131" s="8"/>
      <c r="I131" s="8"/>
      <c r="J131" s="8"/>
      <c r="K131" s="8"/>
      <c r="L131" s="8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40">
        <f t="shared" si="3"/>
        <v>0</v>
      </c>
    </row>
    <row r="132" spans="1:35" ht="18.75" customHeight="1">
      <c r="A132" s="618" t="s">
        <v>137</v>
      </c>
      <c r="B132" s="606"/>
      <c r="C132" s="606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8"/>
      <c r="AI132" s="44"/>
    </row>
    <row r="133" spans="1:35" ht="15.75" customHeight="1">
      <c r="A133" s="99">
        <v>2212006001</v>
      </c>
      <c r="B133" s="100" t="s">
        <v>138</v>
      </c>
      <c r="C133" s="101" t="s">
        <v>6</v>
      </c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48">
        <f t="shared" ref="AI133:AI141" si="4">SUM(D133:AH133)</f>
        <v>0</v>
      </c>
    </row>
    <row r="134" spans="1:35" ht="15.75" customHeight="1">
      <c r="A134" s="103">
        <v>2212006003</v>
      </c>
      <c r="B134" s="104" t="s">
        <v>139</v>
      </c>
      <c r="C134" s="105" t="s">
        <v>6</v>
      </c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9">
        <f t="shared" si="4"/>
        <v>0</v>
      </c>
    </row>
    <row r="135" spans="1:35" ht="15.75" customHeight="1">
      <c r="A135" s="103">
        <v>2212006004</v>
      </c>
      <c r="B135" s="106" t="s">
        <v>140</v>
      </c>
      <c r="C135" s="105" t="s">
        <v>6</v>
      </c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9">
        <f t="shared" si="4"/>
        <v>0</v>
      </c>
    </row>
    <row r="136" spans="1:35" ht="15.75" customHeight="1">
      <c r="A136" s="103">
        <v>2212006005</v>
      </c>
      <c r="B136" s="106" t="s">
        <v>141</v>
      </c>
      <c r="C136" s="105" t="s">
        <v>6</v>
      </c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9">
        <f t="shared" si="4"/>
        <v>0</v>
      </c>
    </row>
    <row r="137" spans="1:35" ht="15.75" customHeight="1">
      <c r="A137" s="103">
        <v>2212006006</v>
      </c>
      <c r="B137" s="106" t="s">
        <v>142</v>
      </c>
      <c r="C137" s="105" t="s">
        <v>6</v>
      </c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9">
        <f t="shared" si="4"/>
        <v>0</v>
      </c>
    </row>
    <row r="138" spans="1:35" ht="15.75" customHeight="1">
      <c r="A138" s="103">
        <v>2212006009</v>
      </c>
      <c r="B138" s="106" t="s">
        <v>143</v>
      </c>
      <c r="C138" s="105" t="s">
        <v>6</v>
      </c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9">
        <f t="shared" si="4"/>
        <v>0</v>
      </c>
    </row>
    <row r="139" spans="1:35" ht="15.75" customHeight="1">
      <c r="A139" s="103">
        <v>2212006011</v>
      </c>
      <c r="B139" s="106" t="s">
        <v>144</v>
      </c>
      <c r="C139" s="105" t="s">
        <v>8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9">
        <f t="shared" si="4"/>
        <v>0</v>
      </c>
    </row>
    <row r="140" spans="1:35" ht="15.75" customHeight="1">
      <c r="A140" s="103">
        <v>2212006012</v>
      </c>
      <c r="B140" s="106" t="s">
        <v>145</v>
      </c>
      <c r="C140" s="105" t="s">
        <v>8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9">
        <f t="shared" si="4"/>
        <v>0</v>
      </c>
    </row>
    <row r="141" spans="1:35" ht="15.75" customHeight="1">
      <c r="A141" s="108">
        <v>2212006013</v>
      </c>
      <c r="B141" s="109" t="s">
        <v>146</v>
      </c>
      <c r="C141" s="110" t="s">
        <v>6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40">
        <f t="shared" si="4"/>
        <v>0</v>
      </c>
    </row>
    <row r="142" spans="1:35" ht="18.75" customHeight="1">
      <c r="A142" s="619" t="s">
        <v>147</v>
      </c>
      <c r="B142" s="606"/>
      <c r="C142" s="606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7"/>
      <c r="AI142" s="118"/>
    </row>
    <row r="143" spans="1:35" ht="15.75" customHeight="1">
      <c r="A143" s="119">
        <v>2212007001</v>
      </c>
      <c r="B143" s="120" t="s">
        <v>148</v>
      </c>
      <c r="C143" s="121" t="s">
        <v>6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48">
        <f t="shared" ref="AI143:AI152" si="5">SUM(D143:AH143)</f>
        <v>0</v>
      </c>
    </row>
    <row r="144" spans="1:35" ht="15.75" customHeight="1">
      <c r="A144" s="122">
        <v>2212007002</v>
      </c>
      <c r="B144" s="123" t="s">
        <v>149</v>
      </c>
      <c r="C144" s="124" t="s">
        <v>6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6"/>
      <c r="AI144" s="9">
        <f t="shared" si="5"/>
        <v>0</v>
      </c>
    </row>
    <row r="145" spans="1:35" ht="15.75" customHeight="1">
      <c r="A145" s="126">
        <v>2212007003</v>
      </c>
      <c r="B145" s="127" t="s">
        <v>150</v>
      </c>
      <c r="C145" s="129" t="s">
        <v>6</v>
      </c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9">
        <f t="shared" si="5"/>
        <v>0</v>
      </c>
    </row>
    <row r="146" spans="1:35" ht="15.75" customHeight="1">
      <c r="A146" s="126">
        <v>2212007004</v>
      </c>
      <c r="B146" s="127" t="s">
        <v>151</v>
      </c>
      <c r="C146" s="129" t="s">
        <v>6</v>
      </c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6"/>
      <c r="AI146" s="9">
        <f t="shared" si="5"/>
        <v>0</v>
      </c>
    </row>
    <row r="147" spans="1:35" ht="15.75" customHeight="1">
      <c r="A147" s="126">
        <v>2212007005</v>
      </c>
      <c r="B147" s="127" t="s">
        <v>152</v>
      </c>
      <c r="C147" s="129" t="s">
        <v>6</v>
      </c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9">
        <f t="shared" si="5"/>
        <v>0</v>
      </c>
    </row>
    <row r="148" spans="1:35" ht="15.75" customHeight="1">
      <c r="A148" s="126">
        <v>2212007006</v>
      </c>
      <c r="B148" s="127" t="s">
        <v>153</v>
      </c>
      <c r="C148" s="129" t="s">
        <v>6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6"/>
      <c r="AI148" s="9">
        <f t="shared" si="5"/>
        <v>0</v>
      </c>
    </row>
    <row r="149" spans="1:35" ht="15.75" customHeight="1">
      <c r="A149" s="126">
        <v>2212007007</v>
      </c>
      <c r="B149" s="127" t="s">
        <v>154</v>
      </c>
      <c r="C149" s="129" t="s">
        <v>6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9">
        <f t="shared" si="5"/>
        <v>0</v>
      </c>
    </row>
    <row r="150" spans="1:35" ht="15.75" customHeight="1">
      <c r="A150" s="126">
        <v>2212007008</v>
      </c>
      <c r="B150" s="127" t="s">
        <v>155</v>
      </c>
      <c r="C150" s="129" t="s">
        <v>6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6"/>
      <c r="AI150" s="9">
        <f t="shared" si="5"/>
        <v>0</v>
      </c>
    </row>
    <row r="151" spans="1:35" ht="15.75" customHeight="1">
      <c r="A151" s="126">
        <v>2212007009</v>
      </c>
      <c r="B151" s="127" t="s">
        <v>156</v>
      </c>
      <c r="C151" s="129" t="s">
        <v>6</v>
      </c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9">
        <f t="shared" si="5"/>
        <v>0</v>
      </c>
    </row>
    <row r="152" spans="1:35" ht="15.75" customHeight="1">
      <c r="A152" s="133">
        <v>2212007010</v>
      </c>
      <c r="B152" s="134" t="s">
        <v>157</v>
      </c>
      <c r="C152" s="135" t="s">
        <v>6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6"/>
      <c r="AI152" s="40">
        <f t="shared" si="5"/>
        <v>0</v>
      </c>
    </row>
    <row r="153" spans="1:35" ht="18.75" customHeight="1">
      <c r="A153" s="620" t="s">
        <v>158</v>
      </c>
      <c r="B153" s="606"/>
      <c r="C153" s="60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7"/>
      <c r="AI153" s="44"/>
    </row>
    <row r="154" spans="1:35" ht="15.75" customHeight="1">
      <c r="A154" s="87">
        <v>2212003002</v>
      </c>
      <c r="B154" s="88" t="s">
        <v>159</v>
      </c>
      <c r="C154" s="89" t="s">
        <v>6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48">
        <f t="shared" ref="AI154:AI163" si="6">SUM(D154:AH154)</f>
        <v>0</v>
      </c>
    </row>
    <row r="155" spans="1:35" ht="15.75" customHeight="1">
      <c r="A155" s="90">
        <v>2212003003</v>
      </c>
      <c r="B155" s="92" t="s">
        <v>160</v>
      </c>
      <c r="C155" s="91" t="s">
        <v>6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9">
        <f t="shared" si="6"/>
        <v>0</v>
      </c>
    </row>
    <row r="156" spans="1:35" ht="15.75" customHeight="1">
      <c r="A156" s="90">
        <v>2212003004</v>
      </c>
      <c r="B156" s="92" t="s">
        <v>161</v>
      </c>
      <c r="C156" s="91" t="s">
        <v>6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9">
        <f t="shared" si="6"/>
        <v>0</v>
      </c>
    </row>
    <row r="157" spans="1:35" ht="15.75" customHeight="1">
      <c r="A157" s="90">
        <v>2212003008</v>
      </c>
      <c r="B157" s="92" t="s">
        <v>162</v>
      </c>
      <c r="C157" s="91" t="s">
        <v>6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9">
        <f t="shared" si="6"/>
        <v>0</v>
      </c>
    </row>
    <row r="158" spans="1:35" ht="15.75" customHeight="1">
      <c r="A158" s="90">
        <v>2212003009</v>
      </c>
      <c r="B158" s="92" t="s">
        <v>163</v>
      </c>
      <c r="C158" s="91" t="s">
        <v>6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9">
        <f t="shared" si="6"/>
        <v>0</v>
      </c>
    </row>
    <row r="159" spans="1:35" ht="15.75" customHeight="1">
      <c r="A159" s="90">
        <v>2212003010</v>
      </c>
      <c r="B159" s="92" t="s">
        <v>164</v>
      </c>
      <c r="C159" s="91" t="s">
        <v>6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9">
        <f t="shared" si="6"/>
        <v>0</v>
      </c>
    </row>
    <row r="160" spans="1:35" ht="15.75" customHeight="1">
      <c r="A160" s="90">
        <v>2212003011</v>
      </c>
      <c r="B160" s="92" t="s">
        <v>165</v>
      </c>
      <c r="C160" s="91" t="s">
        <v>6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9">
        <f t="shared" si="6"/>
        <v>0</v>
      </c>
    </row>
    <row r="161" spans="1:35" ht="15.75" customHeight="1">
      <c r="A161" s="90">
        <v>2212003012</v>
      </c>
      <c r="B161" s="92" t="s">
        <v>166</v>
      </c>
      <c r="C161" s="91" t="s">
        <v>6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9">
        <f t="shared" si="6"/>
        <v>0</v>
      </c>
    </row>
    <row r="162" spans="1:35" ht="15.75" customHeight="1">
      <c r="A162" s="90">
        <v>2212003013</v>
      </c>
      <c r="B162" s="92" t="s">
        <v>167</v>
      </c>
      <c r="C162" s="91" t="s">
        <v>6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9">
        <f t="shared" si="6"/>
        <v>0</v>
      </c>
    </row>
    <row r="163" spans="1:35" ht="15.75" customHeight="1">
      <c r="A163" s="94">
        <v>2212003017</v>
      </c>
      <c r="B163" s="95" t="s">
        <v>168</v>
      </c>
      <c r="C163" s="96" t="s">
        <v>6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40">
        <f t="shared" si="6"/>
        <v>0</v>
      </c>
    </row>
    <row r="164" spans="1:35" ht="18.75" customHeight="1">
      <c r="A164" s="605" t="s">
        <v>169</v>
      </c>
      <c r="B164" s="606"/>
      <c r="C164" s="606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9"/>
      <c r="AI164" s="44"/>
    </row>
    <row r="165" spans="1:35" ht="15.75" customHeight="1">
      <c r="A165" s="140">
        <v>2212001196</v>
      </c>
      <c r="B165" s="141" t="s">
        <v>170</v>
      </c>
      <c r="C165" s="142" t="s">
        <v>171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48">
        <f t="shared" ref="AI165:AI189" si="7">SUM(D165:AH165)</f>
        <v>0</v>
      </c>
    </row>
    <row r="166" spans="1:35" ht="15.75" customHeight="1">
      <c r="A166" s="144">
        <v>2212005007</v>
      </c>
      <c r="B166" s="53" t="s">
        <v>172</v>
      </c>
      <c r="C166" s="145" t="s">
        <v>171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9">
        <f t="shared" si="7"/>
        <v>0</v>
      </c>
    </row>
    <row r="167" spans="1:35" ht="15.75" customHeight="1">
      <c r="A167" s="144">
        <v>2212005010</v>
      </c>
      <c r="B167" s="146" t="s">
        <v>173</v>
      </c>
      <c r="C167" s="145" t="s">
        <v>6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9">
        <f t="shared" si="7"/>
        <v>0</v>
      </c>
    </row>
    <row r="168" spans="1:35" ht="15.75" customHeight="1">
      <c r="A168" s="144">
        <v>2212005011</v>
      </c>
      <c r="B168" s="146" t="s">
        <v>174</v>
      </c>
      <c r="C168" s="145" t="s">
        <v>175</v>
      </c>
      <c r="D168" s="7"/>
      <c r="E168" s="7"/>
      <c r="F168" s="7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9">
        <f t="shared" si="7"/>
        <v>0</v>
      </c>
    </row>
    <row r="169" spans="1:35" ht="15.75" customHeight="1">
      <c r="A169" s="147">
        <v>2212007012</v>
      </c>
      <c r="B169" s="148" t="s">
        <v>176</v>
      </c>
      <c r="C169" s="147" t="s">
        <v>177</v>
      </c>
      <c r="D169" s="7"/>
      <c r="E169" s="7"/>
      <c r="F169" s="7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9">
        <f t="shared" si="7"/>
        <v>0</v>
      </c>
    </row>
    <row r="170" spans="1:35" ht="15.75" customHeight="1">
      <c r="A170" s="144">
        <v>2212005015</v>
      </c>
      <c r="B170" s="146" t="s">
        <v>178</v>
      </c>
      <c r="C170" s="145" t="s">
        <v>171</v>
      </c>
      <c r="D170" s="7"/>
      <c r="E170" s="7"/>
      <c r="F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9">
        <f t="shared" si="7"/>
        <v>0</v>
      </c>
    </row>
    <row r="171" spans="1:35" ht="15.75" customHeight="1">
      <c r="A171" s="144">
        <v>2212005016</v>
      </c>
      <c r="B171" s="53" t="s">
        <v>179</v>
      </c>
      <c r="C171" s="145" t="s">
        <v>6</v>
      </c>
      <c r="D171" s="7"/>
      <c r="E171" s="7"/>
      <c r="F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9">
        <f t="shared" si="7"/>
        <v>0</v>
      </c>
    </row>
    <row r="172" spans="1:35" ht="15.75" customHeight="1">
      <c r="A172" s="144">
        <v>2212005017</v>
      </c>
      <c r="B172" s="146" t="s">
        <v>180</v>
      </c>
      <c r="C172" s="145" t="s">
        <v>6</v>
      </c>
      <c r="D172" s="7"/>
      <c r="E172" s="7"/>
      <c r="F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9">
        <f t="shared" si="7"/>
        <v>0</v>
      </c>
    </row>
    <row r="173" spans="1:35" ht="15.75" customHeight="1">
      <c r="A173" s="144">
        <v>2212005018</v>
      </c>
      <c r="B173" s="146" t="s">
        <v>181</v>
      </c>
      <c r="C173" s="145" t="s">
        <v>6</v>
      </c>
      <c r="D173" s="7"/>
      <c r="E173" s="7"/>
      <c r="F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9">
        <f t="shared" si="7"/>
        <v>0</v>
      </c>
    </row>
    <row r="174" spans="1:35" ht="15.75" customHeight="1">
      <c r="A174" s="144">
        <v>2212005019</v>
      </c>
      <c r="B174" s="146" t="s">
        <v>182</v>
      </c>
      <c r="C174" s="145" t="s">
        <v>6</v>
      </c>
      <c r="D174" s="7"/>
      <c r="E174" s="7"/>
      <c r="F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9">
        <f t="shared" si="7"/>
        <v>0</v>
      </c>
    </row>
    <row r="175" spans="1:35" ht="15.75" customHeight="1">
      <c r="A175" s="144">
        <v>2212005020</v>
      </c>
      <c r="B175" s="146" t="s">
        <v>183</v>
      </c>
      <c r="C175" s="145" t="s">
        <v>6</v>
      </c>
      <c r="D175" s="7"/>
      <c r="E175" s="7"/>
      <c r="F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9">
        <f t="shared" si="7"/>
        <v>0</v>
      </c>
    </row>
    <row r="176" spans="1:35" ht="15.75" customHeight="1">
      <c r="A176" s="144">
        <v>2212005021</v>
      </c>
      <c r="B176" s="146" t="s">
        <v>184</v>
      </c>
      <c r="C176" s="145" t="s">
        <v>6</v>
      </c>
      <c r="D176" s="7"/>
      <c r="E176" s="7"/>
      <c r="F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9">
        <f t="shared" si="7"/>
        <v>0</v>
      </c>
    </row>
    <row r="177" spans="1:35" ht="15.75" customHeight="1">
      <c r="A177" s="144">
        <v>2212005022</v>
      </c>
      <c r="B177" s="146" t="s">
        <v>185</v>
      </c>
      <c r="C177" s="145" t="s">
        <v>6</v>
      </c>
      <c r="D177" s="7"/>
      <c r="E177" s="7"/>
      <c r="F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9">
        <f t="shared" si="7"/>
        <v>0</v>
      </c>
    </row>
    <row r="178" spans="1:35" ht="15.75" customHeight="1">
      <c r="A178" s="144">
        <v>2212005023</v>
      </c>
      <c r="B178" s="146" t="s">
        <v>186</v>
      </c>
      <c r="C178" s="145" t="s">
        <v>171</v>
      </c>
      <c r="D178" s="7"/>
      <c r="E178" s="7"/>
      <c r="F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9">
        <f t="shared" si="7"/>
        <v>0</v>
      </c>
    </row>
    <row r="179" spans="1:35" ht="15.75" customHeight="1">
      <c r="A179" s="144">
        <v>2212005024</v>
      </c>
      <c r="B179" s="146" t="s">
        <v>187</v>
      </c>
      <c r="C179" s="145" t="s">
        <v>171</v>
      </c>
      <c r="D179" s="7"/>
      <c r="E179" s="7"/>
      <c r="F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9">
        <f t="shared" si="7"/>
        <v>0</v>
      </c>
    </row>
    <row r="180" spans="1:35" ht="15.75" customHeight="1">
      <c r="A180" s="144">
        <v>2212005026</v>
      </c>
      <c r="B180" s="146" t="s">
        <v>188</v>
      </c>
      <c r="C180" s="145" t="s">
        <v>6</v>
      </c>
      <c r="D180" s="7"/>
      <c r="E180" s="7"/>
      <c r="F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9">
        <f t="shared" si="7"/>
        <v>0</v>
      </c>
    </row>
    <row r="181" spans="1:35" ht="15.75" customHeight="1">
      <c r="A181" s="144">
        <v>2212005027</v>
      </c>
      <c r="B181" s="146" t="s">
        <v>189</v>
      </c>
      <c r="C181" s="145" t="s">
        <v>171</v>
      </c>
      <c r="D181" s="7"/>
      <c r="E181" s="7"/>
      <c r="F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9">
        <f t="shared" si="7"/>
        <v>0</v>
      </c>
    </row>
    <row r="182" spans="1:35" ht="15.75" customHeight="1">
      <c r="A182" s="144">
        <v>2212005028</v>
      </c>
      <c r="B182" s="146" t="s">
        <v>190</v>
      </c>
      <c r="C182" s="145" t="s">
        <v>177</v>
      </c>
      <c r="D182" s="7"/>
      <c r="E182" s="7"/>
      <c r="F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9">
        <f t="shared" si="7"/>
        <v>0</v>
      </c>
    </row>
    <row r="183" spans="1:35" ht="15.75" customHeight="1">
      <c r="A183" s="144">
        <v>2212005032</v>
      </c>
      <c r="B183" s="146" t="s">
        <v>191</v>
      </c>
      <c r="C183" s="145" t="s">
        <v>177</v>
      </c>
      <c r="D183" s="7"/>
      <c r="E183" s="7"/>
      <c r="F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9">
        <f t="shared" si="7"/>
        <v>0</v>
      </c>
    </row>
    <row r="184" spans="1:35" ht="15.75" customHeight="1">
      <c r="A184" s="144">
        <v>2212005034</v>
      </c>
      <c r="B184" s="146" t="s">
        <v>192</v>
      </c>
      <c r="C184" s="145" t="s">
        <v>6</v>
      </c>
      <c r="D184" s="7"/>
      <c r="E184" s="7"/>
      <c r="F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9">
        <f t="shared" si="7"/>
        <v>0</v>
      </c>
    </row>
    <row r="185" spans="1:35" ht="15.75" customHeight="1">
      <c r="A185" s="144">
        <v>2212005035</v>
      </c>
      <c r="B185" s="146" t="s">
        <v>193</v>
      </c>
      <c r="C185" s="145" t="s">
        <v>8</v>
      </c>
      <c r="D185" s="7"/>
      <c r="E185" s="7"/>
      <c r="F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9">
        <f t="shared" si="7"/>
        <v>0</v>
      </c>
    </row>
    <row r="186" spans="1:35" ht="15.75" customHeight="1">
      <c r="A186" s="144">
        <v>2212005037</v>
      </c>
      <c r="B186" s="146" t="s">
        <v>194</v>
      </c>
      <c r="C186" s="145" t="s">
        <v>6</v>
      </c>
      <c r="D186" s="7"/>
      <c r="E186" s="7"/>
      <c r="F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9">
        <f t="shared" si="7"/>
        <v>0</v>
      </c>
    </row>
    <row r="187" spans="1:35" ht="15.75" customHeight="1">
      <c r="A187" s="144">
        <v>2212005038</v>
      </c>
      <c r="B187" s="146" t="s">
        <v>195</v>
      </c>
      <c r="C187" s="145" t="s">
        <v>171</v>
      </c>
      <c r="D187" s="7"/>
      <c r="E187" s="7"/>
      <c r="F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9">
        <f t="shared" si="7"/>
        <v>0</v>
      </c>
    </row>
    <row r="188" spans="1:35" ht="15.75" customHeight="1">
      <c r="A188" s="144">
        <v>2212005041</v>
      </c>
      <c r="B188" s="146" t="s">
        <v>196</v>
      </c>
      <c r="C188" s="145" t="s">
        <v>6</v>
      </c>
      <c r="D188" s="7"/>
      <c r="E188" s="7"/>
      <c r="F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9">
        <f t="shared" si="7"/>
        <v>0</v>
      </c>
    </row>
    <row r="189" spans="1:35" ht="15.75" customHeight="1">
      <c r="A189" s="157">
        <v>2212005042</v>
      </c>
      <c r="B189" s="158" t="s">
        <v>197</v>
      </c>
      <c r="C189" s="159" t="s">
        <v>171</v>
      </c>
      <c r="D189" s="7"/>
      <c r="E189" s="7"/>
      <c r="F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40">
        <f t="shared" si="7"/>
        <v>0</v>
      </c>
    </row>
    <row r="190" spans="1:35" ht="18.75" customHeight="1">
      <c r="A190" s="608" t="s">
        <v>198</v>
      </c>
      <c r="B190" s="606"/>
      <c r="C190" s="606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1"/>
      <c r="AI190" s="44"/>
    </row>
    <row r="191" spans="1:35" ht="15.75" customHeight="1">
      <c r="A191" s="162">
        <v>2212004041</v>
      </c>
      <c r="B191" s="163" t="s">
        <v>199</v>
      </c>
      <c r="C191" s="164" t="s">
        <v>6</v>
      </c>
      <c r="D191" s="7"/>
      <c r="E191" s="7"/>
      <c r="F191" s="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48">
        <f t="shared" ref="AI191:AI224" si="8">SUM(D191:AH191)</f>
        <v>0</v>
      </c>
    </row>
    <row r="192" spans="1:35" ht="15.75" customHeight="1">
      <c r="A192" s="165">
        <v>2212008002</v>
      </c>
      <c r="B192" s="166" t="s">
        <v>200</v>
      </c>
      <c r="C192" s="167" t="s">
        <v>86</v>
      </c>
      <c r="D192" s="7"/>
      <c r="E192" s="7"/>
      <c r="F192" s="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9">
        <f t="shared" si="8"/>
        <v>0</v>
      </c>
    </row>
    <row r="193" spans="1:35" ht="15.75" customHeight="1">
      <c r="A193" s="165">
        <v>2212008007</v>
      </c>
      <c r="B193" s="166" t="s">
        <v>201</v>
      </c>
      <c r="C193" s="167" t="s">
        <v>8</v>
      </c>
      <c r="D193" s="7"/>
      <c r="E193" s="7"/>
      <c r="F193" s="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9">
        <f t="shared" si="8"/>
        <v>0</v>
      </c>
    </row>
    <row r="194" spans="1:35" ht="15.75" customHeight="1">
      <c r="A194" s="165">
        <v>2212008008</v>
      </c>
      <c r="B194" s="166" t="s">
        <v>202</v>
      </c>
      <c r="C194" s="167" t="s">
        <v>8</v>
      </c>
      <c r="D194" s="7"/>
      <c r="E194" s="7"/>
      <c r="F194" s="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9">
        <f t="shared" si="8"/>
        <v>0</v>
      </c>
    </row>
    <row r="195" spans="1:35" ht="15.75" customHeight="1">
      <c r="A195" s="165">
        <v>2212008009</v>
      </c>
      <c r="B195" s="166" t="s">
        <v>203</v>
      </c>
      <c r="C195" s="167" t="s">
        <v>8</v>
      </c>
      <c r="D195" s="7"/>
      <c r="E195" s="7"/>
      <c r="F195" s="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9">
        <f t="shared" si="8"/>
        <v>0</v>
      </c>
    </row>
    <row r="196" spans="1:35" ht="15.75" customHeight="1">
      <c r="A196" s="165">
        <v>2212008010</v>
      </c>
      <c r="B196" s="166" t="s">
        <v>204</v>
      </c>
      <c r="C196" s="167" t="s">
        <v>86</v>
      </c>
      <c r="D196" s="7"/>
      <c r="E196" s="7"/>
      <c r="F196" s="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9">
        <f t="shared" si="8"/>
        <v>0</v>
      </c>
    </row>
    <row r="197" spans="1:35" ht="15.75" customHeight="1">
      <c r="A197" s="165">
        <v>2212008011</v>
      </c>
      <c r="B197" s="166" t="s">
        <v>205</v>
      </c>
      <c r="C197" s="167" t="s">
        <v>8</v>
      </c>
      <c r="D197" s="7"/>
      <c r="E197" s="7"/>
      <c r="F197" s="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9">
        <f t="shared" si="8"/>
        <v>0</v>
      </c>
    </row>
    <row r="198" spans="1:35" ht="15.75" customHeight="1">
      <c r="A198" s="165">
        <v>2212008012</v>
      </c>
      <c r="B198" s="166" t="s">
        <v>206</v>
      </c>
      <c r="C198" s="167" t="s">
        <v>6</v>
      </c>
      <c r="D198" s="7"/>
      <c r="E198" s="7"/>
      <c r="F198" s="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9">
        <f t="shared" si="8"/>
        <v>0</v>
      </c>
    </row>
    <row r="199" spans="1:35" ht="15.75" customHeight="1">
      <c r="A199" s="165">
        <v>2212008013</v>
      </c>
      <c r="B199" s="166" t="s">
        <v>207</v>
      </c>
      <c r="C199" s="167" t="s">
        <v>86</v>
      </c>
      <c r="D199" s="7"/>
      <c r="E199" s="7"/>
      <c r="F199" s="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9">
        <f t="shared" si="8"/>
        <v>0</v>
      </c>
    </row>
    <row r="200" spans="1:35" ht="15.75" customHeight="1">
      <c r="A200" s="165">
        <v>2212008014</v>
      </c>
      <c r="B200" s="166" t="s">
        <v>208</v>
      </c>
      <c r="C200" s="167" t="s">
        <v>86</v>
      </c>
      <c r="D200" s="7"/>
      <c r="E200" s="7"/>
      <c r="F200" s="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9">
        <f t="shared" si="8"/>
        <v>0</v>
      </c>
    </row>
    <row r="201" spans="1:35" ht="15.75" customHeight="1">
      <c r="A201" s="165">
        <v>2212008015</v>
      </c>
      <c r="B201" s="166" t="s">
        <v>209</v>
      </c>
      <c r="C201" s="167" t="s">
        <v>86</v>
      </c>
      <c r="D201" s="7"/>
      <c r="E201" s="7"/>
      <c r="F201" s="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9">
        <f t="shared" si="8"/>
        <v>0</v>
      </c>
    </row>
    <row r="202" spans="1:35" ht="15.75" customHeight="1">
      <c r="A202" s="165">
        <v>2212008016</v>
      </c>
      <c r="B202" s="166" t="s">
        <v>210</v>
      </c>
      <c r="C202" s="167" t="s">
        <v>8</v>
      </c>
      <c r="D202" s="7"/>
      <c r="E202" s="7"/>
      <c r="F202" s="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9">
        <f t="shared" si="8"/>
        <v>0</v>
      </c>
    </row>
    <row r="203" spans="1:35" ht="15.75" customHeight="1">
      <c r="A203" s="165">
        <v>2212008017</v>
      </c>
      <c r="B203" s="166" t="s">
        <v>211</v>
      </c>
      <c r="C203" s="167" t="s">
        <v>8</v>
      </c>
      <c r="D203" s="7"/>
      <c r="E203" s="7"/>
      <c r="F203" s="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9">
        <f t="shared" si="8"/>
        <v>0</v>
      </c>
    </row>
    <row r="204" spans="1:35" ht="15.75" customHeight="1">
      <c r="A204" s="165">
        <v>2212008018</v>
      </c>
      <c r="B204" s="166" t="s">
        <v>212</v>
      </c>
      <c r="C204" s="167" t="s">
        <v>8</v>
      </c>
      <c r="D204" s="7"/>
      <c r="E204" s="7"/>
      <c r="F204" s="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9">
        <f t="shared" si="8"/>
        <v>0</v>
      </c>
    </row>
    <row r="205" spans="1:35" ht="15.75" customHeight="1">
      <c r="A205" s="165">
        <v>2212008020</v>
      </c>
      <c r="B205" s="166" t="s">
        <v>213</v>
      </c>
      <c r="C205" s="167" t="s">
        <v>6</v>
      </c>
      <c r="D205" s="7"/>
      <c r="E205" s="7"/>
      <c r="F205" s="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9">
        <f t="shared" si="8"/>
        <v>0</v>
      </c>
    </row>
    <row r="206" spans="1:35" ht="15.75" customHeight="1">
      <c r="A206" s="165">
        <v>2212008021</v>
      </c>
      <c r="B206" s="166" t="s">
        <v>214</v>
      </c>
      <c r="C206" s="167" t="s">
        <v>6</v>
      </c>
      <c r="D206" s="7"/>
      <c r="E206" s="7"/>
      <c r="F206" s="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9">
        <f t="shared" si="8"/>
        <v>0</v>
      </c>
    </row>
    <row r="207" spans="1:35" ht="15.75" customHeight="1">
      <c r="A207" s="165">
        <v>2212008022</v>
      </c>
      <c r="B207" s="166" t="s">
        <v>215</v>
      </c>
      <c r="C207" s="167" t="s">
        <v>8</v>
      </c>
      <c r="D207" s="7"/>
      <c r="E207" s="7"/>
      <c r="F207" s="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9">
        <f t="shared" si="8"/>
        <v>0</v>
      </c>
    </row>
    <row r="208" spans="1:35" ht="15.75" customHeight="1">
      <c r="A208" s="165">
        <v>2212008023</v>
      </c>
      <c r="B208" s="166" t="s">
        <v>216</v>
      </c>
      <c r="C208" s="167" t="s">
        <v>6</v>
      </c>
      <c r="D208" s="7"/>
      <c r="E208" s="7"/>
      <c r="F208" s="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9">
        <f t="shared" si="8"/>
        <v>0</v>
      </c>
    </row>
    <row r="209" spans="1:35" ht="15.75" customHeight="1">
      <c r="A209" s="165">
        <v>2212008024</v>
      </c>
      <c r="B209" s="166" t="s">
        <v>217</v>
      </c>
      <c r="C209" s="167" t="s">
        <v>86</v>
      </c>
      <c r="D209" s="7"/>
      <c r="E209" s="7"/>
      <c r="F209" s="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9">
        <f t="shared" si="8"/>
        <v>0</v>
      </c>
    </row>
    <row r="210" spans="1:35" ht="15.75" customHeight="1">
      <c r="A210" s="165">
        <v>2212008025</v>
      </c>
      <c r="B210" s="166" t="s">
        <v>218</v>
      </c>
      <c r="C210" s="167" t="s">
        <v>219</v>
      </c>
      <c r="D210" s="7"/>
      <c r="E210" s="7"/>
      <c r="F210" s="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9">
        <f t="shared" si="8"/>
        <v>0</v>
      </c>
    </row>
    <row r="211" spans="1:35" ht="15.75" customHeight="1">
      <c r="A211" s="165">
        <v>2212008026</v>
      </c>
      <c r="B211" s="166" t="s">
        <v>220</v>
      </c>
      <c r="C211" s="167" t="s">
        <v>8</v>
      </c>
      <c r="D211" s="7"/>
      <c r="E211" s="7"/>
      <c r="F211" s="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9">
        <f t="shared" si="8"/>
        <v>0</v>
      </c>
    </row>
    <row r="212" spans="1:35" ht="15.75" customHeight="1">
      <c r="A212" s="165">
        <v>2212008028</v>
      </c>
      <c r="B212" s="53" t="s">
        <v>221</v>
      </c>
      <c r="C212" s="167" t="s">
        <v>8</v>
      </c>
      <c r="D212" s="7"/>
      <c r="E212" s="7"/>
      <c r="F212" s="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9">
        <f t="shared" si="8"/>
        <v>0</v>
      </c>
    </row>
    <row r="213" spans="1:35" ht="15.75" customHeight="1">
      <c r="A213" s="165">
        <v>2212008029</v>
      </c>
      <c r="B213" s="53" t="s">
        <v>222</v>
      </c>
      <c r="C213" s="167" t="s">
        <v>8</v>
      </c>
      <c r="D213" s="7"/>
      <c r="E213" s="7"/>
      <c r="F213" s="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9">
        <f t="shared" si="8"/>
        <v>0</v>
      </c>
    </row>
    <row r="214" spans="1:35" ht="15.75" customHeight="1">
      <c r="A214" s="176">
        <v>2212008031</v>
      </c>
      <c r="B214" s="177" t="s">
        <v>223</v>
      </c>
      <c r="C214" s="178" t="s">
        <v>8</v>
      </c>
      <c r="D214" s="7"/>
      <c r="E214" s="7"/>
      <c r="F214" s="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9">
        <f t="shared" si="8"/>
        <v>0</v>
      </c>
    </row>
    <row r="215" spans="1:35" ht="15.75" customHeight="1">
      <c r="A215" s="165">
        <v>2212008032</v>
      </c>
      <c r="B215" s="166" t="s">
        <v>224</v>
      </c>
      <c r="C215" s="167" t="s">
        <v>8</v>
      </c>
      <c r="D215" s="7"/>
      <c r="E215" s="7"/>
      <c r="F215" s="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9">
        <f t="shared" si="8"/>
        <v>0</v>
      </c>
    </row>
    <row r="216" spans="1:35" ht="15.75" customHeight="1">
      <c r="A216" s="165">
        <v>2212008033</v>
      </c>
      <c r="B216" s="166" t="s">
        <v>225</v>
      </c>
      <c r="C216" s="167" t="s">
        <v>8</v>
      </c>
      <c r="D216" s="7"/>
      <c r="E216" s="7"/>
      <c r="F216" s="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9">
        <f t="shared" si="8"/>
        <v>0</v>
      </c>
    </row>
    <row r="217" spans="1:35" ht="15.75" customHeight="1">
      <c r="A217" s="165">
        <v>2212008034</v>
      </c>
      <c r="B217" s="166" t="s">
        <v>226</v>
      </c>
      <c r="C217" s="167" t="s">
        <v>6</v>
      </c>
      <c r="D217" s="7"/>
      <c r="E217" s="7"/>
      <c r="F217" s="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9">
        <f t="shared" si="8"/>
        <v>0</v>
      </c>
    </row>
    <row r="218" spans="1:35" ht="15.75" customHeight="1">
      <c r="A218" s="165">
        <v>2212008035</v>
      </c>
      <c r="B218" s="166" t="s">
        <v>227</v>
      </c>
      <c r="C218" s="167" t="s">
        <v>6</v>
      </c>
      <c r="D218" s="7"/>
      <c r="E218" s="7"/>
      <c r="F218" s="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9">
        <f t="shared" si="8"/>
        <v>0</v>
      </c>
    </row>
    <row r="219" spans="1:35" ht="15.75" customHeight="1">
      <c r="A219" s="165">
        <v>2212008037</v>
      </c>
      <c r="B219" s="166" t="s">
        <v>228</v>
      </c>
      <c r="C219" s="167" t="s">
        <v>8</v>
      </c>
      <c r="D219" s="7"/>
      <c r="E219" s="7"/>
      <c r="F219" s="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9">
        <f t="shared" si="8"/>
        <v>0</v>
      </c>
    </row>
    <row r="220" spans="1:35" ht="15.75" customHeight="1">
      <c r="A220" s="165">
        <v>2212008039</v>
      </c>
      <c r="B220" s="166" t="s">
        <v>229</v>
      </c>
      <c r="C220" s="167" t="s">
        <v>8</v>
      </c>
      <c r="D220" s="7"/>
      <c r="E220" s="7"/>
      <c r="F220" s="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9">
        <f t="shared" si="8"/>
        <v>0</v>
      </c>
    </row>
    <row r="221" spans="1:35" ht="15.75" customHeight="1">
      <c r="A221" s="165">
        <v>2212008040</v>
      </c>
      <c r="B221" s="166" t="s">
        <v>230</v>
      </c>
      <c r="C221" s="167" t="s">
        <v>6</v>
      </c>
      <c r="D221" s="7"/>
      <c r="E221" s="7"/>
      <c r="F221" s="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9">
        <f t="shared" si="8"/>
        <v>0</v>
      </c>
    </row>
    <row r="222" spans="1:35" ht="15.75" customHeight="1">
      <c r="A222" s="165">
        <v>2212008042</v>
      </c>
      <c r="B222" s="166" t="s">
        <v>231</v>
      </c>
      <c r="C222" s="167" t="s">
        <v>8</v>
      </c>
      <c r="D222" s="7"/>
      <c r="E222" s="7"/>
      <c r="F222" s="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9">
        <f t="shared" si="8"/>
        <v>0</v>
      </c>
    </row>
    <row r="223" spans="1:35" ht="15.75" customHeight="1">
      <c r="A223" s="165">
        <v>2212008045</v>
      </c>
      <c r="B223" s="166" t="s">
        <v>232</v>
      </c>
      <c r="C223" s="167" t="s">
        <v>8</v>
      </c>
      <c r="D223" s="7"/>
      <c r="E223" s="7"/>
      <c r="F223" s="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9">
        <f t="shared" si="8"/>
        <v>0</v>
      </c>
    </row>
    <row r="224" spans="1:35" ht="15.75" customHeight="1">
      <c r="A224" s="183">
        <v>2212004045</v>
      </c>
      <c r="B224" s="185" t="s">
        <v>233</v>
      </c>
      <c r="C224" s="186" t="s">
        <v>6</v>
      </c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40">
        <f t="shared" si="8"/>
        <v>0</v>
      </c>
    </row>
    <row r="225" spans="1:35" ht="18.75" customHeight="1">
      <c r="A225" s="609" t="s">
        <v>234</v>
      </c>
      <c r="B225" s="606"/>
      <c r="C225" s="606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8"/>
      <c r="AI225" s="44"/>
    </row>
    <row r="226" spans="1:35" ht="15.75" customHeight="1">
      <c r="A226" s="189">
        <v>2212009002</v>
      </c>
      <c r="B226" s="191" t="s">
        <v>235</v>
      </c>
      <c r="C226" s="192" t="s">
        <v>6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48">
        <f t="shared" ref="AI226:AI261" si="9">SUM(D226:AH226)</f>
        <v>0</v>
      </c>
    </row>
    <row r="227" spans="1:35" ht="15.75" customHeight="1">
      <c r="A227" s="193">
        <v>2212009004</v>
      </c>
      <c r="B227" s="195" t="s">
        <v>236</v>
      </c>
      <c r="C227" s="196" t="s">
        <v>6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9">
        <f t="shared" si="9"/>
        <v>0</v>
      </c>
    </row>
    <row r="228" spans="1:35" ht="15.75" customHeight="1">
      <c r="A228" s="193">
        <v>2212009005</v>
      </c>
      <c r="B228" s="195" t="s">
        <v>237</v>
      </c>
      <c r="C228" s="196" t="s">
        <v>6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9">
        <f t="shared" si="9"/>
        <v>0</v>
      </c>
    </row>
    <row r="229" spans="1:35" ht="15.75" customHeight="1">
      <c r="A229" s="193">
        <v>2212009006</v>
      </c>
      <c r="B229" s="195" t="s">
        <v>238</v>
      </c>
      <c r="C229" s="196" t="s">
        <v>6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9">
        <f t="shared" si="9"/>
        <v>0</v>
      </c>
    </row>
    <row r="230" spans="1:35" ht="15.75" customHeight="1">
      <c r="A230" s="193">
        <v>2212009007</v>
      </c>
      <c r="B230" s="195" t="s">
        <v>239</v>
      </c>
      <c r="C230" s="196" t="s">
        <v>6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9">
        <f t="shared" si="9"/>
        <v>0</v>
      </c>
    </row>
    <row r="231" spans="1:35" ht="15.75" customHeight="1">
      <c r="A231" s="193">
        <v>2212009008</v>
      </c>
      <c r="B231" s="195" t="s">
        <v>240</v>
      </c>
      <c r="C231" s="196" t="s">
        <v>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9">
        <f t="shared" si="9"/>
        <v>0</v>
      </c>
    </row>
    <row r="232" spans="1:35" ht="15.75" customHeight="1">
      <c r="A232" s="193">
        <v>2212009009</v>
      </c>
      <c r="B232" s="195" t="s">
        <v>241</v>
      </c>
      <c r="C232" s="196" t="s">
        <v>6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9">
        <f t="shared" si="9"/>
        <v>0</v>
      </c>
    </row>
    <row r="233" spans="1:35" ht="15.75" customHeight="1">
      <c r="A233" s="193">
        <v>2212009010</v>
      </c>
      <c r="B233" s="195" t="s">
        <v>242</v>
      </c>
      <c r="C233" s="196" t="s">
        <v>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9">
        <f t="shared" si="9"/>
        <v>0</v>
      </c>
    </row>
    <row r="234" spans="1:35" ht="15.75" customHeight="1">
      <c r="A234" s="193">
        <v>2212009011</v>
      </c>
      <c r="B234" s="195" t="s">
        <v>243</v>
      </c>
      <c r="C234" s="196" t="s">
        <v>6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9">
        <f t="shared" si="9"/>
        <v>0</v>
      </c>
    </row>
    <row r="235" spans="1:35" ht="15.75" customHeight="1">
      <c r="A235" s="193">
        <v>2212009012</v>
      </c>
      <c r="B235" s="53" t="s">
        <v>244</v>
      </c>
      <c r="C235" s="196" t="s">
        <v>6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9">
        <f t="shared" si="9"/>
        <v>0</v>
      </c>
    </row>
    <row r="236" spans="1:35" ht="15.75" customHeight="1">
      <c r="A236" s="193">
        <v>2212009013</v>
      </c>
      <c r="B236" s="195" t="s">
        <v>245</v>
      </c>
      <c r="C236" s="196" t="s">
        <v>6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9">
        <f t="shared" si="9"/>
        <v>0</v>
      </c>
    </row>
    <row r="237" spans="1:35" ht="15.75" customHeight="1">
      <c r="A237" s="193">
        <v>2212009014</v>
      </c>
      <c r="B237" s="195" t="s">
        <v>246</v>
      </c>
      <c r="C237" s="196" t="s">
        <v>6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9">
        <f t="shared" si="9"/>
        <v>0</v>
      </c>
    </row>
    <row r="238" spans="1:35" ht="15.75" customHeight="1">
      <c r="A238" s="193">
        <v>2212009015</v>
      </c>
      <c r="B238" s="195" t="s">
        <v>247</v>
      </c>
      <c r="C238" s="196" t="s">
        <v>6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9">
        <f t="shared" si="9"/>
        <v>0</v>
      </c>
    </row>
    <row r="239" spans="1:35" ht="15.75" customHeight="1">
      <c r="A239" s="193">
        <v>2212009016</v>
      </c>
      <c r="B239" s="195" t="s">
        <v>248</v>
      </c>
      <c r="C239" s="196" t="s">
        <v>6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9">
        <f t="shared" si="9"/>
        <v>0</v>
      </c>
    </row>
    <row r="240" spans="1:35" ht="15.75" customHeight="1">
      <c r="A240" s="193">
        <v>2212009017</v>
      </c>
      <c r="B240" s="195" t="s">
        <v>249</v>
      </c>
      <c r="C240" s="196" t="s">
        <v>6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9">
        <f t="shared" si="9"/>
        <v>0</v>
      </c>
    </row>
    <row r="241" spans="1:35" ht="15.75" customHeight="1">
      <c r="A241" s="193">
        <v>2212009018</v>
      </c>
      <c r="B241" s="195" t="s">
        <v>250</v>
      </c>
      <c r="C241" s="196" t="s">
        <v>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9">
        <f t="shared" si="9"/>
        <v>0</v>
      </c>
    </row>
    <row r="242" spans="1:35" ht="15.75" customHeight="1">
      <c r="A242" s="193">
        <v>2212009019</v>
      </c>
      <c r="B242" s="195" t="s">
        <v>251</v>
      </c>
      <c r="C242" s="196" t="s">
        <v>6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9">
        <f t="shared" si="9"/>
        <v>0</v>
      </c>
    </row>
    <row r="243" spans="1:35" ht="15.75" customHeight="1">
      <c r="A243" s="193">
        <v>2212009020</v>
      </c>
      <c r="B243" s="195" t="s">
        <v>252</v>
      </c>
      <c r="C243" s="196" t="s">
        <v>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9">
        <f t="shared" si="9"/>
        <v>0</v>
      </c>
    </row>
    <row r="244" spans="1:35" ht="15.75" customHeight="1">
      <c r="A244" s="193">
        <v>2212009021</v>
      </c>
      <c r="B244" s="195" t="s">
        <v>253</v>
      </c>
      <c r="C244" s="196" t="s">
        <v>6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9">
        <f t="shared" si="9"/>
        <v>0</v>
      </c>
    </row>
    <row r="245" spans="1:35" ht="15.75" customHeight="1">
      <c r="A245" s="193">
        <v>2212009022</v>
      </c>
      <c r="B245" s="195" t="s">
        <v>254</v>
      </c>
      <c r="C245" s="196" t="s">
        <v>6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9">
        <f t="shared" si="9"/>
        <v>0</v>
      </c>
    </row>
    <row r="246" spans="1:35" ht="15.75" customHeight="1">
      <c r="A246" s="193">
        <v>2212009023</v>
      </c>
      <c r="B246" s="195" t="s">
        <v>255</v>
      </c>
      <c r="C246" s="196" t="s">
        <v>6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9">
        <f t="shared" si="9"/>
        <v>0</v>
      </c>
    </row>
    <row r="247" spans="1:35" ht="15.75" customHeight="1">
      <c r="A247" s="193">
        <v>2212009024</v>
      </c>
      <c r="B247" s="195" t="s">
        <v>256</v>
      </c>
      <c r="C247" s="196" t="s">
        <v>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9">
        <f t="shared" si="9"/>
        <v>0</v>
      </c>
    </row>
    <row r="248" spans="1:35" ht="15.75" customHeight="1">
      <c r="A248" s="193">
        <v>2212009025</v>
      </c>
      <c r="B248" s="195" t="s">
        <v>257</v>
      </c>
      <c r="C248" s="196" t="s">
        <v>6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9">
        <f t="shared" si="9"/>
        <v>0</v>
      </c>
    </row>
    <row r="249" spans="1:35" ht="15.75" customHeight="1">
      <c r="A249" s="193">
        <v>2212009026</v>
      </c>
      <c r="B249" s="53" t="s">
        <v>258</v>
      </c>
      <c r="C249" s="196" t="s">
        <v>6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9">
        <f t="shared" si="9"/>
        <v>0</v>
      </c>
    </row>
    <row r="250" spans="1:35" ht="15.75" customHeight="1">
      <c r="A250" s="193">
        <v>2212009028</v>
      </c>
      <c r="B250" s="195" t="s">
        <v>259</v>
      </c>
      <c r="C250" s="196" t="s">
        <v>6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9">
        <f t="shared" si="9"/>
        <v>0</v>
      </c>
    </row>
    <row r="251" spans="1:35" ht="15.75" customHeight="1">
      <c r="A251" s="193">
        <v>2212009029</v>
      </c>
      <c r="B251" s="195" t="s">
        <v>260</v>
      </c>
      <c r="C251" s="196" t="s">
        <v>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9">
        <f t="shared" si="9"/>
        <v>0</v>
      </c>
    </row>
    <row r="252" spans="1:35" ht="15.75" customHeight="1">
      <c r="A252" s="193">
        <v>2212009030</v>
      </c>
      <c r="B252" s="195" t="s">
        <v>261</v>
      </c>
      <c r="C252" s="196" t="s">
        <v>6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9">
        <f t="shared" si="9"/>
        <v>0</v>
      </c>
    </row>
    <row r="253" spans="1:35" ht="15.75" customHeight="1">
      <c r="A253" s="193">
        <v>2212009031</v>
      </c>
      <c r="B253" s="195" t="s">
        <v>262</v>
      </c>
      <c r="C253" s="196" t="s">
        <v>6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9">
        <f t="shared" si="9"/>
        <v>0</v>
      </c>
    </row>
    <row r="254" spans="1:35" ht="15.75" customHeight="1">
      <c r="A254" s="193">
        <v>2212009032</v>
      </c>
      <c r="B254" s="195" t="s">
        <v>263</v>
      </c>
      <c r="C254" s="196" t="s">
        <v>6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9">
        <f t="shared" si="9"/>
        <v>0</v>
      </c>
    </row>
    <row r="255" spans="1:35" ht="15.75" customHeight="1">
      <c r="A255" s="193">
        <v>2212009033</v>
      </c>
      <c r="B255" s="195" t="s">
        <v>264</v>
      </c>
      <c r="C255" s="196" t="s">
        <v>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9">
        <f t="shared" si="9"/>
        <v>0</v>
      </c>
    </row>
    <row r="256" spans="1:35" ht="15.75" customHeight="1">
      <c r="A256" s="193">
        <v>2212009034</v>
      </c>
      <c r="B256" s="53" t="s">
        <v>265</v>
      </c>
      <c r="C256" s="196" t="s">
        <v>6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9">
        <f t="shared" si="9"/>
        <v>0</v>
      </c>
    </row>
    <row r="257" spans="1:35" ht="15.75" customHeight="1">
      <c r="A257" s="193">
        <v>2212009035</v>
      </c>
      <c r="B257" s="195" t="s">
        <v>266</v>
      </c>
      <c r="C257" s="196" t="s">
        <v>267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9">
        <f t="shared" si="9"/>
        <v>0</v>
      </c>
    </row>
    <row r="258" spans="1:35" ht="15.75" customHeight="1">
      <c r="A258" s="193">
        <v>2212009036</v>
      </c>
      <c r="B258" s="195" t="s">
        <v>268</v>
      </c>
      <c r="C258" s="196" t="s">
        <v>6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9">
        <f t="shared" si="9"/>
        <v>0</v>
      </c>
    </row>
    <row r="259" spans="1:35" ht="15.75" customHeight="1">
      <c r="A259" s="193">
        <v>2212009037</v>
      </c>
      <c r="B259" s="195" t="s">
        <v>269</v>
      </c>
      <c r="C259" s="196" t="s">
        <v>6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9">
        <f t="shared" si="9"/>
        <v>0</v>
      </c>
    </row>
    <row r="260" spans="1:35" ht="15.75" customHeight="1">
      <c r="A260" s="193">
        <v>2212009038</v>
      </c>
      <c r="B260" s="195" t="s">
        <v>270</v>
      </c>
      <c r="C260" s="196" t="s">
        <v>6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9">
        <f t="shared" si="9"/>
        <v>0</v>
      </c>
    </row>
    <row r="261" spans="1:35" ht="15.75" customHeight="1">
      <c r="A261" s="209">
        <v>2212009041</v>
      </c>
      <c r="B261" s="210" t="s">
        <v>271</v>
      </c>
      <c r="C261" s="211" t="s">
        <v>86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40">
        <f t="shared" si="9"/>
        <v>0</v>
      </c>
    </row>
    <row r="262" spans="1:35" ht="18.75" customHeight="1">
      <c r="A262" s="610" t="s">
        <v>272</v>
      </c>
      <c r="B262" s="606"/>
      <c r="C262" s="606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3"/>
      <c r="AI262" s="44"/>
    </row>
    <row r="263" spans="1:35" ht="15.75" customHeight="1">
      <c r="A263" s="214">
        <v>2212011002</v>
      </c>
      <c r="B263" s="215" t="s">
        <v>273</v>
      </c>
      <c r="C263" s="217" t="s">
        <v>86</v>
      </c>
      <c r="D263" s="7"/>
      <c r="E263" s="7"/>
      <c r="F263" s="7"/>
      <c r="G263" s="7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48">
        <f t="shared" ref="AI263:AI280" si="10">SUM(D263:AH263)</f>
        <v>0</v>
      </c>
    </row>
    <row r="264" spans="1:35" ht="15.75" customHeight="1">
      <c r="A264" s="220">
        <v>2212011003</v>
      </c>
      <c r="B264" s="221" t="s">
        <v>274</v>
      </c>
      <c r="C264" s="223" t="s">
        <v>6</v>
      </c>
      <c r="D264" s="7"/>
      <c r="E264" s="7"/>
      <c r="F264" s="7"/>
      <c r="G264" s="7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9">
        <f t="shared" si="10"/>
        <v>0</v>
      </c>
    </row>
    <row r="265" spans="1:35" ht="15.75" customHeight="1">
      <c r="A265" s="220">
        <v>2212011004</v>
      </c>
      <c r="B265" s="221" t="s">
        <v>275</v>
      </c>
      <c r="C265" s="223" t="s">
        <v>6</v>
      </c>
      <c r="D265" s="7"/>
      <c r="E265" s="7"/>
      <c r="F265" s="7"/>
      <c r="G265" s="7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9">
        <f t="shared" si="10"/>
        <v>0</v>
      </c>
    </row>
    <row r="266" spans="1:35" ht="15.75" customHeight="1">
      <c r="A266" s="220">
        <v>2212011006</v>
      </c>
      <c r="B266" s="221" t="s">
        <v>276</v>
      </c>
      <c r="C266" s="223" t="s">
        <v>6</v>
      </c>
      <c r="D266" s="7"/>
      <c r="E266" s="7"/>
      <c r="F266" s="7"/>
      <c r="G266" s="7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9">
        <f t="shared" si="10"/>
        <v>0</v>
      </c>
    </row>
    <row r="267" spans="1:35" ht="15.75" customHeight="1">
      <c r="A267" s="220">
        <v>2212011007</v>
      </c>
      <c r="B267" s="221" t="s">
        <v>277</v>
      </c>
      <c r="C267" s="223" t="s">
        <v>6</v>
      </c>
      <c r="D267" s="7"/>
      <c r="E267" s="7"/>
      <c r="F267" s="7"/>
      <c r="G267" s="7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9">
        <f t="shared" si="10"/>
        <v>0</v>
      </c>
    </row>
    <row r="268" spans="1:35" ht="15.75" customHeight="1">
      <c r="A268" s="220">
        <v>2212011008</v>
      </c>
      <c r="B268" s="221" t="s">
        <v>278</v>
      </c>
      <c r="C268" s="223" t="s">
        <v>6</v>
      </c>
      <c r="D268" s="7"/>
      <c r="E268" s="7"/>
      <c r="F268" s="7"/>
      <c r="G268" s="7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9">
        <f t="shared" si="10"/>
        <v>0</v>
      </c>
    </row>
    <row r="269" spans="1:35" ht="15.75" customHeight="1">
      <c r="A269" s="220">
        <v>2212011009</v>
      </c>
      <c r="B269" s="53" t="s">
        <v>279</v>
      </c>
      <c r="C269" s="223" t="s">
        <v>6</v>
      </c>
      <c r="D269" s="7"/>
      <c r="E269" s="7"/>
      <c r="F269" s="7"/>
      <c r="G269" s="7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9">
        <f t="shared" si="10"/>
        <v>0</v>
      </c>
    </row>
    <row r="270" spans="1:35" ht="15.75" customHeight="1">
      <c r="A270" s="220">
        <v>2212011010</v>
      </c>
      <c r="B270" s="221" t="s">
        <v>280</v>
      </c>
      <c r="C270" s="223" t="s">
        <v>6</v>
      </c>
      <c r="D270" s="7"/>
      <c r="E270" s="7"/>
      <c r="F270" s="7"/>
      <c r="G270" s="7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9">
        <f t="shared" si="10"/>
        <v>0</v>
      </c>
    </row>
    <row r="271" spans="1:35" ht="15.75" customHeight="1">
      <c r="A271" s="220">
        <v>2212011011</v>
      </c>
      <c r="B271" s="221" t="s">
        <v>281</v>
      </c>
      <c r="C271" s="223" t="s">
        <v>6</v>
      </c>
      <c r="D271" s="7"/>
      <c r="E271" s="7"/>
      <c r="F271" s="7"/>
      <c r="G271" s="7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9">
        <f t="shared" si="10"/>
        <v>0</v>
      </c>
    </row>
    <row r="272" spans="1:35" ht="15.75" customHeight="1">
      <c r="A272" s="220">
        <v>2212011012</v>
      </c>
      <c r="B272" s="221" t="s">
        <v>282</v>
      </c>
      <c r="C272" s="223" t="s">
        <v>6</v>
      </c>
      <c r="D272" s="7"/>
      <c r="E272" s="7"/>
      <c r="F272" s="7"/>
      <c r="G272" s="7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9">
        <f t="shared" si="10"/>
        <v>0</v>
      </c>
    </row>
    <row r="273" spans="1:35" ht="15.75" customHeight="1">
      <c r="A273" s="220">
        <v>2212011013</v>
      </c>
      <c r="B273" s="221" t="s">
        <v>283</v>
      </c>
      <c r="C273" s="223" t="s">
        <v>6</v>
      </c>
      <c r="D273" s="7"/>
      <c r="E273" s="7"/>
      <c r="F273" s="7"/>
      <c r="G273" s="7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9">
        <f t="shared" si="10"/>
        <v>0</v>
      </c>
    </row>
    <row r="274" spans="1:35" ht="15.75" customHeight="1">
      <c r="A274" s="220">
        <v>2212011014</v>
      </c>
      <c r="B274" s="221" t="s">
        <v>284</v>
      </c>
      <c r="C274" s="223" t="s">
        <v>6</v>
      </c>
      <c r="D274" s="7"/>
      <c r="E274" s="7"/>
      <c r="F274" s="7"/>
      <c r="G274" s="7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9">
        <f t="shared" si="10"/>
        <v>0</v>
      </c>
    </row>
    <row r="275" spans="1:35" ht="15.75" customHeight="1">
      <c r="A275" s="220">
        <v>2212011015</v>
      </c>
      <c r="B275" s="221" t="s">
        <v>285</v>
      </c>
      <c r="C275" s="223" t="s">
        <v>6</v>
      </c>
      <c r="D275" s="7"/>
      <c r="E275" s="7"/>
      <c r="F275" s="7"/>
      <c r="G275" s="7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9">
        <f t="shared" si="10"/>
        <v>0</v>
      </c>
    </row>
    <row r="276" spans="1:35" ht="15.75" customHeight="1">
      <c r="A276" s="220">
        <v>2212011016</v>
      </c>
      <c r="B276" s="53" t="s">
        <v>286</v>
      </c>
      <c r="C276" s="223" t="s">
        <v>6</v>
      </c>
      <c r="D276" s="7"/>
      <c r="E276" s="7"/>
      <c r="F276" s="7"/>
      <c r="G276" s="7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9">
        <f t="shared" si="10"/>
        <v>0</v>
      </c>
    </row>
    <row r="277" spans="1:35" ht="15.75" customHeight="1">
      <c r="A277" s="220">
        <v>2212011017</v>
      </c>
      <c r="B277" s="221" t="s">
        <v>287</v>
      </c>
      <c r="C277" s="223" t="s">
        <v>6</v>
      </c>
      <c r="D277" s="7"/>
      <c r="E277" s="7"/>
      <c r="F277" s="7"/>
      <c r="G277" s="7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9">
        <f t="shared" si="10"/>
        <v>0</v>
      </c>
    </row>
    <row r="278" spans="1:35" ht="15.75" customHeight="1">
      <c r="A278" s="220">
        <v>2212011018</v>
      </c>
      <c r="B278" s="221" t="s">
        <v>288</v>
      </c>
      <c r="C278" s="223" t="s">
        <v>6</v>
      </c>
      <c r="D278" s="7"/>
      <c r="E278" s="7"/>
      <c r="F278" s="7"/>
      <c r="G278" s="7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9">
        <f t="shared" si="10"/>
        <v>0</v>
      </c>
    </row>
    <row r="279" spans="1:35" ht="15.75" customHeight="1">
      <c r="A279" s="220">
        <v>2212011019</v>
      </c>
      <c r="B279" s="221" t="s">
        <v>289</v>
      </c>
      <c r="C279" s="223" t="s">
        <v>6</v>
      </c>
      <c r="D279" s="7"/>
      <c r="E279" s="7"/>
      <c r="F279" s="7"/>
      <c r="G279" s="7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9">
        <f t="shared" si="10"/>
        <v>0</v>
      </c>
    </row>
    <row r="280" spans="1:35" ht="15.75" customHeight="1">
      <c r="A280" s="226">
        <v>2212011026</v>
      </c>
      <c r="B280" s="227" t="s">
        <v>290</v>
      </c>
      <c r="C280" s="228" t="s">
        <v>86</v>
      </c>
      <c r="D280" s="7"/>
      <c r="E280" s="7"/>
      <c r="F280" s="7"/>
      <c r="G280" s="7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40">
        <f t="shared" si="10"/>
        <v>0</v>
      </c>
    </row>
    <row r="281" spans="1:35" ht="18.75" customHeight="1">
      <c r="A281" s="611" t="s">
        <v>291</v>
      </c>
      <c r="B281" s="606"/>
      <c r="C281" s="606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2"/>
      <c r="AI281" s="44"/>
    </row>
    <row r="282" spans="1:35" ht="15.75" customHeight="1">
      <c r="A282" s="233">
        <v>2212001001</v>
      </c>
      <c r="B282" s="235" t="s">
        <v>292</v>
      </c>
      <c r="C282" s="236" t="s">
        <v>293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48">
        <f t="shared" ref="AI282:AI384" si="11">SUM(D282:AH282)</f>
        <v>0</v>
      </c>
    </row>
    <row r="283" spans="1:35" ht="15.75" customHeight="1">
      <c r="A283" s="238">
        <v>2212001002</v>
      </c>
      <c r="B283" s="239" t="s">
        <v>294</v>
      </c>
      <c r="C283" s="240" t="s">
        <v>175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9">
        <f t="shared" si="11"/>
        <v>0</v>
      </c>
    </row>
    <row r="284" spans="1:35" ht="15.75" customHeight="1">
      <c r="A284" s="238">
        <v>2212001006</v>
      </c>
      <c r="B284" s="239" t="s">
        <v>295</v>
      </c>
      <c r="C284" s="240" t="s">
        <v>296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9">
        <f t="shared" si="11"/>
        <v>0</v>
      </c>
    </row>
    <row r="285" spans="1:35" ht="15.75" customHeight="1">
      <c r="A285" s="238">
        <v>2212001007</v>
      </c>
      <c r="B285" s="239" t="s">
        <v>297</v>
      </c>
      <c r="C285" s="240" t="s">
        <v>6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9">
        <f t="shared" si="11"/>
        <v>0</v>
      </c>
    </row>
    <row r="286" spans="1:35" ht="15.75" customHeight="1">
      <c r="A286" s="241">
        <v>2212007011</v>
      </c>
      <c r="B286" s="242" t="s">
        <v>298</v>
      </c>
      <c r="C286" s="241" t="s">
        <v>86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9">
        <f t="shared" si="11"/>
        <v>0</v>
      </c>
    </row>
    <row r="287" spans="1:35" ht="15.75" customHeight="1">
      <c r="A287" s="238">
        <v>2212001010</v>
      </c>
      <c r="B287" s="239" t="s">
        <v>299</v>
      </c>
      <c r="C287" s="240" t="s">
        <v>267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9">
        <f t="shared" si="11"/>
        <v>0</v>
      </c>
    </row>
    <row r="288" spans="1:35" ht="15.75" customHeight="1">
      <c r="A288" s="238">
        <v>2212001013</v>
      </c>
      <c r="B288" s="239" t="s">
        <v>300</v>
      </c>
      <c r="C288" s="240" t="s">
        <v>86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9">
        <f t="shared" si="11"/>
        <v>0</v>
      </c>
    </row>
    <row r="289" spans="1:35" ht="15.75" customHeight="1">
      <c r="A289" s="238">
        <v>2212001014</v>
      </c>
      <c r="B289" s="239" t="s">
        <v>301</v>
      </c>
      <c r="C289" s="240" t="s">
        <v>86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9">
        <f t="shared" si="11"/>
        <v>0</v>
      </c>
    </row>
    <row r="290" spans="1:35" ht="15.75" customHeight="1">
      <c r="A290" s="238">
        <v>2212001015</v>
      </c>
      <c r="B290" s="239" t="s">
        <v>302</v>
      </c>
      <c r="C290" s="240" t="s">
        <v>86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9">
        <f t="shared" si="11"/>
        <v>0</v>
      </c>
    </row>
    <row r="291" spans="1:35" ht="15.75" customHeight="1">
      <c r="A291" s="238">
        <v>2212001016</v>
      </c>
      <c r="B291" s="239" t="s">
        <v>303</v>
      </c>
      <c r="C291" s="240" t="s">
        <v>296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9">
        <f t="shared" si="11"/>
        <v>0</v>
      </c>
    </row>
    <row r="292" spans="1:35" ht="15.75" customHeight="1">
      <c r="A292" s="238">
        <v>2212001018</v>
      </c>
      <c r="B292" s="239" t="s">
        <v>304</v>
      </c>
      <c r="C292" s="240" t="s">
        <v>296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9">
        <f t="shared" si="11"/>
        <v>0</v>
      </c>
    </row>
    <row r="293" spans="1:35" ht="15.75" customHeight="1">
      <c r="A293" s="238">
        <v>2212001020</v>
      </c>
      <c r="B293" s="239" t="s">
        <v>305</v>
      </c>
      <c r="C293" s="240" t="s">
        <v>6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9">
        <f t="shared" si="11"/>
        <v>0</v>
      </c>
    </row>
    <row r="294" spans="1:35" ht="15.75" customHeight="1">
      <c r="A294" s="238">
        <v>2212001022</v>
      </c>
      <c r="B294" s="239" t="s">
        <v>306</v>
      </c>
      <c r="C294" s="240" t="s">
        <v>307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9">
        <f t="shared" si="11"/>
        <v>0</v>
      </c>
    </row>
    <row r="295" spans="1:35" ht="15.75" customHeight="1">
      <c r="A295" s="241">
        <v>2212007018</v>
      </c>
      <c r="B295" s="242" t="s">
        <v>308</v>
      </c>
      <c r="C295" s="241" t="s">
        <v>86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9">
        <f t="shared" si="11"/>
        <v>0</v>
      </c>
    </row>
    <row r="296" spans="1:35" ht="15.75" customHeight="1">
      <c r="A296" s="238">
        <v>2212001026</v>
      </c>
      <c r="B296" s="239" t="s">
        <v>309</v>
      </c>
      <c r="C296" s="240" t="s">
        <v>6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9">
        <f t="shared" si="11"/>
        <v>0</v>
      </c>
    </row>
    <row r="297" spans="1:35" ht="15.75" customHeight="1">
      <c r="A297" s="238">
        <v>2212001027</v>
      </c>
      <c r="B297" s="239" t="s">
        <v>310</v>
      </c>
      <c r="C297" s="240" t="s">
        <v>171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9">
        <f t="shared" si="11"/>
        <v>0</v>
      </c>
    </row>
    <row r="298" spans="1:35" ht="15.75" customHeight="1">
      <c r="A298" s="238">
        <v>2212001028</v>
      </c>
      <c r="B298" s="239" t="s">
        <v>311</v>
      </c>
      <c r="C298" s="240" t="s">
        <v>296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9">
        <f t="shared" si="11"/>
        <v>0</v>
      </c>
    </row>
    <row r="299" spans="1:35" ht="15.75" customHeight="1">
      <c r="A299" s="238">
        <v>2212001029</v>
      </c>
      <c r="B299" s="243" t="s">
        <v>312</v>
      </c>
      <c r="C299" s="240" t="s">
        <v>313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9">
        <f t="shared" si="11"/>
        <v>0</v>
      </c>
    </row>
    <row r="300" spans="1:35" ht="15.75" customHeight="1">
      <c r="A300" s="238">
        <v>2212001030</v>
      </c>
      <c r="B300" s="239" t="s">
        <v>314</v>
      </c>
      <c r="C300" s="240" t="s">
        <v>86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9">
        <f t="shared" si="11"/>
        <v>0</v>
      </c>
    </row>
    <row r="301" spans="1:35" ht="15.75" customHeight="1">
      <c r="A301" s="238">
        <v>2212001031</v>
      </c>
      <c r="B301" s="239" t="s">
        <v>315</v>
      </c>
      <c r="C301" s="240" t="s">
        <v>6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9">
        <f t="shared" si="11"/>
        <v>0</v>
      </c>
    </row>
    <row r="302" spans="1:35" ht="15.75" customHeight="1">
      <c r="A302" s="238">
        <v>2212001032</v>
      </c>
      <c r="B302" s="239" t="s">
        <v>316</v>
      </c>
      <c r="C302" s="240" t="s">
        <v>86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9">
        <f t="shared" si="11"/>
        <v>0</v>
      </c>
    </row>
    <row r="303" spans="1:35" ht="15.75" customHeight="1">
      <c r="A303" s="238">
        <v>2212001033</v>
      </c>
      <c r="B303" s="239" t="s">
        <v>317</v>
      </c>
      <c r="C303" s="240" t="s">
        <v>86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9">
        <f t="shared" si="11"/>
        <v>0</v>
      </c>
    </row>
    <row r="304" spans="1:35" ht="15.75" customHeight="1">
      <c r="A304" s="238">
        <v>2212001034</v>
      </c>
      <c r="B304" s="239" t="s">
        <v>318</v>
      </c>
      <c r="C304" s="240" t="s">
        <v>6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9">
        <f t="shared" si="11"/>
        <v>0</v>
      </c>
    </row>
    <row r="305" spans="1:35" ht="15.75" customHeight="1">
      <c r="A305" s="238">
        <v>2212001035</v>
      </c>
      <c r="B305" s="53" t="s">
        <v>319</v>
      </c>
      <c r="C305" s="240" t="s">
        <v>313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9">
        <f t="shared" si="11"/>
        <v>0</v>
      </c>
    </row>
    <row r="306" spans="1:35" ht="15.75" customHeight="1">
      <c r="A306" s="238">
        <v>2212001036</v>
      </c>
      <c r="B306" s="239" t="s">
        <v>320</v>
      </c>
      <c r="C306" s="240" t="s">
        <v>6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9">
        <f t="shared" si="11"/>
        <v>0</v>
      </c>
    </row>
    <row r="307" spans="1:35" ht="15.75" customHeight="1">
      <c r="A307" s="238">
        <v>2212001037</v>
      </c>
      <c r="B307" s="239" t="s">
        <v>321</v>
      </c>
      <c r="C307" s="240" t="s">
        <v>6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9">
        <f t="shared" si="11"/>
        <v>0</v>
      </c>
    </row>
    <row r="308" spans="1:35" ht="15.75" customHeight="1">
      <c r="A308" s="238">
        <v>2212001038</v>
      </c>
      <c r="B308" s="239" t="s">
        <v>322</v>
      </c>
      <c r="C308" s="240" t="s">
        <v>86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9">
        <f t="shared" si="11"/>
        <v>0</v>
      </c>
    </row>
    <row r="309" spans="1:35" ht="15.75" customHeight="1">
      <c r="A309" s="238">
        <v>2212001040</v>
      </c>
      <c r="B309" s="239" t="s">
        <v>323</v>
      </c>
      <c r="C309" s="240" t="s">
        <v>6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9">
        <f t="shared" si="11"/>
        <v>0</v>
      </c>
    </row>
    <row r="310" spans="1:35" ht="15.75" customHeight="1">
      <c r="A310" s="238">
        <v>2212001041</v>
      </c>
      <c r="B310" s="239" t="s">
        <v>324</v>
      </c>
      <c r="C310" s="240" t="s">
        <v>6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9">
        <f t="shared" si="11"/>
        <v>0</v>
      </c>
    </row>
    <row r="311" spans="1:35" ht="15.75" customHeight="1">
      <c r="A311" s="238">
        <v>2212001042</v>
      </c>
      <c r="B311" s="239" t="s">
        <v>325</v>
      </c>
      <c r="C311" s="240" t="s">
        <v>313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9">
        <f t="shared" si="11"/>
        <v>0</v>
      </c>
    </row>
    <row r="312" spans="1:35" ht="15.75" customHeight="1">
      <c r="A312" s="238">
        <v>2212001044</v>
      </c>
      <c r="B312" s="239" t="s">
        <v>326</v>
      </c>
      <c r="C312" s="240" t="s">
        <v>8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9">
        <f t="shared" si="11"/>
        <v>0</v>
      </c>
    </row>
    <row r="313" spans="1:35" ht="15.75" customHeight="1">
      <c r="A313" s="238">
        <v>2212001045</v>
      </c>
      <c r="B313" s="239" t="s">
        <v>327</v>
      </c>
      <c r="C313" s="240" t="s">
        <v>296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9">
        <f t="shared" si="11"/>
        <v>0</v>
      </c>
    </row>
    <row r="314" spans="1:35" ht="15.75" customHeight="1">
      <c r="A314" s="238">
        <v>2212001046</v>
      </c>
      <c r="B314" s="239" t="s">
        <v>328</v>
      </c>
      <c r="C314" s="240" t="s">
        <v>267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9">
        <f t="shared" si="11"/>
        <v>0</v>
      </c>
    </row>
    <row r="315" spans="1:35" ht="15.75" customHeight="1">
      <c r="A315" s="238">
        <v>2212001047</v>
      </c>
      <c r="B315" s="239" t="s">
        <v>329</v>
      </c>
      <c r="C315" s="240" t="s">
        <v>8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9">
        <f t="shared" si="11"/>
        <v>0</v>
      </c>
    </row>
    <row r="316" spans="1:35" ht="15.75" customHeight="1">
      <c r="A316" s="238">
        <v>2212001049</v>
      </c>
      <c r="B316" s="53" t="s">
        <v>330</v>
      </c>
      <c r="C316" s="240" t="s">
        <v>296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9">
        <f t="shared" si="11"/>
        <v>0</v>
      </c>
    </row>
    <row r="317" spans="1:35" ht="15.75" customHeight="1">
      <c r="A317" s="238">
        <v>2212001050</v>
      </c>
      <c r="B317" s="53" t="s">
        <v>331</v>
      </c>
      <c r="C317" s="240" t="s">
        <v>267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9">
        <f t="shared" si="11"/>
        <v>0</v>
      </c>
    </row>
    <row r="318" spans="1:35" ht="15.75" customHeight="1">
      <c r="A318" s="238">
        <v>2212001051</v>
      </c>
      <c r="B318" s="239" t="s">
        <v>332</v>
      </c>
      <c r="C318" s="240" t="s">
        <v>175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9">
        <f t="shared" si="11"/>
        <v>0</v>
      </c>
    </row>
    <row r="319" spans="1:35" ht="15.75" customHeight="1">
      <c r="A319" s="238">
        <v>2212001053</v>
      </c>
      <c r="B319" s="239" t="s">
        <v>333</v>
      </c>
      <c r="C319" s="240" t="s">
        <v>313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9">
        <f t="shared" si="11"/>
        <v>0</v>
      </c>
    </row>
    <row r="320" spans="1:35" ht="15.75" customHeight="1">
      <c r="A320" s="238">
        <v>2212001054</v>
      </c>
      <c r="B320" s="53" t="s">
        <v>334</v>
      </c>
      <c r="C320" s="240" t="s">
        <v>313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9">
        <f t="shared" si="11"/>
        <v>0</v>
      </c>
    </row>
    <row r="321" spans="1:35" ht="15.75" customHeight="1">
      <c r="A321" s="238">
        <v>2212001055</v>
      </c>
      <c r="B321" s="239" t="s">
        <v>335</v>
      </c>
      <c r="C321" s="240" t="s">
        <v>313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9">
        <f t="shared" si="11"/>
        <v>0</v>
      </c>
    </row>
    <row r="322" spans="1:35" ht="15.75" customHeight="1">
      <c r="A322" s="238">
        <v>2212001057</v>
      </c>
      <c r="B322" s="239" t="s">
        <v>336</v>
      </c>
      <c r="C322" s="240" t="s">
        <v>296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9">
        <f t="shared" si="11"/>
        <v>0</v>
      </c>
    </row>
    <row r="323" spans="1:35" ht="15.75" customHeight="1">
      <c r="A323" s="238">
        <v>2212001058</v>
      </c>
      <c r="B323" s="239" t="s">
        <v>337</v>
      </c>
      <c r="C323" s="240" t="s">
        <v>296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9">
        <f t="shared" si="11"/>
        <v>0</v>
      </c>
    </row>
    <row r="324" spans="1:35" ht="15.75" customHeight="1">
      <c r="A324" s="238">
        <v>2212001060</v>
      </c>
      <c r="B324" s="239" t="s">
        <v>338</v>
      </c>
      <c r="C324" s="240" t="s">
        <v>296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9">
        <f t="shared" si="11"/>
        <v>0</v>
      </c>
    </row>
    <row r="325" spans="1:35" ht="15.75" customHeight="1">
      <c r="A325" s="238">
        <v>2212001062</v>
      </c>
      <c r="B325" s="239" t="s">
        <v>339</v>
      </c>
      <c r="C325" s="240" t="s">
        <v>6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9">
        <f t="shared" si="11"/>
        <v>0</v>
      </c>
    </row>
    <row r="326" spans="1:35" ht="15.75" customHeight="1">
      <c r="A326" s="238">
        <v>2212001063</v>
      </c>
      <c r="B326" s="239" t="s">
        <v>340</v>
      </c>
      <c r="C326" s="240" t="s">
        <v>6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9">
        <f t="shared" si="11"/>
        <v>0</v>
      </c>
    </row>
    <row r="327" spans="1:35" ht="15.75" customHeight="1">
      <c r="A327" s="238">
        <v>2212001065</v>
      </c>
      <c r="B327" s="239" t="s">
        <v>341</v>
      </c>
      <c r="C327" s="240" t="s">
        <v>8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9">
        <f t="shared" si="11"/>
        <v>0</v>
      </c>
    </row>
    <row r="328" spans="1:35" ht="15.75" customHeight="1">
      <c r="A328" s="238">
        <v>2212001066</v>
      </c>
      <c r="B328" s="239" t="s">
        <v>342</v>
      </c>
      <c r="C328" s="240" t="s">
        <v>171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9">
        <f t="shared" si="11"/>
        <v>0</v>
      </c>
    </row>
    <row r="329" spans="1:35" ht="15.75" customHeight="1">
      <c r="A329" s="238">
        <v>2212001067</v>
      </c>
      <c r="B329" s="239" t="s">
        <v>343</v>
      </c>
      <c r="C329" s="240" t="s">
        <v>267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9">
        <f t="shared" si="11"/>
        <v>0</v>
      </c>
    </row>
    <row r="330" spans="1:35" ht="15.75" customHeight="1">
      <c r="A330" s="241">
        <v>2212007013</v>
      </c>
      <c r="B330" s="242" t="s">
        <v>344</v>
      </c>
      <c r="C330" s="241" t="s">
        <v>313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9">
        <f t="shared" si="11"/>
        <v>0</v>
      </c>
    </row>
    <row r="331" spans="1:35" ht="15.75" customHeight="1">
      <c r="A331" s="241">
        <v>2212007014</v>
      </c>
      <c r="B331" s="242" t="s">
        <v>345</v>
      </c>
      <c r="C331" s="241" t="s">
        <v>313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9">
        <f t="shared" si="11"/>
        <v>0</v>
      </c>
    </row>
    <row r="332" spans="1:35" ht="15.75" customHeight="1">
      <c r="A332" s="241">
        <v>2212007015</v>
      </c>
      <c r="B332" s="252" t="s">
        <v>346</v>
      </c>
      <c r="C332" s="253" t="s">
        <v>313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9">
        <f t="shared" si="11"/>
        <v>0</v>
      </c>
    </row>
    <row r="333" spans="1:35" ht="15.75" customHeight="1">
      <c r="A333" s="241">
        <v>2212007016</v>
      </c>
      <c r="B333" s="242" t="s">
        <v>347</v>
      </c>
      <c r="C333" s="241" t="s">
        <v>313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9">
        <f t="shared" si="11"/>
        <v>0</v>
      </c>
    </row>
    <row r="334" spans="1:35" ht="15.75" customHeight="1">
      <c r="A334" s="241">
        <v>2212007017</v>
      </c>
      <c r="B334" s="242" t="s">
        <v>348</v>
      </c>
      <c r="C334" s="241" t="s">
        <v>313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9">
        <f t="shared" si="11"/>
        <v>0</v>
      </c>
    </row>
    <row r="335" spans="1:35" ht="15.75" customHeight="1">
      <c r="A335" s="238">
        <v>2212001071</v>
      </c>
      <c r="B335" s="239" t="s">
        <v>349</v>
      </c>
      <c r="C335" s="240" t="s">
        <v>171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9">
        <f t="shared" si="11"/>
        <v>0</v>
      </c>
    </row>
    <row r="336" spans="1:35" ht="15.75" customHeight="1">
      <c r="A336" s="238">
        <v>2212001072</v>
      </c>
      <c r="B336" s="239" t="s">
        <v>350</v>
      </c>
      <c r="C336" s="240" t="s">
        <v>307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9">
        <f t="shared" si="11"/>
        <v>0</v>
      </c>
    </row>
    <row r="337" spans="1:35" ht="15.75" customHeight="1">
      <c r="A337" s="238">
        <v>2212001075</v>
      </c>
      <c r="B337" s="239" t="s">
        <v>351</v>
      </c>
      <c r="C337" s="240" t="s">
        <v>8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9">
        <f t="shared" si="11"/>
        <v>0</v>
      </c>
    </row>
    <row r="338" spans="1:35" ht="15.75" customHeight="1">
      <c r="A338" s="238">
        <v>2212001079</v>
      </c>
      <c r="B338" s="239" t="s">
        <v>352</v>
      </c>
      <c r="C338" s="240" t="s">
        <v>86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9">
        <f t="shared" si="11"/>
        <v>0</v>
      </c>
    </row>
    <row r="339" spans="1:35" ht="15.75" customHeight="1">
      <c r="A339" s="238">
        <v>2212001080</v>
      </c>
      <c r="B339" s="239" t="s">
        <v>353</v>
      </c>
      <c r="C339" s="240" t="s">
        <v>86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9">
        <f t="shared" si="11"/>
        <v>0</v>
      </c>
    </row>
    <row r="340" spans="1:35" ht="15.75" customHeight="1">
      <c r="A340" s="238">
        <v>2212001085</v>
      </c>
      <c r="B340" s="239" t="s">
        <v>354</v>
      </c>
      <c r="C340" s="240" t="s">
        <v>8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9">
        <f t="shared" si="11"/>
        <v>0</v>
      </c>
    </row>
    <row r="341" spans="1:35" ht="15.75" customHeight="1">
      <c r="A341" s="238">
        <v>2212001086</v>
      </c>
      <c r="B341" s="239" t="s">
        <v>355</v>
      </c>
      <c r="C341" s="240" t="s">
        <v>307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9">
        <f t="shared" si="11"/>
        <v>0</v>
      </c>
    </row>
    <row r="342" spans="1:35" ht="15.75" customHeight="1">
      <c r="A342" s="238">
        <v>2212001087</v>
      </c>
      <c r="B342" s="239" t="s">
        <v>356</v>
      </c>
      <c r="C342" s="240" t="s">
        <v>313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9">
        <f t="shared" si="11"/>
        <v>0</v>
      </c>
    </row>
    <row r="343" spans="1:35" ht="15.75" customHeight="1">
      <c r="A343" s="238">
        <v>2212001089</v>
      </c>
      <c r="B343" s="239" t="s">
        <v>357</v>
      </c>
      <c r="C343" s="240" t="s">
        <v>296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9">
        <f t="shared" si="11"/>
        <v>0</v>
      </c>
    </row>
    <row r="344" spans="1:35" ht="15.75" customHeight="1">
      <c r="A344" s="238">
        <v>2212001100</v>
      </c>
      <c r="B344" s="239" t="s">
        <v>358</v>
      </c>
      <c r="C344" s="240" t="s">
        <v>313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9">
        <f t="shared" si="11"/>
        <v>0</v>
      </c>
    </row>
    <row r="345" spans="1:35" ht="15.75" customHeight="1">
      <c r="A345" s="238">
        <v>2212001101</v>
      </c>
      <c r="B345" s="53" t="s">
        <v>359</v>
      </c>
      <c r="C345" s="240" t="s">
        <v>313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9">
        <f t="shared" si="11"/>
        <v>0</v>
      </c>
    </row>
    <row r="346" spans="1:35" ht="15.75" customHeight="1">
      <c r="A346" s="238">
        <v>2212001102</v>
      </c>
      <c r="B346" s="239" t="s">
        <v>360</v>
      </c>
      <c r="C346" s="240" t="s">
        <v>313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9">
        <f t="shared" si="11"/>
        <v>0</v>
      </c>
    </row>
    <row r="347" spans="1:35" ht="15.75" customHeight="1">
      <c r="A347" s="238">
        <v>2212001103</v>
      </c>
      <c r="B347" s="239" t="s">
        <v>361</v>
      </c>
      <c r="C347" s="240" t="s">
        <v>313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9">
        <f t="shared" si="11"/>
        <v>0</v>
      </c>
    </row>
    <row r="348" spans="1:35" ht="15.75" customHeight="1">
      <c r="A348" s="256">
        <v>2212001106</v>
      </c>
      <c r="B348" s="257" t="s">
        <v>362</v>
      </c>
      <c r="C348" s="258" t="s">
        <v>171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9">
        <f t="shared" si="11"/>
        <v>0</v>
      </c>
    </row>
    <row r="349" spans="1:35" ht="15.75" customHeight="1">
      <c r="A349" s="259">
        <v>2212001107</v>
      </c>
      <c r="B349" s="260" t="s">
        <v>363</v>
      </c>
      <c r="C349" s="261" t="s">
        <v>171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9">
        <f t="shared" si="11"/>
        <v>0</v>
      </c>
    </row>
    <row r="350" spans="1:35" ht="15.75" customHeight="1">
      <c r="A350" s="238">
        <v>2212001109</v>
      </c>
      <c r="B350" s="239" t="s">
        <v>364</v>
      </c>
      <c r="C350" s="240" t="s">
        <v>6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9">
        <f t="shared" si="11"/>
        <v>0</v>
      </c>
    </row>
    <row r="351" spans="1:35" ht="15.75" customHeight="1">
      <c r="A351" s="238">
        <v>2212001111</v>
      </c>
      <c r="B351" s="239" t="s">
        <v>365</v>
      </c>
      <c r="C351" s="240" t="s">
        <v>296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9">
        <f t="shared" si="11"/>
        <v>0</v>
      </c>
    </row>
    <row r="352" spans="1:35" ht="15.75" customHeight="1">
      <c r="A352" s="238">
        <v>2212001114</v>
      </c>
      <c r="B352" s="239" t="s">
        <v>366</v>
      </c>
      <c r="C352" s="240" t="s">
        <v>86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9">
        <f t="shared" si="11"/>
        <v>0</v>
      </c>
    </row>
    <row r="353" spans="1:35" ht="15.75" customHeight="1">
      <c r="A353" s="238">
        <v>2212001121</v>
      </c>
      <c r="B353" s="239" t="s">
        <v>367</v>
      </c>
      <c r="C353" s="240" t="s">
        <v>8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9">
        <f t="shared" si="11"/>
        <v>0</v>
      </c>
    </row>
    <row r="354" spans="1:35" ht="15.75" customHeight="1">
      <c r="A354" s="238">
        <v>2212001122</v>
      </c>
      <c r="B354" s="239" t="s">
        <v>368</v>
      </c>
      <c r="C354" s="240" t="s">
        <v>296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9">
        <f t="shared" si="11"/>
        <v>0</v>
      </c>
    </row>
    <row r="355" spans="1:35" ht="15.75" customHeight="1">
      <c r="A355" s="238">
        <v>2212001123</v>
      </c>
      <c r="B355" s="239" t="s">
        <v>369</v>
      </c>
      <c r="C355" s="240" t="s">
        <v>171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9">
        <f t="shared" si="11"/>
        <v>0</v>
      </c>
    </row>
    <row r="356" spans="1:35" ht="15.75" customHeight="1">
      <c r="A356" s="238">
        <v>2212001125</v>
      </c>
      <c r="B356" s="239" t="s">
        <v>370</v>
      </c>
      <c r="C356" s="240" t="s">
        <v>8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9">
        <f t="shared" si="11"/>
        <v>0</v>
      </c>
    </row>
    <row r="357" spans="1:35" ht="15.75" customHeight="1">
      <c r="A357" s="238">
        <v>2212001126</v>
      </c>
      <c r="B357" s="239" t="s">
        <v>371</v>
      </c>
      <c r="C357" s="240" t="s">
        <v>8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9">
        <f t="shared" si="11"/>
        <v>0</v>
      </c>
    </row>
    <row r="358" spans="1:35" ht="15.75" customHeight="1">
      <c r="A358" s="238">
        <v>2212001129</v>
      </c>
      <c r="B358" s="239" t="s">
        <v>372</v>
      </c>
      <c r="C358" s="240" t="s">
        <v>313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9">
        <f t="shared" si="11"/>
        <v>0</v>
      </c>
    </row>
    <row r="359" spans="1:35" ht="15.75" customHeight="1">
      <c r="A359" s="238">
        <v>2212001130</v>
      </c>
      <c r="B359" s="239" t="s">
        <v>373</v>
      </c>
      <c r="C359" s="240" t="s">
        <v>171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9">
        <f t="shared" si="11"/>
        <v>0</v>
      </c>
    </row>
    <row r="360" spans="1:35" ht="15.75" customHeight="1">
      <c r="A360" s="238">
        <v>2212001133</v>
      </c>
      <c r="B360" s="239" t="s">
        <v>374</v>
      </c>
      <c r="C360" s="240" t="s">
        <v>267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9">
        <f t="shared" si="11"/>
        <v>0</v>
      </c>
    </row>
    <row r="361" spans="1:35" ht="15.75" customHeight="1">
      <c r="A361" s="238">
        <v>2212001144</v>
      </c>
      <c r="B361" s="239" t="s">
        <v>375</v>
      </c>
      <c r="C361" s="240" t="s">
        <v>171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9">
        <f t="shared" si="11"/>
        <v>0</v>
      </c>
    </row>
    <row r="362" spans="1:35" ht="15.75" customHeight="1">
      <c r="A362" s="259">
        <v>2212001146</v>
      </c>
      <c r="B362" s="263" t="s">
        <v>376</v>
      </c>
      <c r="C362" s="261" t="s">
        <v>296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9">
        <f t="shared" si="11"/>
        <v>0</v>
      </c>
    </row>
    <row r="363" spans="1:35" ht="15.75" customHeight="1">
      <c r="A363" s="238">
        <v>2212001151</v>
      </c>
      <c r="B363" s="239" t="s">
        <v>377</v>
      </c>
      <c r="C363" s="240" t="s">
        <v>267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9">
        <f t="shared" si="11"/>
        <v>0</v>
      </c>
    </row>
    <row r="364" spans="1:35" ht="15.75" customHeight="1">
      <c r="A364" s="238">
        <v>2212001152</v>
      </c>
      <c r="B364" s="239" t="s">
        <v>378</v>
      </c>
      <c r="C364" s="240" t="s">
        <v>379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9">
        <f t="shared" si="11"/>
        <v>0</v>
      </c>
    </row>
    <row r="365" spans="1:35" ht="15.75" customHeight="1">
      <c r="A365" s="238">
        <v>2212001155</v>
      </c>
      <c r="B365" s="239" t="s">
        <v>380</v>
      </c>
      <c r="C365" s="240" t="s">
        <v>177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9">
        <f t="shared" si="11"/>
        <v>0</v>
      </c>
    </row>
    <row r="366" spans="1:35" ht="15.75" customHeight="1">
      <c r="A366" s="238">
        <v>2212001159</v>
      </c>
      <c r="B366" s="239" t="s">
        <v>381</v>
      </c>
      <c r="C366" s="240" t="s">
        <v>175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9">
        <f t="shared" si="11"/>
        <v>0</v>
      </c>
    </row>
    <row r="367" spans="1:35" ht="15.75" customHeight="1">
      <c r="A367" s="238">
        <v>2212001162</v>
      </c>
      <c r="B367" s="239" t="s">
        <v>382</v>
      </c>
      <c r="C367" s="240" t="s">
        <v>86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9">
        <f t="shared" si="11"/>
        <v>0</v>
      </c>
    </row>
    <row r="368" spans="1:35" ht="15.75" customHeight="1">
      <c r="A368" s="238">
        <v>2212001163</v>
      </c>
      <c r="B368" s="239" t="s">
        <v>383</v>
      </c>
      <c r="C368" s="240" t="s">
        <v>384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9">
        <f t="shared" si="11"/>
        <v>0</v>
      </c>
    </row>
    <row r="369" spans="1:35" ht="15.75" customHeight="1">
      <c r="A369" s="238">
        <v>2212001164</v>
      </c>
      <c r="B369" s="239" t="s">
        <v>385</v>
      </c>
      <c r="C369" s="240" t="s">
        <v>86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9">
        <f t="shared" si="11"/>
        <v>0</v>
      </c>
    </row>
    <row r="370" spans="1:35" ht="15.75" customHeight="1">
      <c r="A370" s="238">
        <v>2212001165</v>
      </c>
      <c r="B370" s="239" t="s">
        <v>386</v>
      </c>
      <c r="C370" s="240" t="s">
        <v>6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9">
        <f t="shared" si="11"/>
        <v>0</v>
      </c>
    </row>
    <row r="371" spans="1:35" ht="15.75" customHeight="1">
      <c r="A371" s="238">
        <v>2212001167</v>
      </c>
      <c r="B371" s="239" t="s">
        <v>387</v>
      </c>
      <c r="C371" s="240" t="s">
        <v>388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9">
        <f t="shared" si="11"/>
        <v>0</v>
      </c>
    </row>
    <row r="372" spans="1:35" ht="15.75" customHeight="1">
      <c r="A372" s="238">
        <v>2212001172</v>
      </c>
      <c r="B372" s="239" t="s">
        <v>389</v>
      </c>
      <c r="C372" s="240" t="s">
        <v>177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9">
        <f t="shared" si="11"/>
        <v>0</v>
      </c>
    </row>
    <row r="373" spans="1:35" ht="15.75" customHeight="1">
      <c r="A373" s="238">
        <v>2212001173</v>
      </c>
      <c r="B373" s="239" t="s">
        <v>390</v>
      </c>
      <c r="C373" s="240" t="s">
        <v>267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9">
        <f t="shared" si="11"/>
        <v>0</v>
      </c>
    </row>
    <row r="374" spans="1:35" ht="15.75" customHeight="1">
      <c r="A374" s="238">
        <v>2212001174</v>
      </c>
      <c r="B374" s="239" t="s">
        <v>391</v>
      </c>
      <c r="C374" s="240" t="s">
        <v>267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9">
        <f t="shared" si="11"/>
        <v>0</v>
      </c>
    </row>
    <row r="375" spans="1:35" ht="15.75" customHeight="1">
      <c r="A375" s="238">
        <v>2212001175</v>
      </c>
      <c r="B375" s="239" t="s">
        <v>392</v>
      </c>
      <c r="C375" s="240" t="s">
        <v>267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9">
        <f t="shared" si="11"/>
        <v>0</v>
      </c>
    </row>
    <row r="376" spans="1:35" ht="15.75" customHeight="1">
      <c r="A376" s="238">
        <v>2212001186</v>
      </c>
      <c r="B376" s="53" t="s">
        <v>393</v>
      </c>
      <c r="C376" s="240" t="s">
        <v>296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9">
        <f t="shared" si="11"/>
        <v>0</v>
      </c>
    </row>
    <row r="377" spans="1:35" ht="15.75" customHeight="1">
      <c r="A377" s="238">
        <v>2212001187</v>
      </c>
      <c r="B377" s="239" t="s">
        <v>394</v>
      </c>
      <c r="C377" s="240" t="s">
        <v>86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9">
        <f t="shared" si="11"/>
        <v>0</v>
      </c>
    </row>
    <row r="378" spans="1:35" ht="15.75" customHeight="1">
      <c r="A378" s="238">
        <v>2212001189</v>
      </c>
      <c r="B378" s="239" t="s">
        <v>395</v>
      </c>
      <c r="C378" s="240" t="s">
        <v>6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9">
        <f t="shared" si="11"/>
        <v>0</v>
      </c>
    </row>
    <row r="379" spans="1:35" ht="15.75" customHeight="1">
      <c r="A379" s="238">
        <v>2212001190</v>
      </c>
      <c r="B379" s="239" t="s">
        <v>396</v>
      </c>
      <c r="C379" s="240" t="s">
        <v>6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9">
        <f t="shared" si="11"/>
        <v>0</v>
      </c>
    </row>
    <row r="380" spans="1:35" ht="15.75" customHeight="1">
      <c r="A380" s="238">
        <v>2212001191</v>
      </c>
      <c r="B380" s="239" t="s">
        <v>397</v>
      </c>
      <c r="C380" s="240" t="s">
        <v>6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9">
        <f t="shared" si="11"/>
        <v>0</v>
      </c>
    </row>
    <row r="381" spans="1:35" ht="15.75" customHeight="1">
      <c r="A381" s="238">
        <v>2212001193</v>
      </c>
      <c r="B381" s="239" t="s">
        <v>398</v>
      </c>
      <c r="C381" s="240" t="s">
        <v>8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9">
        <f t="shared" si="11"/>
        <v>0</v>
      </c>
    </row>
    <row r="382" spans="1:35" ht="15.75" customHeight="1">
      <c r="A382" s="238">
        <v>2212001194</v>
      </c>
      <c r="B382" s="271" t="s">
        <v>399</v>
      </c>
      <c r="C382" s="261" t="s">
        <v>384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9">
        <f t="shared" si="11"/>
        <v>0</v>
      </c>
    </row>
    <row r="383" spans="1:35" ht="15.75" customHeight="1">
      <c r="A383" s="238">
        <v>2212003016</v>
      </c>
      <c r="B383" s="239" t="s">
        <v>400</v>
      </c>
      <c r="C383" s="240" t="s">
        <v>171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9">
        <f t="shared" si="11"/>
        <v>0</v>
      </c>
    </row>
    <row r="384" spans="1:35" ht="15.75" customHeight="1">
      <c r="A384" s="274">
        <v>2212008048</v>
      </c>
      <c r="B384" s="275" t="s">
        <v>401</v>
      </c>
      <c r="C384" s="276" t="s">
        <v>8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9">
        <f t="shared" si="11"/>
        <v>0</v>
      </c>
    </row>
    <row r="385" spans="1:35" ht="18.75" customHeight="1">
      <c r="A385" s="612" t="s">
        <v>402</v>
      </c>
      <c r="B385" s="606"/>
      <c r="C385" s="606"/>
      <c r="D385" s="277"/>
      <c r="E385" s="277"/>
      <c r="F385" s="277"/>
      <c r="G385" s="277"/>
      <c r="H385" s="277"/>
      <c r="I385" s="277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  <c r="AA385" s="277"/>
      <c r="AB385" s="277"/>
      <c r="AC385" s="277"/>
      <c r="AD385" s="277"/>
      <c r="AE385" s="277"/>
      <c r="AF385" s="277"/>
      <c r="AG385" s="277"/>
      <c r="AH385" s="278"/>
      <c r="AI385" s="279"/>
    </row>
    <row r="386" spans="1:35" ht="15.75" customHeight="1">
      <c r="A386" s="280">
        <v>2212001170</v>
      </c>
      <c r="B386" s="281" t="s">
        <v>403</v>
      </c>
      <c r="C386" s="282" t="s">
        <v>219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9">
        <f t="shared" ref="AI386:AI401" si="12">SUM(D386:AH386)</f>
        <v>0</v>
      </c>
    </row>
    <row r="387" spans="1:35" ht="15.75" customHeight="1">
      <c r="A387" s="283">
        <v>2212001181</v>
      </c>
      <c r="B387" s="284" t="s">
        <v>404</v>
      </c>
      <c r="C387" s="285" t="s">
        <v>6</v>
      </c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9">
        <f t="shared" si="12"/>
        <v>0</v>
      </c>
    </row>
    <row r="388" spans="1:35" ht="15.75" customHeight="1">
      <c r="A388" s="283">
        <v>2212004036</v>
      </c>
      <c r="B388" s="284" t="s">
        <v>405</v>
      </c>
      <c r="C388" s="285" t="s">
        <v>296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9">
        <f t="shared" si="12"/>
        <v>0</v>
      </c>
    </row>
    <row r="389" spans="1:35" ht="15.75" customHeight="1">
      <c r="A389" s="283">
        <v>2212005043</v>
      </c>
      <c r="B389" s="284" t="s">
        <v>406</v>
      </c>
      <c r="C389" s="285" t="s">
        <v>8</v>
      </c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9">
        <f t="shared" si="12"/>
        <v>0</v>
      </c>
    </row>
    <row r="390" spans="1:35" ht="15.75" customHeight="1">
      <c r="A390" s="283">
        <v>2212012004</v>
      </c>
      <c r="B390" s="284" t="s">
        <v>407</v>
      </c>
      <c r="C390" s="285" t="s">
        <v>267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9">
        <f t="shared" si="12"/>
        <v>0</v>
      </c>
    </row>
    <row r="391" spans="1:35" ht="15.75" customHeight="1">
      <c r="A391" s="283">
        <v>2212012005</v>
      </c>
      <c r="B391" s="284" t="s">
        <v>408</v>
      </c>
      <c r="C391" s="285" t="s">
        <v>296</v>
      </c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9">
        <f t="shared" si="12"/>
        <v>0</v>
      </c>
    </row>
    <row r="392" spans="1:35" ht="15.75" customHeight="1">
      <c r="A392" s="283">
        <v>2212012007</v>
      </c>
      <c r="B392" s="53" t="s">
        <v>409</v>
      </c>
      <c r="C392" s="285" t="s">
        <v>296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9">
        <f t="shared" si="12"/>
        <v>0</v>
      </c>
    </row>
    <row r="393" spans="1:35" ht="15.75" customHeight="1">
      <c r="A393" s="283">
        <v>2212012008</v>
      </c>
      <c r="B393" s="284" t="s">
        <v>410</v>
      </c>
      <c r="C393" s="285" t="s">
        <v>296</v>
      </c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9">
        <f t="shared" si="12"/>
        <v>0</v>
      </c>
    </row>
    <row r="394" spans="1:35" ht="15.75" customHeight="1">
      <c r="A394" s="283">
        <v>2212012009</v>
      </c>
      <c r="B394" s="284" t="s">
        <v>411</v>
      </c>
      <c r="C394" s="285" t="s">
        <v>296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9">
        <f t="shared" si="12"/>
        <v>0</v>
      </c>
    </row>
    <row r="395" spans="1:35" ht="15.75" customHeight="1">
      <c r="A395" s="283">
        <v>2212012010</v>
      </c>
      <c r="B395" s="284" t="s">
        <v>412</v>
      </c>
      <c r="C395" s="285" t="s">
        <v>296</v>
      </c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9">
        <f t="shared" si="12"/>
        <v>0</v>
      </c>
    </row>
    <row r="396" spans="1:35" ht="15.75" customHeight="1">
      <c r="A396" s="283">
        <v>2212012011</v>
      </c>
      <c r="B396" s="284" t="s">
        <v>413</v>
      </c>
      <c r="C396" s="285" t="s">
        <v>296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9">
        <f t="shared" si="12"/>
        <v>0</v>
      </c>
    </row>
    <row r="397" spans="1:35" ht="15.75" customHeight="1">
      <c r="A397" s="283">
        <v>2212012012</v>
      </c>
      <c r="B397" s="284" t="s">
        <v>414</v>
      </c>
      <c r="C397" s="285" t="s">
        <v>296</v>
      </c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9">
        <f t="shared" si="12"/>
        <v>0</v>
      </c>
    </row>
    <row r="398" spans="1:35" ht="15.75" customHeight="1">
      <c r="A398" s="283">
        <v>2212012013</v>
      </c>
      <c r="B398" s="284" t="s">
        <v>415</v>
      </c>
      <c r="C398" s="285" t="s">
        <v>296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9">
        <f t="shared" si="12"/>
        <v>0</v>
      </c>
    </row>
    <row r="399" spans="1:35" ht="15.75" customHeight="1">
      <c r="A399" s="283">
        <v>2212012014</v>
      </c>
      <c r="B399" s="53" t="s">
        <v>416</v>
      </c>
      <c r="C399" s="285" t="s">
        <v>296</v>
      </c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9">
        <f t="shared" si="12"/>
        <v>0</v>
      </c>
    </row>
    <row r="400" spans="1:35" ht="15.75" customHeight="1">
      <c r="A400" s="283">
        <v>2212012015</v>
      </c>
      <c r="B400" s="284" t="s">
        <v>417</v>
      </c>
      <c r="C400" s="285" t="s">
        <v>296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9">
        <f t="shared" si="12"/>
        <v>0</v>
      </c>
    </row>
    <row r="401" spans="1:35" ht="15.75" customHeight="1">
      <c r="A401" s="286">
        <v>2212012016</v>
      </c>
      <c r="B401" s="287" t="s">
        <v>418</v>
      </c>
      <c r="C401" s="288" t="s">
        <v>296</v>
      </c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  <c r="AC401" s="289"/>
      <c r="AD401" s="289"/>
      <c r="AE401" s="289"/>
      <c r="AF401" s="289"/>
      <c r="AG401" s="289"/>
      <c r="AH401" s="289"/>
      <c r="AI401" s="290">
        <f t="shared" si="12"/>
        <v>0</v>
      </c>
    </row>
    <row r="402" spans="1:35" ht="15.75" customHeight="1">
      <c r="A402" s="291"/>
      <c r="B402" s="292"/>
      <c r="C402" s="293"/>
      <c r="D402" s="294"/>
      <c r="E402" s="294"/>
      <c r="F402" s="294"/>
      <c r="G402" s="294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  <c r="AC402" s="294"/>
      <c r="AD402" s="294"/>
      <c r="AE402" s="294"/>
      <c r="AF402" s="294"/>
      <c r="AG402" s="294"/>
      <c r="AH402" s="294"/>
      <c r="AI402" s="295"/>
    </row>
    <row r="403" spans="1:35" ht="15.75" customHeight="1">
      <c r="A403" s="291"/>
      <c r="B403" s="296"/>
      <c r="C403" s="297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  <c r="AH403" s="298"/>
      <c r="AI403" s="299"/>
    </row>
    <row r="404" spans="1:35" ht="15.75" customHeight="1"/>
    <row r="405" spans="1:35" ht="15.75" customHeight="1"/>
    <row r="406" spans="1:35" ht="15.75" customHeight="1"/>
    <row r="407" spans="1:35" ht="15.75" customHeight="1"/>
    <row r="408" spans="1:35" ht="15.75" customHeight="1"/>
    <row r="409" spans="1:35" ht="15.75" customHeight="1"/>
    <row r="410" spans="1:35" ht="15.75" customHeight="1"/>
    <row r="411" spans="1:35" ht="15.75" customHeight="1"/>
    <row r="412" spans="1:35" ht="15.75" customHeight="1"/>
    <row r="413" spans="1:35" ht="15.75" customHeight="1"/>
    <row r="414" spans="1:35" ht="15.75" customHeight="1"/>
    <row r="415" spans="1:35" ht="15.75" customHeight="1"/>
    <row r="416" spans="1:35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8">
    <mergeCell ref="A262:C262"/>
    <mergeCell ref="A281:C281"/>
    <mergeCell ref="A385:C385"/>
    <mergeCell ref="A3:C3"/>
    <mergeCell ref="A35:C35"/>
    <mergeCell ref="A90:C90"/>
    <mergeCell ref="A112:C112"/>
    <mergeCell ref="A132:C132"/>
    <mergeCell ref="A142:C142"/>
    <mergeCell ref="A153:C153"/>
    <mergeCell ref="F1:F2"/>
    <mergeCell ref="G1:G2"/>
    <mergeCell ref="A164:C164"/>
    <mergeCell ref="A190:C190"/>
    <mergeCell ref="A225:C225"/>
    <mergeCell ref="A1:A2"/>
    <mergeCell ref="B1:B2"/>
    <mergeCell ref="C1:C2"/>
    <mergeCell ref="D1:D2"/>
    <mergeCell ref="E1:E2"/>
    <mergeCell ref="AI1:AI2"/>
    <mergeCell ref="V1:V2"/>
    <mergeCell ref="W1:W2"/>
    <mergeCell ref="X1:X2"/>
    <mergeCell ref="Y1:Y2"/>
    <mergeCell ref="Z1:Z2"/>
    <mergeCell ref="AA1:AA2"/>
    <mergeCell ref="AB1:AB2"/>
    <mergeCell ref="AD1:AD2"/>
    <mergeCell ref="AE1:AE2"/>
    <mergeCell ref="AF1:AF2"/>
    <mergeCell ref="AG1:AG2"/>
    <mergeCell ref="AH1:AH2"/>
    <mergeCell ref="R1:R2"/>
    <mergeCell ref="S1:S2"/>
    <mergeCell ref="T1:T2"/>
    <mergeCell ref="U1:U2"/>
    <mergeCell ref="AC1:AC2"/>
    <mergeCell ref="M1:M2"/>
    <mergeCell ref="N1:N2"/>
    <mergeCell ref="O1:O2"/>
    <mergeCell ref="P1:P2"/>
    <mergeCell ref="Q1:Q2"/>
    <mergeCell ref="H1:H2"/>
    <mergeCell ref="I1:I2"/>
    <mergeCell ref="J1:J2"/>
    <mergeCell ref="K1:K2"/>
    <mergeCell ref="L1:L2"/>
  </mergeCells>
  <conditionalFormatting sqref="D4:AH34">
    <cfRule type="cellIs" dxfId="0" priority="1" operator="greaterThan">
      <formula>0</formula>
    </cfRule>
  </conditionalFormatting>
  <printOptions horizontalCentered="1" verticalCentered="1" gridLines="1"/>
  <pageMargins left="0.25049701789264411" right="0.13916500994035785" top="0" bottom="0" header="0" footer="0"/>
  <pageSetup paperSize="5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AI9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/>
  <cols>
    <col min="1" max="1" width="10.5703125" customWidth="1"/>
    <col min="2" max="2" width="38.140625" customWidth="1"/>
    <col min="3" max="3" width="8" customWidth="1"/>
    <col min="4" max="34" width="3.85546875" customWidth="1"/>
    <col min="35" max="35" width="6.42578125" customWidth="1"/>
  </cols>
  <sheetData>
    <row r="1" spans="1:35" ht="15.75" customHeight="1">
      <c r="A1" s="600" t="s">
        <v>2</v>
      </c>
      <c r="B1" s="600" t="s">
        <v>0</v>
      </c>
      <c r="C1" s="621" t="s">
        <v>1</v>
      </c>
      <c r="D1" s="600">
        <v>1</v>
      </c>
      <c r="E1" s="600">
        <v>2</v>
      </c>
      <c r="F1" s="600">
        <v>3</v>
      </c>
      <c r="G1" s="600">
        <v>4</v>
      </c>
      <c r="H1" s="600">
        <v>5</v>
      </c>
      <c r="I1" s="600">
        <v>6</v>
      </c>
      <c r="J1" s="600">
        <v>7</v>
      </c>
      <c r="K1" s="600">
        <v>8</v>
      </c>
      <c r="L1" s="600">
        <v>9</v>
      </c>
      <c r="M1" s="600">
        <v>10</v>
      </c>
      <c r="N1" s="600">
        <v>11</v>
      </c>
      <c r="O1" s="600">
        <v>12</v>
      </c>
      <c r="P1" s="600">
        <v>13</v>
      </c>
      <c r="Q1" s="600">
        <v>14</v>
      </c>
      <c r="R1" s="600">
        <v>15</v>
      </c>
      <c r="S1" s="600">
        <v>16</v>
      </c>
      <c r="T1" s="600">
        <v>17</v>
      </c>
      <c r="U1" s="600">
        <v>18</v>
      </c>
      <c r="V1" s="600">
        <v>19</v>
      </c>
      <c r="W1" s="600">
        <v>20</v>
      </c>
      <c r="X1" s="600">
        <v>21</v>
      </c>
      <c r="Y1" s="600">
        <v>22</v>
      </c>
      <c r="Z1" s="600">
        <v>23</v>
      </c>
      <c r="AA1" s="600">
        <v>24</v>
      </c>
      <c r="AB1" s="600">
        <v>25</v>
      </c>
      <c r="AC1" s="600">
        <v>26</v>
      </c>
      <c r="AD1" s="600">
        <v>27</v>
      </c>
      <c r="AE1" s="600">
        <v>28</v>
      </c>
      <c r="AF1" s="600">
        <v>29</v>
      </c>
      <c r="AG1" s="600">
        <v>30</v>
      </c>
      <c r="AH1" s="600">
        <v>31</v>
      </c>
      <c r="AI1" s="622" t="s">
        <v>3</v>
      </c>
    </row>
    <row r="2" spans="1:35" ht="18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</row>
    <row r="3" spans="1:35" ht="18.75" customHeight="1">
      <c r="A3" s="627" t="s">
        <v>4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14"/>
    </row>
    <row r="4" spans="1:35" ht="15.75" customHeight="1">
      <c r="A4" s="3">
        <v>2212004001</v>
      </c>
      <c r="B4" s="4" t="s">
        <v>5</v>
      </c>
      <c r="C4" s="15" t="s">
        <v>6</v>
      </c>
      <c r="D4" s="16">
        <v>0</v>
      </c>
      <c r="E4" s="17">
        <v>0</v>
      </c>
      <c r="F4" s="17">
        <v>0</v>
      </c>
      <c r="G4" s="16">
        <v>0</v>
      </c>
      <c r="H4" s="17">
        <v>0</v>
      </c>
      <c r="I4" s="17">
        <v>0</v>
      </c>
      <c r="J4" s="16">
        <v>0</v>
      </c>
      <c r="K4" s="17">
        <v>0</v>
      </c>
      <c r="L4" s="17">
        <v>0</v>
      </c>
      <c r="M4" s="16">
        <v>0</v>
      </c>
      <c r="N4" s="17">
        <v>0</v>
      </c>
      <c r="O4" s="17">
        <v>0</v>
      </c>
      <c r="P4" s="16">
        <v>0</v>
      </c>
      <c r="Q4" s="17">
        <v>0</v>
      </c>
      <c r="R4" s="18">
        <v>0</v>
      </c>
      <c r="S4" s="19">
        <v>0</v>
      </c>
      <c r="T4" s="20">
        <v>0</v>
      </c>
      <c r="U4" s="20">
        <v>0</v>
      </c>
      <c r="V4" s="22">
        <v>0</v>
      </c>
      <c r="W4" s="20">
        <v>0</v>
      </c>
      <c r="X4" s="20">
        <v>0</v>
      </c>
      <c r="Y4" s="22">
        <v>0</v>
      </c>
      <c r="Z4" s="20">
        <v>0</v>
      </c>
      <c r="AA4" s="20">
        <v>0</v>
      </c>
      <c r="AB4" s="22">
        <v>0</v>
      </c>
      <c r="AC4" s="20">
        <v>0</v>
      </c>
      <c r="AD4" s="20">
        <v>0</v>
      </c>
      <c r="AE4" s="22">
        <v>0</v>
      </c>
      <c r="AF4" s="20">
        <v>0</v>
      </c>
      <c r="AG4" s="20">
        <v>0</v>
      </c>
      <c r="AH4" s="20">
        <v>0</v>
      </c>
      <c r="AI4" s="24">
        <f t="shared" ref="AI4:AI34" si="0">SUM(D4:AH4)</f>
        <v>0</v>
      </c>
    </row>
    <row r="5" spans="1:35" ht="15.75" customHeight="1">
      <c r="A5" s="10">
        <v>2212004002</v>
      </c>
      <c r="B5" s="11" t="s">
        <v>7</v>
      </c>
      <c r="C5" s="26" t="s">
        <v>8</v>
      </c>
      <c r="D5" s="27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9">
        <v>0</v>
      </c>
      <c r="S5" s="30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4">
        <f t="shared" si="0"/>
        <v>0</v>
      </c>
    </row>
    <row r="6" spans="1:35" ht="15.75" customHeight="1">
      <c r="A6" s="10">
        <v>2212004003</v>
      </c>
      <c r="B6" s="11" t="s">
        <v>9</v>
      </c>
      <c r="C6" s="26" t="s">
        <v>6</v>
      </c>
      <c r="D6" s="27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9">
        <v>0</v>
      </c>
      <c r="S6" s="30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4">
        <f t="shared" si="0"/>
        <v>0</v>
      </c>
    </row>
    <row r="7" spans="1:35" ht="15.75" customHeight="1">
      <c r="A7" s="10">
        <v>2212004004</v>
      </c>
      <c r="B7" s="11" t="s">
        <v>10</v>
      </c>
      <c r="C7" s="26" t="s">
        <v>6</v>
      </c>
      <c r="D7" s="27">
        <v>0</v>
      </c>
      <c r="E7" s="28">
        <v>30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30</v>
      </c>
      <c r="Q7" s="28">
        <v>0</v>
      </c>
      <c r="R7" s="29">
        <v>0</v>
      </c>
      <c r="S7" s="30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30</v>
      </c>
      <c r="AD7" s="28">
        <v>0</v>
      </c>
      <c r="AE7" s="28">
        <v>30</v>
      </c>
      <c r="AF7" s="28">
        <v>0</v>
      </c>
      <c r="AG7" s="28">
        <v>0</v>
      </c>
      <c r="AH7" s="28">
        <v>0</v>
      </c>
      <c r="AI7" s="24">
        <f t="shared" si="0"/>
        <v>120</v>
      </c>
    </row>
    <row r="8" spans="1:35" ht="15.75" customHeight="1">
      <c r="A8" s="10">
        <v>2212004005</v>
      </c>
      <c r="B8" s="11" t="s">
        <v>11</v>
      </c>
      <c r="C8" s="26" t="s">
        <v>6</v>
      </c>
      <c r="D8" s="31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4">
        <v>0</v>
      </c>
      <c r="S8" s="35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24">
        <f t="shared" si="0"/>
        <v>0</v>
      </c>
    </row>
    <row r="9" spans="1:35" ht="15.75" customHeight="1">
      <c r="A9" s="10">
        <v>2212004006</v>
      </c>
      <c r="B9" s="11" t="s">
        <v>12</v>
      </c>
      <c r="C9" s="26" t="s">
        <v>6</v>
      </c>
      <c r="D9" s="27">
        <v>0</v>
      </c>
      <c r="E9" s="28">
        <v>30</v>
      </c>
      <c r="F9" s="28">
        <v>0</v>
      </c>
      <c r="G9" s="28">
        <v>0</v>
      </c>
      <c r="H9" s="28">
        <v>30</v>
      </c>
      <c r="I9" s="28">
        <v>0</v>
      </c>
      <c r="J9" s="28">
        <v>0</v>
      </c>
      <c r="K9" s="28">
        <v>0</v>
      </c>
      <c r="L9" s="28">
        <v>30</v>
      </c>
      <c r="M9" s="28">
        <v>0</v>
      </c>
      <c r="N9" s="28">
        <v>0</v>
      </c>
      <c r="O9" s="28">
        <v>0</v>
      </c>
      <c r="P9" s="28">
        <v>30</v>
      </c>
      <c r="Q9" s="28">
        <v>0</v>
      </c>
      <c r="R9" s="29">
        <v>0</v>
      </c>
      <c r="S9" s="30">
        <v>0</v>
      </c>
      <c r="T9" s="28">
        <v>0</v>
      </c>
      <c r="U9" s="28">
        <v>0</v>
      </c>
      <c r="V9" s="28">
        <v>0</v>
      </c>
      <c r="W9" s="28">
        <v>30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30</v>
      </c>
      <c r="AD9" s="28">
        <v>30</v>
      </c>
      <c r="AE9" s="28">
        <v>30</v>
      </c>
      <c r="AF9" s="28">
        <v>0</v>
      </c>
      <c r="AG9" s="28">
        <v>0</v>
      </c>
      <c r="AH9" s="28">
        <v>0</v>
      </c>
      <c r="AI9" s="24">
        <f t="shared" si="0"/>
        <v>240</v>
      </c>
    </row>
    <row r="10" spans="1:35" ht="15.75" customHeight="1">
      <c r="A10" s="10">
        <v>2212004007</v>
      </c>
      <c r="B10" s="11" t="s">
        <v>13</v>
      </c>
      <c r="C10" s="26" t="s">
        <v>6</v>
      </c>
      <c r="D10" s="31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4">
        <v>0</v>
      </c>
      <c r="S10" s="35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24">
        <f t="shared" si="0"/>
        <v>0</v>
      </c>
    </row>
    <row r="11" spans="1:35" ht="15.75" customHeight="1">
      <c r="A11" s="10">
        <v>2212004008</v>
      </c>
      <c r="B11" s="11" t="s">
        <v>14</v>
      </c>
      <c r="C11" s="26" t="s">
        <v>6</v>
      </c>
      <c r="D11" s="27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9">
        <v>0</v>
      </c>
      <c r="S11" s="30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4">
        <f t="shared" si="0"/>
        <v>0</v>
      </c>
    </row>
    <row r="12" spans="1:35" ht="15.75" customHeight="1">
      <c r="A12" s="10">
        <v>2212004009</v>
      </c>
      <c r="B12" s="11" t="s">
        <v>15</v>
      </c>
      <c r="C12" s="26" t="s">
        <v>6</v>
      </c>
      <c r="D12" s="31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4">
        <v>0</v>
      </c>
      <c r="S12" s="35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32">
        <v>0</v>
      </c>
      <c r="AI12" s="24">
        <f t="shared" si="0"/>
        <v>0</v>
      </c>
    </row>
    <row r="13" spans="1:35" ht="15.75" customHeight="1">
      <c r="A13" s="10">
        <v>2212004011</v>
      </c>
      <c r="B13" s="11" t="s">
        <v>16</v>
      </c>
      <c r="C13" s="26" t="s">
        <v>6</v>
      </c>
      <c r="D13" s="27">
        <v>23</v>
      </c>
      <c r="E13" s="28">
        <v>8</v>
      </c>
      <c r="F13" s="28">
        <v>0</v>
      </c>
      <c r="G13" s="28">
        <v>0</v>
      </c>
      <c r="H13" s="28">
        <v>15</v>
      </c>
      <c r="I13" s="28">
        <v>0</v>
      </c>
      <c r="J13" s="28">
        <v>0</v>
      </c>
      <c r="K13" s="28">
        <v>45</v>
      </c>
      <c r="L13" s="28">
        <v>15</v>
      </c>
      <c r="M13" s="28">
        <v>0</v>
      </c>
      <c r="N13" s="28">
        <v>0</v>
      </c>
      <c r="O13" s="28">
        <v>0</v>
      </c>
      <c r="P13" s="28">
        <v>8</v>
      </c>
      <c r="Q13" s="28">
        <v>45</v>
      </c>
      <c r="R13" s="29">
        <v>36</v>
      </c>
      <c r="S13" s="30">
        <v>23</v>
      </c>
      <c r="T13" s="28">
        <v>0</v>
      </c>
      <c r="U13" s="28">
        <v>0</v>
      </c>
      <c r="V13" s="28">
        <v>45</v>
      </c>
      <c r="W13" s="28">
        <v>15</v>
      </c>
      <c r="X13" s="28">
        <v>0</v>
      </c>
      <c r="Y13" s="28">
        <v>0</v>
      </c>
      <c r="Z13" s="28">
        <v>45</v>
      </c>
      <c r="AA13" s="28">
        <v>0</v>
      </c>
      <c r="AB13" s="28">
        <v>0</v>
      </c>
      <c r="AC13" s="28">
        <v>8</v>
      </c>
      <c r="AD13" s="28">
        <v>0</v>
      </c>
      <c r="AE13" s="28">
        <v>8</v>
      </c>
      <c r="AF13" s="28">
        <v>45</v>
      </c>
      <c r="AG13" s="28">
        <v>36</v>
      </c>
      <c r="AH13" s="28">
        <v>0</v>
      </c>
      <c r="AI13" s="24">
        <f t="shared" si="0"/>
        <v>420</v>
      </c>
    </row>
    <row r="14" spans="1:35" ht="15.75" customHeight="1">
      <c r="A14" s="10">
        <v>2212004012</v>
      </c>
      <c r="B14" s="11" t="s">
        <v>17</v>
      </c>
      <c r="C14" s="26" t="s">
        <v>6</v>
      </c>
      <c r="D14" s="31">
        <v>15</v>
      </c>
      <c r="E14" s="32">
        <v>15</v>
      </c>
      <c r="F14" s="32">
        <v>0</v>
      </c>
      <c r="G14" s="32">
        <v>0</v>
      </c>
      <c r="H14" s="32">
        <v>15</v>
      </c>
      <c r="I14" s="32">
        <v>60</v>
      </c>
      <c r="J14" s="32">
        <v>60</v>
      </c>
      <c r="K14" s="32">
        <v>15</v>
      </c>
      <c r="L14" s="32">
        <v>15</v>
      </c>
      <c r="M14" s="32">
        <v>0</v>
      </c>
      <c r="N14" s="32">
        <v>0</v>
      </c>
      <c r="O14" s="32">
        <v>0</v>
      </c>
      <c r="P14" s="32">
        <v>30</v>
      </c>
      <c r="Q14" s="32">
        <v>15</v>
      </c>
      <c r="R14" s="34">
        <v>75</v>
      </c>
      <c r="S14" s="35">
        <v>15</v>
      </c>
      <c r="T14" s="32">
        <v>0</v>
      </c>
      <c r="U14" s="32">
        <v>0</v>
      </c>
      <c r="V14" s="32">
        <v>15</v>
      </c>
      <c r="W14" s="32">
        <v>15</v>
      </c>
      <c r="X14" s="32">
        <v>60</v>
      </c>
      <c r="Y14" s="32">
        <v>60</v>
      </c>
      <c r="Z14" s="32">
        <v>15</v>
      </c>
      <c r="AA14" s="32">
        <v>0</v>
      </c>
      <c r="AB14" s="32">
        <v>0</v>
      </c>
      <c r="AC14" s="32">
        <v>30</v>
      </c>
      <c r="AD14" s="32">
        <v>60</v>
      </c>
      <c r="AE14" s="32">
        <v>30</v>
      </c>
      <c r="AF14" s="32">
        <v>15</v>
      </c>
      <c r="AG14" s="32">
        <v>75</v>
      </c>
      <c r="AH14" s="32">
        <v>0</v>
      </c>
      <c r="AI14" s="24">
        <f t="shared" si="0"/>
        <v>705</v>
      </c>
    </row>
    <row r="15" spans="1:35" ht="15.75" customHeight="1">
      <c r="A15" s="10">
        <v>2212004013</v>
      </c>
      <c r="B15" s="11" t="s">
        <v>18</v>
      </c>
      <c r="C15" s="26" t="s">
        <v>6</v>
      </c>
      <c r="D15" s="27">
        <v>50</v>
      </c>
      <c r="E15" s="28">
        <v>0</v>
      </c>
      <c r="F15" s="28">
        <v>0</v>
      </c>
      <c r="G15" s="28">
        <v>0</v>
      </c>
      <c r="H15" s="28">
        <v>50</v>
      </c>
      <c r="I15" s="28">
        <v>0</v>
      </c>
      <c r="J15" s="28">
        <v>0</v>
      </c>
      <c r="K15" s="28">
        <v>0</v>
      </c>
      <c r="L15" s="28">
        <v>50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9">
        <v>0</v>
      </c>
      <c r="S15" s="30">
        <v>50</v>
      </c>
      <c r="T15" s="28">
        <v>0</v>
      </c>
      <c r="U15" s="28">
        <v>0</v>
      </c>
      <c r="V15" s="28">
        <v>0</v>
      </c>
      <c r="W15" s="28">
        <v>50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4">
        <f t="shared" si="0"/>
        <v>250</v>
      </c>
    </row>
    <row r="16" spans="1:35" ht="15.75" customHeight="1">
      <c r="A16" s="10">
        <v>2212004014</v>
      </c>
      <c r="B16" s="11" t="s">
        <v>19</v>
      </c>
      <c r="C16" s="26" t="s">
        <v>6</v>
      </c>
      <c r="D16" s="31">
        <v>0</v>
      </c>
      <c r="E16" s="32">
        <v>0</v>
      </c>
      <c r="F16" s="32">
        <v>0</v>
      </c>
      <c r="G16" s="32">
        <v>0</v>
      </c>
      <c r="H16" s="32">
        <v>35</v>
      </c>
      <c r="I16" s="32">
        <v>0</v>
      </c>
      <c r="J16" s="32">
        <v>0</v>
      </c>
      <c r="K16" s="32">
        <v>0</v>
      </c>
      <c r="L16" s="32">
        <v>35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4">
        <v>35</v>
      </c>
      <c r="S16" s="35">
        <v>0</v>
      </c>
      <c r="T16" s="32">
        <v>0</v>
      </c>
      <c r="U16" s="32">
        <v>0</v>
      </c>
      <c r="V16" s="32">
        <v>0</v>
      </c>
      <c r="W16" s="32">
        <v>35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35</v>
      </c>
      <c r="AE16" s="32">
        <v>0</v>
      </c>
      <c r="AF16" s="32">
        <v>0</v>
      </c>
      <c r="AG16" s="32">
        <v>35</v>
      </c>
      <c r="AH16" s="32">
        <v>0</v>
      </c>
      <c r="AI16" s="24">
        <f t="shared" si="0"/>
        <v>210</v>
      </c>
    </row>
    <row r="17" spans="1:35" ht="15.75" customHeight="1">
      <c r="A17" s="10">
        <v>2212004015</v>
      </c>
      <c r="B17" s="11" t="s">
        <v>20</v>
      </c>
      <c r="C17" s="26" t="s">
        <v>6</v>
      </c>
      <c r="D17" s="27">
        <v>44</v>
      </c>
      <c r="E17" s="28">
        <v>57</v>
      </c>
      <c r="F17" s="28">
        <v>0</v>
      </c>
      <c r="G17" s="28">
        <v>0</v>
      </c>
      <c r="H17" s="28">
        <v>44</v>
      </c>
      <c r="I17" s="28">
        <v>52</v>
      </c>
      <c r="J17" s="28">
        <v>52</v>
      </c>
      <c r="K17" s="28">
        <v>44</v>
      </c>
      <c r="L17" s="28">
        <v>44</v>
      </c>
      <c r="M17" s="28">
        <v>0</v>
      </c>
      <c r="N17" s="28">
        <v>0</v>
      </c>
      <c r="O17" s="28">
        <v>0</v>
      </c>
      <c r="P17" s="28">
        <v>57</v>
      </c>
      <c r="Q17" s="28">
        <v>44</v>
      </c>
      <c r="R17" s="29">
        <v>82</v>
      </c>
      <c r="S17" s="30">
        <v>44</v>
      </c>
      <c r="T17" s="28">
        <v>0</v>
      </c>
      <c r="U17" s="28">
        <v>0</v>
      </c>
      <c r="V17" s="28">
        <v>44</v>
      </c>
      <c r="W17" s="28">
        <v>44</v>
      </c>
      <c r="X17" s="28">
        <v>52</v>
      </c>
      <c r="Y17" s="28">
        <v>52</v>
      </c>
      <c r="Z17" s="28">
        <v>44</v>
      </c>
      <c r="AA17" s="28">
        <v>0</v>
      </c>
      <c r="AB17" s="28">
        <v>0</v>
      </c>
      <c r="AC17" s="28">
        <v>57</v>
      </c>
      <c r="AD17" s="28">
        <v>52</v>
      </c>
      <c r="AE17" s="28">
        <v>57</v>
      </c>
      <c r="AF17" s="28">
        <v>44</v>
      </c>
      <c r="AG17" s="28">
        <v>82</v>
      </c>
      <c r="AH17" s="28">
        <v>0</v>
      </c>
      <c r="AI17" s="24">
        <f t="shared" si="0"/>
        <v>1092</v>
      </c>
    </row>
    <row r="18" spans="1:35" ht="15.75" customHeight="1">
      <c r="A18" s="10">
        <v>2212004016</v>
      </c>
      <c r="B18" s="11" t="s">
        <v>21</v>
      </c>
      <c r="C18" s="26" t="s">
        <v>6</v>
      </c>
      <c r="D18" s="31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4">
        <v>0</v>
      </c>
      <c r="S18" s="35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24">
        <f t="shared" si="0"/>
        <v>0</v>
      </c>
    </row>
    <row r="19" spans="1:35" ht="15.75" customHeight="1">
      <c r="A19" s="10">
        <v>2212004017</v>
      </c>
      <c r="B19" s="11" t="s">
        <v>22</v>
      </c>
      <c r="C19" s="26" t="s">
        <v>6</v>
      </c>
      <c r="D19" s="27">
        <v>30</v>
      </c>
      <c r="E19" s="28">
        <v>30</v>
      </c>
      <c r="F19" s="28">
        <v>0</v>
      </c>
      <c r="G19" s="28">
        <v>0</v>
      </c>
      <c r="H19" s="28">
        <v>45</v>
      </c>
      <c r="I19" s="28">
        <v>45</v>
      </c>
      <c r="J19" s="28">
        <v>45</v>
      </c>
      <c r="K19" s="28">
        <v>60</v>
      </c>
      <c r="L19" s="28">
        <v>45</v>
      </c>
      <c r="M19" s="28">
        <v>0</v>
      </c>
      <c r="N19" s="28">
        <v>0</v>
      </c>
      <c r="O19" s="28">
        <v>0</v>
      </c>
      <c r="P19" s="28">
        <v>30</v>
      </c>
      <c r="Q19" s="28">
        <v>60</v>
      </c>
      <c r="R19" s="29">
        <v>30</v>
      </c>
      <c r="S19" s="30">
        <v>30</v>
      </c>
      <c r="T19" s="28">
        <v>0</v>
      </c>
      <c r="U19" s="28">
        <v>0</v>
      </c>
      <c r="V19" s="28">
        <v>60</v>
      </c>
      <c r="W19" s="28">
        <v>45</v>
      </c>
      <c r="X19" s="28">
        <v>45</v>
      </c>
      <c r="Y19" s="28">
        <v>45</v>
      </c>
      <c r="Z19" s="28">
        <v>60</v>
      </c>
      <c r="AA19" s="28">
        <v>0</v>
      </c>
      <c r="AB19" s="28">
        <v>0</v>
      </c>
      <c r="AC19" s="28">
        <v>15</v>
      </c>
      <c r="AD19" s="28">
        <v>60</v>
      </c>
      <c r="AE19" s="28">
        <v>30</v>
      </c>
      <c r="AF19" s="28">
        <v>60</v>
      </c>
      <c r="AG19" s="28">
        <v>30</v>
      </c>
      <c r="AH19" s="28">
        <v>0</v>
      </c>
      <c r="AI19" s="24">
        <f t="shared" si="0"/>
        <v>900</v>
      </c>
    </row>
    <row r="20" spans="1:35" ht="15.75" customHeight="1">
      <c r="A20" s="10">
        <v>2212004018</v>
      </c>
      <c r="B20" s="11" t="s">
        <v>23</v>
      </c>
      <c r="C20" s="26" t="s">
        <v>6</v>
      </c>
      <c r="D20" s="31">
        <v>86</v>
      </c>
      <c r="E20" s="32">
        <v>52</v>
      </c>
      <c r="F20" s="32">
        <v>0</v>
      </c>
      <c r="G20" s="32">
        <v>0</v>
      </c>
      <c r="H20" s="32">
        <v>60</v>
      </c>
      <c r="I20" s="32">
        <v>26</v>
      </c>
      <c r="J20" s="32">
        <v>26</v>
      </c>
      <c r="K20" s="32">
        <v>0</v>
      </c>
      <c r="L20" s="32">
        <v>60</v>
      </c>
      <c r="M20" s="32">
        <v>0</v>
      </c>
      <c r="N20" s="32">
        <v>0</v>
      </c>
      <c r="O20" s="32">
        <v>0</v>
      </c>
      <c r="P20" s="32">
        <v>52</v>
      </c>
      <c r="Q20" s="32">
        <v>0</v>
      </c>
      <c r="R20" s="34">
        <v>0</v>
      </c>
      <c r="S20" s="35">
        <v>86</v>
      </c>
      <c r="T20" s="32">
        <v>0</v>
      </c>
      <c r="U20" s="32">
        <v>0</v>
      </c>
      <c r="V20" s="32">
        <v>0</v>
      </c>
      <c r="W20" s="32">
        <v>60</v>
      </c>
      <c r="X20" s="32">
        <v>26</v>
      </c>
      <c r="Y20" s="32">
        <v>26</v>
      </c>
      <c r="Z20" s="32">
        <v>0</v>
      </c>
      <c r="AA20" s="32">
        <v>0</v>
      </c>
      <c r="AB20" s="32">
        <v>0</v>
      </c>
      <c r="AC20" s="32">
        <v>52</v>
      </c>
      <c r="AD20" s="32">
        <v>0</v>
      </c>
      <c r="AE20" s="32">
        <v>52</v>
      </c>
      <c r="AF20" s="32">
        <v>0</v>
      </c>
      <c r="AG20" s="32">
        <v>0</v>
      </c>
      <c r="AH20" s="32">
        <v>0</v>
      </c>
      <c r="AI20" s="24">
        <f t="shared" si="0"/>
        <v>664</v>
      </c>
    </row>
    <row r="21" spans="1:35" ht="15.75" customHeight="1">
      <c r="A21" s="10">
        <v>2212004019</v>
      </c>
      <c r="B21" s="11" t="s">
        <v>24</v>
      </c>
      <c r="C21" s="26" t="s">
        <v>6</v>
      </c>
      <c r="D21" s="27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30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30</v>
      </c>
      <c r="R21" s="29">
        <v>0</v>
      </c>
      <c r="S21" s="30">
        <v>0</v>
      </c>
      <c r="T21" s="28">
        <v>0</v>
      </c>
      <c r="U21" s="28">
        <v>0</v>
      </c>
      <c r="V21" s="28">
        <v>30</v>
      </c>
      <c r="W21" s="28">
        <v>0</v>
      </c>
      <c r="X21" s="28">
        <v>0</v>
      </c>
      <c r="Y21" s="28">
        <v>0</v>
      </c>
      <c r="Z21" s="28">
        <v>30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30</v>
      </c>
      <c r="AG21" s="28">
        <v>0</v>
      </c>
      <c r="AH21" s="28">
        <v>0</v>
      </c>
      <c r="AI21" s="24">
        <f t="shared" si="0"/>
        <v>150</v>
      </c>
    </row>
    <row r="22" spans="1:35" ht="15.75" customHeight="1">
      <c r="A22" s="10">
        <v>2212004020</v>
      </c>
      <c r="B22" s="11" t="s">
        <v>25</v>
      </c>
      <c r="C22" s="26" t="s">
        <v>6</v>
      </c>
      <c r="D22" s="31">
        <v>80</v>
      </c>
      <c r="E22" s="32">
        <v>80</v>
      </c>
      <c r="F22" s="32">
        <v>0</v>
      </c>
      <c r="G22" s="32">
        <v>0</v>
      </c>
      <c r="H22" s="32">
        <v>37</v>
      </c>
      <c r="I22" s="32">
        <v>50</v>
      </c>
      <c r="J22" s="32">
        <v>50</v>
      </c>
      <c r="K22" s="32">
        <v>70</v>
      </c>
      <c r="L22" s="32">
        <v>37</v>
      </c>
      <c r="M22" s="32">
        <v>0</v>
      </c>
      <c r="N22" s="32">
        <v>0</v>
      </c>
      <c r="O22" s="32">
        <v>0</v>
      </c>
      <c r="P22" s="32">
        <v>80</v>
      </c>
      <c r="Q22" s="32">
        <v>70</v>
      </c>
      <c r="R22" s="34">
        <v>30</v>
      </c>
      <c r="S22" s="35">
        <v>80</v>
      </c>
      <c r="T22" s="32">
        <v>0</v>
      </c>
      <c r="U22" s="32">
        <v>0</v>
      </c>
      <c r="V22" s="32">
        <v>70</v>
      </c>
      <c r="W22" s="32">
        <v>37</v>
      </c>
      <c r="X22" s="32">
        <v>50</v>
      </c>
      <c r="Y22" s="32">
        <v>50</v>
      </c>
      <c r="Z22" s="32">
        <v>70</v>
      </c>
      <c r="AA22" s="32">
        <v>0</v>
      </c>
      <c r="AB22" s="32">
        <v>0</v>
      </c>
      <c r="AC22" s="32">
        <v>80</v>
      </c>
      <c r="AD22" s="32">
        <v>7</v>
      </c>
      <c r="AE22" s="32">
        <v>80</v>
      </c>
      <c r="AF22" s="32">
        <v>70</v>
      </c>
      <c r="AG22" s="32">
        <v>30</v>
      </c>
      <c r="AH22" s="32">
        <v>0</v>
      </c>
      <c r="AI22" s="24">
        <f t="shared" si="0"/>
        <v>1208</v>
      </c>
    </row>
    <row r="23" spans="1:35" ht="15.75" customHeight="1">
      <c r="A23" s="10">
        <v>2212004021</v>
      </c>
      <c r="B23" s="11" t="s">
        <v>26</v>
      </c>
      <c r="C23" s="26" t="s">
        <v>6</v>
      </c>
      <c r="D23" s="27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9">
        <v>0</v>
      </c>
      <c r="S23" s="30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4">
        <f t="shared" si="0"/>
        <v>0</v>
      </c>
    </row>
    <row r="24" spans="1:35" ht="15.75" customHeight="1">
      <c r="A24" s="10">
        <v>2212004022</v>
      </c>
      <c r="B24" s="11" t="s">
        <v>27</v>
      </c>
      <c r="C24" s="26" t="s">
        <v>6</v>
      </c>
      <c r="D24" s="31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4">
        <v>0</v>
      </c>
      <c r="S24" s="35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24">
        <f t="shared" si="0"/>
        <v>0</v>
      </c>
    </row>
    <row r="25" spans="1:35" ht="15.75" customHeight="1">
      <c r="A25" s="10">
        <v>2212004023</v>
      </c>
      <c r="B25" s="11" t="s">
        <v>28</v>
      </c>
      <c r="C25" s="26" t="s">
        <v>6</v>
      </c>
      <c r="D25" s="27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9">
        <v>0</v>
      </c>
      <c r="S25" s="30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4">
        <f t="shared" si="0"/>
        <v>0</v>
      </c>
    </row>
    <row r="26" spans="1:35" ht="15.75" customHeight="1">
      <c r="A26" s="10">
        <v>2212004025</v>
      </c>
      <c r="B26" s="11" t="s">
        <v>29</v>
      </c>
      <c r="C26" s="26" t="s">
        <v>6</v>
      </c>
      <c r="D26" s="31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4">
        <v>0</v>
      </c>
      <c r="S26" s="35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24">
        <f t="shared" si="0"/>
        <v>0</v>
      </c>
    </row>
    <row r="27" spans="1:35" ht="15.75" customHeight="1">
      <c r="A27" s="33">
        <v>2212004028</v>
      </c>
      <c r="B27" s="36" t="s">
        <v>30</v>
      </c>
      <c r="C27" s="26" t="s">
        <v>6</v>
      </c>
      <c r="D27" s="27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9">
        <v>0</v>
      </c>
      <c r="S27" s="30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4">
        <f t="shared" si="0"/>
        <v>0</v>
      </c>
    </row>
    <row r="28" spans="1:35" ht="15.75" customHeight="1">
      <c r="A28" s="10">
        <v>2212004029</v>
      </c>
      <c r="B28" s="11" t="s">
        <v>31</v>
      </c>
      <c r="C28" s="26" t="s">
        <v>6</v>
      </c>
      <c r="D28" s="31">
        <v>0</v>
      </c>
      <c r="E28" s="32">
        <v>0</v>
      </c>
      <c r="F28" s="32">
        <v>0</v>
      </c>
      <c r="G28" s="32">
        <v>0</v>
      </c>
      <c r="H28" s="32">
        <v>0</v>
      </c>
      <c r="I28" s="32">
        <v>27</v>
      </c>
      <c r="J28" s="32">
        <v>27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4">
        <v>0</v>
      </c>
      <c r="S28" s="35">
        <v>0</v>
      </c>
      <c r="T28" s="32">
        <v>0</v>
      </c>
      <c r="U28" s="32">
        <v>0</v>
      </c>
      <c r="V28" s="32">
        <v>0</v>
      </c>
      <c r="W28" s="32">
        <v>0</v>
      </c>
      <c r="X28" s="32">
        <v>27</v>
      </c>
      <c r="Y28" s="32">
        <v>27</v>
      </c>
      <c r="Z28" s="32">
        <v>0</v>
      </c>
      <c r="AA28" s="32">
        <v>0</v>
      </c>
      <c r="AB28" s="32">
        <v>0</v>
      </c>
      <c r="AC28" s="32">
        <v>0</v>
      </c>
      <c r="AD28" s="32">
        <v>27</v>
      </c>
      <c r="AE28" s="32">
        <v>0</v>
      </c>
      <c r="AF28" s="32">
        <v>0</v>
      </c>
      <c r="AG28" s="32">
        <v>0</v>
      </c>
      <c r="AH28" s="32">
        <v>0</v>
      </c>
      <c r="AI28" s="24">
        <f t="shared" si="0"/>
        <v>135</v>
      </c>
    </row>
    <row r="29" spans="1:35" ht="15.75" customHeight="1">
      <c r="A29" s="10">
        <v>2212004030</v>
      </c>
      <c r="B29" s="11" t="s">
        <v>32</v>
      </c>
      <c r="C29" s="26" t="s">
        <v>6</v>
      </c>
      <c r="D29" s="27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27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27</v>
      </c>
      <c r="R29" s="29">
        <v>0</v>
      </c>
      <c r="S29" s="30">
        <v>0</v>
      </c>
      <c r="T29" s="28">
        <v>0</v>
      </c>
      <c r="U29" s="28">
        <v>0</v>
      </c>
      <c r="V29" s="28">
        <v>27</v>
      </c>
      <c r="W29" s="28">
        <v>0</v>
      </c>
      <c r="X29" s="28">
        <v>0</v>
      </c>
      <c r="Y29" s="28">
        <v>0</v>
      </c>
      <c r="Z29" s="28">
        <v>27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27</v>
      </c>
      <c r="AG29" s="28">
        <v>0</v>
      </c>
      <c r="AH29" s="28">
        <v>0</v>
      </c>
      <c r="AI29" s="24">
        <f t="shared" si="0"/>
        <v>135</v>
      </c>
    </row>
    <row r="30" spans="1:35" ht="15.75" customHeight="1">
      <c r="A30" s="10">
        <v>2212004031</v>
      </c>
      <c r="B30" s="11" t="s">
        <v>33</v>
      </c>
      <c r="C30" s="26" t="s">
        <v>6</v>
      </c>
      <c r="D30" s="31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4">
        <v>0</v>
      </c>
      <c r="S30" s="35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24">
        <f t="shared" si="0"/>
        <v>0</v>
      </c>
    </row>
    <row r="31" spans="1:35" ht="15.75" customHeight="1">
      <c r="A31" s="10">
        <v>2212004032</v>
      </c>
      <c r="B31" s="11" t="s">
        <v>34</v>
      </c>
      <c r="C31" s="26" t="s">
        <v>6</v>
      </c>
      <c r="D31" s="27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9">
        <v>0</v>
      </c>
      <c r="S31" s="30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4">
        <f t="shared" si="0"/>
        <v>0</v>
      </c>
    </row>
    <row r="32" spans="1:35" ht="15.75" customHeight="1">
      <c r="A32" s="10">
        <v>2212004034</v>
      </c>
      <c r="B32" s="11" t="s">
        <v>35</v>
      </c>
      <c r="C32" s="26" t="s">
        <v>6</v>
      </c>
      <c r="D32" s="31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4">
        <v>0</v>
      </c>
      <c r="S32" s="35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24">
        <f t="shared" si="0"/>
        <v>0</v>
      </c>
    </row>
    <row r="33" spans="1:35" ht="15.75" customHeight="1">
      <c r="A33" s="10">
        <v>2212004035</v>
      </c>
      <c r="B33" s="11" t="s">
        <v>36</v>
      </c>
      <c r="C33" s="26" t="s">
        <v>6</v>
      </c>
      <c r="D33" s="27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9">
        <v>0</v>
      </c>
      <c r="S33" s="30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4">
        <f t="shared" si="0"/>
        <v>0</v>
      </c>
    </row>
    <row r="34" spans="1:35" ht="15.75" customHeight="1">
      <c r="A34" s="37">
        <v>2212004038</v>
      </c>
      <c r="B34" s="38" t="s">
        <v>37</v>
      </c>
      <c r="C34" s="39" t="s">
        <v>8</v>
      </c>
      <c r="D34" s="55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7">
        <v>0</v>
      </c>
      <c r="S34" s="58">
        <v>0</v>
      </c>
      <c r="T34" s="56">
        <v>0</v>
      </c>
      <c r="U34" s="56">
        <v>0</v>
      </c>
      <c r="V34" s="56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60">
        <f t="shared" si="0"/>
        <v>0</v>
      </c>
    </row>
    <row r="35" spans="1:35" ht="18.75" customHeight="1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15.75" customHeight="1">
      <c r="A36" s="45">
        <v>2212010003</v>
      </c>
      <c r="B36" s="46" t="s">
        <v>39</v>
      </c>
      <c r="C36" s="61" t="s">
        <v>6</v>
      </c>
      <c r="D36" s="62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4">
        <v>0</v>
      </c>
      <c r="S36" s="62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3">
        <v>0</v>
      </c>
      <c r="AH36" s="65">
        <v>0</v>
      </c>
      <c r="AI36" s="60">
        <f t="shared" ref="AI36:AI89" si="1">SUM(D36:AH36)</f>
        <v>0</v>
      </c>
    </row>
    <row r="37" spans="1:35" ht="15.75" customHeight="1">
      <c r="A37" s="49">
        <v>2212010004</v>
      </c>
      <c r="B37" s="50" t="s">
        <v>40</v>
      </c>
      <c r="C37" s="66" t="s">
        <v>6</v>
      </c>
      <c r="D37" s="27">
        <v>0</v>
      </c>
      <c r="E37" s="28">
        <v>40</v>
      </c>
      <c r="F37" s="28">
        <v>0</v>
      </c>
      <c r="G37" s="28">
        <v>0</v>
      </c>
      <c r="H37" s="28">
        <v>18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9">
        <v>0</v>
      </c>
      <c r="S37" s="27">
        <v>0</v>
      </c>
      <c r="T37" s="28">
        <v>0</v>
      </c>
      <c r="U37" s="28">
        <v>0</v>
      </c>
      <c r="V37" s="28">
        <v>0</v>
      </c>
      <c r="W37" s="28">
        <v>18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67">
        <v>0</v>
      </c>
      <c r="AI37" s="60">
        <f t="shared" si="1"/>
        <v>76</v>
      </c>
    </row>
    <row r="38" spans="1:35" ht="15.75" customHeight="1">
      <c r="A38" s="49">
        <v>2212010005</v>
      </c>
      <c r="B38" s="50" t="s">
        <v>41</v>
      </c>
      <c r="C38" s="66" t="s">
        <v>42</v>
      </c>
      <c r="D38" s="31">
        <v>0</v>
      </c>
      <c r="E38" s="32">
        <v>2</v>
      </c>
      <c r="F38" s="32">
        <v>0</v>
      </c>
      <c r="G38" s="32">
        <v>0</v>
      </c>
      <c r="H38" s="32">
        <v>0</v>
      </c>
      <c r="I38" s="32">
        <v>2</v>
      </c>
      <c r="J38" s="32">
        <v>0</v>
      </c>
      <c r="K38" s="32">
        <v>2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2</v>
      </c>
      <c r="R38" s="34">
        <v>0</v>
      </c>
      <c r="S38" s="31">
        <v>0</v>
      </c>
      <c r="T38" s="32">
        <v>0</v>
      </c>
      <c r="U38" s="32">
        <v>0</v>
      </c>
      <c r="V38" s="32">
        <v>2</v>
      </c>
      <c r="W38" s="32">
        <v>0</v>
      </c>
      <c r="X38" s="32">
        <v>2</v>
      </c>
      <c r="Y38" s="32">
        <v>0</v>
      </c>
      <c r="Z38" s="32">
        <v>2</v>
      </c>
      <c r="AA38" s="32">
        <v>0</v>
      </c>
      <c r="AB38" s="32">
        <v>0</v>
      </c>
      <c r="AC38" s="32">
        <v>0</v>
      </c>
      <c r="AD38" s="32">
        <v>2</v>
      </c>
      <c r="AE38" s="32">
        <v>0</v>
      </c>
      <c r="AF38" s="32">
        <v>2</v>
      </c>
      <c r="AG38" s="32">
        <v>0</v>
      </c>
      <c r="AH38" s="68">
        <v>0</v>
      </c>
      <c r="AI38" s="60">
        <f t="shared" si="1"/>
        <v>18</v>
      </c>
    </row>
    <row r="39" spans="1:35" ht="15.75" customHeight="1">
      <c r="A39" s="49">
        <v>2212010006</v>
      </c>
      <c r="B39" s="50" t="s">
        <v>43</v>
      </c>
      <c r="C39" s="66" t="s">
        <v>42</v>
      </c>
      <c r="D39" s="27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9">
        <v>0</v>
      </c>
      <c r="S39" s="27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67">
        <v>0</v>
      </c>
      <c r="AI39" s="60">
        <f t="shared" si="1"/>
        <v>0</v>
      </c>
    </row>
    <row r="40" spans="1:35" ht="15.75" customHeight="1">
      <c r="A40" s="49">
        <v>2212010007</v>
      </c>
      <c r="B40" s="50" t="s">
        <v>44</v>
      </c>
      <c r="C40" s="66" t="s">
        <v>42</v>
      </c>
      <c r="D40" s="31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4">
        <v>0</v>
      </c>
      <c r="S40" s="31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68">
        <v>0</v>
      </c>
      <c r="AI40" s="60">
        <f t="shared" si="1"/>
        <v>0</v>
      </c>
    </row>
    <row r="41" spans="1:35" ht="15.75" customHeight="1">
      <c r="A41" s="49">
        <v>2212010008</v>
      </c>
      <c r="B41" s="50" t="s">
        <v>45</v>
      </c>
      <c r="C41" s="66" t="s">
        <v>6</v>
      </c>
      <c r="D41" s="27">
        <v>15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15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9">
        <v>0</v>
      </c>
      <c r="S41" s="27">
        <v>15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15</v>
      </c>
      <c r="AE41" s="28">
        <v>0</v>
      </c>
      <c r="AF41" s="28">
        <v>0</v>
      </c>
      <c r="AG41" s="28">
        <v>0</v>
      </c>
      <c r="AH41" s="67">
        <v>0</v>
      </c>
      <c r="AI41" s="60">
        <f t="shared" si="1"/>
        <v>60</v>
      </c>
    </row>
    <row r="42" spans="1:35" ht="15.75" customHeight="1">
      <c r="A42" s="49">
        <v>2212010009</v>
      </c>
      <c r="B42" s="50" t="s">
        <v>46</v>
      </c>
      <c r="C42" s="66" t="s">
        <v>6</v>
      </c>
      <c r="D42" s="31">
        <v>0</v>
      </c>
      <c r="E42" s="32">
        <v>0</v>
      </c>
      <c r="F42" s="32">
        <v>0</v>
      </c>
      <c r="G42" s="32">
        <v>0</v>
      </c>
      <c r="H42" s="32">
        <v>1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4">
        <v>0</v>
      </c>
      <c r="S42" s="31">
        <v>0</v>
      </c>
      <c r="T42" s="32">
        <v>0</v>
      </c>
      <c r="U42" s="32">
        <v>0</v>
      </c>
      <c r="V42" s="32">
        <v>0</v>
      </c>
      <c r="W42" s="32">
        <v>1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68">
        <v>0</v>
      </c>
      <c r="AI42" s="60">
        <f t="shared" si="1"/>
        <v>2</v>
      </c>
    </row>
    <row r="43" spans="1:35" ht="15.75" customHeight="1">
      <c r="A43" s="49">
        <v>2212010010</v>
      </c>
      <c r="B43" s="50" t="s">
        <v>47</v>
      </c>
      <c r="C43" s="66" t="s">
        <v>42</v>
      </c>
      <c r="D43" s="27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30</v>
      </c>
      <c r="R43" s="29">
        <v>0</v>
      </c>
      <c r="S43" s="27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30</v>
      </c>
      <c r="AG43" s="28">
        <v>0</v>
      </c>
      <c r="AH43" s="67">
        <v>0</v>
      </c>
      <c r="AI43" s="60">
        <f t="shared" si="1"/>
        <v>60</v>
      </c>
    </row>
    <row r="44" spans="1:35" ht="15.75" customHeight="1">
      <c r="A44" s="49">
        <v>2212010011</v>
      </c>
      <c r="B44" s="50" t="s">
        <v>48</v>
      </c>
      <c r="C44" s="66" t="s">
        <v>6</v>
      </c>
      <c r="D44" s="31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4">
        <v>0</v>
      </c>
      <c r="S44" s="31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68">
        <v>0</v>
      </c>
      <c r="AI44" s="60">
        <f t="shared" si="1"/>
        <v>0</v>
      </c>
    </row>
    <row r="45" spans="1:35" ht="15.75" customHeight="1">
      <c r="A45" s="49">
        <v>2212010012</v>
      </c>
      <c r="B45" s="50" t="s">
        <v>49</v>
      </c>
      <c r="C45" s="66" t="s">
        <v>6</v>
      </c>
      <c r="D45" s="27">
        <v>90</v>
      </c>
      <c r="E45" s="28">
        <v>65</v>
      </c>
      <c r="F45" s="28">
        <v>0</v>
      </c>
      <c r="G45" s="28">
        <v>0</v>
      </c>
      <c r="H45" s="28">
        <v>20</v>
      </c>
      <c r="I45" s="28">
        <v>60</v>
      </c>
      <c r="J45" s="28">
        <v>20</v>
      </c>
      <c r="K45" s="28">
        <v>25</v>
      </c>
      <c r="L45" s="28">
        <v>60</v>
      </c>
      <c r="M45" s="28">
        <v>0</v>
      </c>
      <c r="N45" s="28">
        <v>0</v>
      </c>
      <c r="O45" s="28">
        <v>0</v>
      </c>
      <c r="P45" s="28">
        <v>35</v>
      </c>
      <c r="Q45" s="28">
        <v>20</v>
      </c>
      <c r="R45" s="29">
        <v>65</v>
      </c>
      <c r="S45" s="27">
        <v>90</v>
      </c>
      <c r="T45" s="28">
        <v>0</v>
      </c>
      <c r="U45" s="28">
        <v>0</v>
      </c>
      <c r="V45" s="28">
        <v>75</v>
      </c>
      <c r="W45" s="28">
        <v>20</v>
      </c>
      <c r="X45" s="28">
        <v>60</v>
      </c>
      <c r="Y45" s="28">
        <v>20</v>
      </c>
      <c r="Z45" s="28">
        <v>25</v>
      </c>
      <c r="AA45" s="28">
        <v>0</v>
      </c>
      <c r="AB45" s="28">
        <v>0</v>
      </c>
      <c r="AC45" s="28">
        <v>95</v>
      </c>
      <c r="AD45" s="28">
        <v>35</v>
      </c>
      <c r="AE45" s="28">
        <v>35</v>
      </c>
      <c r="AF45" s="28">
        <v>20</v>
      </c>
      <c r="AG45" s="28">
        <v>65</v>
      </c>
      <c r="AH45" s="67">
        <v>0</v>
      </c>
      <c r="AI45" s="60">
        <f t="shared" si="1"/>
        <v>1000</v>
      </c>
    </row>
    <row r="46" spans="1:35" ht="15.75" customHeight="1">
      <c r="A46" s="49">
        <v>2212010013</v>
      </c>
      <c r="B46" s="50" t="s">
        <v>50</v>
      </c>
      <c r="C46" s="66" t="s">
        <v>6</v>
      </c>
      <c r="D46" s="31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4">
        <v>0</v>
      </c>
      <c r="S46" s="31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68">
        <v>0</v>
      </c>
      <c r="AI46" s="60">
        <f t="shared" si="1"/>
        <v>0</v>
      </c>
    </row>
    <row r="47" spans="1:35" ht="15.75" customHeight="1">
      <c r="A47" s="49">
        <v>2212010014</v>
      </c>
      <c r="B47" s="50" t="s">
        <v>51</v>
      </c>
      <c r="C47" s="66" t="s">
        <v>6</v>
      </c>
      <c r="D47" s="27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9">
        <v>0</v>
      </c>
      <c r="S47" s="27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67">
        <v>0</v>
      </c>
      <c r="AI47" s="60">
        <f t="shared" si="1"/>
        <v>0</v>
      </c>
    </row>
    <row r="48" spans="1:35" ht="15.75" customHeight="1">
      <c r="A48" s="49">
        <v>2212010015</v>
      </c>
      <c r="B48" s="50" t="s">
        <v>52</v>
      </c>
      <c r="C48" s="66" t="s">
        <v>6</v>
      </c>
      <c r="D48" s="31">
        <v>16</v>
      </c>
      <c r="E48" s="32">
        <v>16</v>
      </c>
      <c r="F48" s="32">
        <v>0</v>
      </c>
      <c r="G48" s="32">
        <v>0</v>
      </c>
      <c r="H48" s="32">
        <v>16</v>
      </c>
      <c r="I48" s="32">
        <v>16</v>
      </c>
      <c r="J48" s="32">
        <v>16</v>
      </c>
      <c r="K48" s="32">
        <v>16</v>
      </c>
      <c r="L48" s="32">
        <v>16</v>
      </c>
      <c r="M48" s="32">
        <v>0</v>
      </c>
      <c r="N48" s="32">
        <v>0</v>
      </c>
      <c r="O48" s="32">
        <v>0</v>
      </c>
      <c r="P48" s="32">
        <v>16</v>
      </c>
      <c r="Q48" s="32">
        <v>16</v>
      </c>
      <c r="R48" s="34">
        <v>16</v>
      </c>
      <c r="S48" s="31">
        <v>16</v>
      </c>
      <c r="T48" s="32">
        <v>0</v>
      </c>
      <c r="U48" s="32">
        <v>0</v>
      </c>
      <c r="V48" s="32">
        <v>16</v>
      </c>
      <c r="W48" s="32">
        <v>16</v>
      </c>
      <c r="X48" s="32">
        <v>16</v>
      </c>
      <c r="Y48" s="32">
        <v>16</v>
      </c>
      <c r="Z48" s="32">
        <v>16</v>
      </c>
      <c r="AA48" s="32">
        <v>0</v>
      </c>
      <c r="AB48" s="32">
        <v>0</v>
      </c>
      <c r="AC48" s="32">
        <v>16</v>
      </c>
      <c r="AD48" s="32">
        <v>16</v>
      </c>
      <c r="AE48" s="32">
        <v>16</v>
      </c>
      <c r="AF48" s="32">
        <v>16</v>
      </c>
      <c r="AG48" s="32">
        <v>16</v>
      </c>
      <c r="AH48" s="68">
        <v>0</v>
      </c>
      <c r="AI48" s="60">
        <f t="shared" si="1"/>
        <v>336</v>
      </c>
    </row>
    <row r="49" spans="1:35" ht="15.75" customHeight="1">
      <c r="A49" s="49">
        <v>2212010016</v>
      </c>
      <c r="B49" s="50" t="s">
        <v>53</v>
      </c>
      <c r="C49" s="66" t="s">
        <v>42</v>
      </c>
      <c r="D49" s="27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9">
        <v>0</v>
      </c>
      <c r="S49" s="27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3</v>
      </c>
      <c r="AE49" s="28">
        <v>0</v>
      </c>
      <c r="AF49" s="28">
        <v>0</v>
      </c>
      <c r="AG49" s="28">
        <v>0</v>
      </c>
      <c r="AH49" s="67">
        <v>0</v>
      </c>
      <c r="AI49" s="60">
        <f t="shared" si="1"/>
        <v>3</v>
      </c>
    </row>
    <row r="50" spans="1:35" ht="15.75" customHeight="1">
      <c r="A50" s="49">
        <v>2212010017</v>
      </c>
      <c r="B50" s="50" t="s">
        <v>54</v>
      </c>
      <c r="C50" s="66" t="s">
        <v>6</v>
      </c>
      <c r="D50" s="31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4">
        <v>0</v>
      </c>
      <c r="S50" s="31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0</v>
      </c>
      <c r="AB50" s="32">
        <v>0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68">
        <v>0</v>
      </c>
      <c r="AI50" s="60">
        <f t="shared" si="1"/>
        <v>0</v>
      </c>
    </row>
    <row r="51" spans="1:35" ht="15.75" customHeight="1">
      <c r="A51" s="49">
        <v>2212010019</v>
      </c>
      <c r="B51" s="50" t="s">
        <v>55</v>
      </c>
      <c r="C51" s="66" t="s">
        <v>6</v>
      </c>
      <c r="D51" s="27">
        <v>30</v>
      </c>
      <c r="E51" s="28">
        <v>70</v>
      </c>
      <c r="F51" s="28">
        <v>0</v>
      </c>
      <c r="G51" s="28">
        <v>0</v>
      </c>
      <c r="H51" s="28">
        <v>70</v>
      </c>
      <c r="I51" s="28">
        <v>90</v>
      </c>
      <c r="J51" s="28">
        <v>110</v>
      </c>
      <c r="K51" s="28">
        <v>110</v>
      </c>
      <c r="L51" s="28">
        <v>45</v>
      </c>
      <c r="M51" s="28">
        <v>0</v>
      </c>
      <c r="N51" s="28">
        <v>0</v>
      </c>
      <c r="O51" s="28">
        <v>0</v>
      </c>
      <c r="P51" s="28">
        <v>110</v>
      </c>
      <c r="Q51" s="28">
        <v>100</v>
      </c>
      <c r="R51" s="29">
        <v>145</v>
      </c>
      <c r="S51" s="27">
        <v>30</v>
      </c>
      <c r="T51" s="28">
        <v>0</v>
      </c>
      <c r="U51" s="28">
        <v>0</v>
      </c>
      <c r="V51" s="28">
        <v>85</v>
      </c>
      <c r="W51" s="28">
        <v>70</v>
      </c>
      <c r="X51" s="28">
        <v>90</v>
      </c>
      <c r="Y51" s="28">
        <v>110</v>
      </c>
      <c r="Z51" s="28">
        <v>110</v>
      </c>
      <c r="AA51" s="28">
        <v>0</v>
      </c>
      <c r="AB51" s="28">
        <v>0</v>
      </c>
      <c r="AC51" s="28">
        <v>60</v>
      </c>
      <c r="AD51" s="28">
        <v>110</v>
      </c>
      <c r="AE51" s="28">
        <v>110</v>
      </c>
      <c r="AF51" s="28">
        <v>100</v>
      </c>
      <c r="AG51" s="28">
        <v>145</v>
      </c>
      <c r="AH51" s="67">
        <v>0</v>
      </c>
      <c r="AI51" s="60">
        <f t="shared" si="1"/>
        <v>1900</v>
      </c>
    </row>
    <row r="52" spans="1:35" ht="15.75" customHeight="1">
      <c r="A52" s="49">
        <v>2212010020</v>
      </c>
      <c r="B52" s="50" t="s">
        <v>56</v>
      </c>
      <c r="C52" s="66" t="s">
        <v>6</v>
      </c>
      <c r="D52" s="31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4">
        <v>0</v>
      </c>
      <c r="S52" s="31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68">
        <v>0</v>
      </c>
      <c r="AI52" s="60">
        <f t="shared" si="1"/>
        <v>0</v>
      </c>
    </row>
    <row r="53" spans="1:35" ht="15.75" customHeight="1">
      <c r="A53" s="49">
        <v>2212010021</v>
      </c>
      <c r="B53" s="50" t="s">
        <v>57</v>
      </c>
      <c r="C53" s="66" t="s">
        <v>6</v>
      </c>
      <c r="D53" s="27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9">
        <v>3</v>
      </c>
      <c r="S53" s="27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3</v>
      </c>
      <c r="AH53" s="67">
        <v>0</v>
      </c>
      <c r="AI53" s="60">
        <f t="shared" si="1"/>
        <v>6</v>
      </c>
    </row>
    <row r="54" spans="1:35" ht="15.75" customHeight="1">
      <c r="A54" s="49">
        <v>2212010022</v>
      </c>
      <c r="B54" s="50" t="s">
        <v>58</v>
      </c>
      <c r="C54" s="66" t="s">
        <v>6</v>
      </c>
      <c r="D54" s="31">
        <v>0</v>
      </c>
      <c r="E54" s="32">
        <v>3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4">
        <v>0</v>
      </c>
      <c r="S54" s="31">
        <v>0</v>
      </c>
      <c r="T54" s="32">
        <v>0</v>
      </c>
      <c r="U54" s="32">
        <v>0</v>
      </c>
      <c r="V54" s="32">
        <v>3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68">
        <v>0</v>
      </c>
      <c r="AI54" s="60">
        <f t="shared" si="1"/>
        <v>6</v>
      </c>
    </row>
    <row r="55" spans="1:35" ht="15.75" customHeight="1">
      <c r="A55" s="49">
        <v>2212010023</v>
      </c>
      <c r="B55" s="50" t="s">
        <v>59</v>
      </c>
      <c r="C55" s="66" t="s">
        <v>6</v>
      </c>
      <c r="D55" s="27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9">
        <v>0</v>
      </c>
      <c r="S55" s="27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67">
        <v>0</v>
      </c>
      <c r="AI55" s="60">
        <f t="shared" si="1"/>
        <v>0</v>
      </c>
    </row>
    <row r="56" spans="1:35" ht="15.75" customHeight="1">
      <c r="A56" s="49">
        <v>2212010024</v>
      </c>
      <c r="B56" s="50" t="s">
        <v>60</v>
      </c>
      <c r="C56" s="66" t="s">
        <v>6</v>
      </c>
      <c r="D56" s="31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4">
        <v>0</v>
      </c>
      <c r="S56" s="31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68">
        <v>0</v>
      </c>
      <c r="AI56" s="60">
        <f t="shared" si="1"/>
        <v>0</v>
      </c>
    </row>
    <row r="57" spans="1:35" ht="15.75" customHeight="1">
      <c r="A57" s="49">
        <v>2212010025</v>
      </c>
      <c r="B57" s="50" t="s">
        <v>61</v>
      </c>
      <c r="C57" s="66" t="s">
        <v>42</v>
      </c>
      <c r="D57" s="27">
        <v>2</v>
      </c>
      <c r="E57" s="28">
        <v>1</v>
      </c>
      <c r="F57" s="28">
        <v>0</v>
      </c>
      <c r="G57" s="28">
        <v>0</v>
      </c>
      <c r="H57" s="28">
        <v>1</v>
      </c>
      <c r="I57" s="28">
        <v>0</v>
      </c>
      <c r="J57" s="28">
        <v>1</v>
      </c>
      <c r="K57" s="28">
        <v>0</v>
      </c>
      <c r="L57" s="28">
        <v>1</v>
      </c>
      <c r="M57" s="28">
        <v>0</v>
      </c>
      <c r="N57" s="28">
        <v>0</v>
      </c>
      <c r="O57" s="28">
        <v>0</v>
      </c>
      <c r="P57" s="28">
        <v>1</v>
      </c>
      <c r="Q57" s="28">
        <v>1</v>
      </c>
      <c r="R57" s="29">
        <v>3</v>
      </c>
      <c r="S57" s="27">
        <v>2</v>
      </c>
      <c r="T57" s="28">
        <v>0</v>
      </c>
      <c r="U57" s="28">
        <v>0</v>
      </c>
      <c r="V57" s="28">
        <v>0</v>
      </c>
      <c r="W57" s="28">
        <v>1</v>
      </c>
      <c r="X57" s="28">
        <v>0</v>
      </c>
      <c r="Y57" s="28">
        <v>1</v>
      </c>
      <c r="Z57" s="28">
        <v>0</v>
      </c>
      <c r="AA57" s="28">
        <v>0</v>
      </c>
      <c r="AB57" s="28">
        <v>0</v>
      </c>
      <c r="AC57" s="28">
        <v>1</v>
      </c>
      <c r="AD57" s="28">
        <v>2</v>
      </c>
      <c r="AE57" s="28">
        <v>1</v>
      </c>
      <c r="AF57" s="28">
        <v>1</v>
      </c>
      <c r="AG57" s="28">
        <v>3</v>
      </c>
      <c r="AH57" s="67">
        <v>0</v>
      </c>
      <c r="AI57" s="60">
        <f t="shared" si="1"/>
        <v>23</v>
      </c>
    </row>
    <row r="58" spans="1:35" ht="15.75" customHeight="1">
      <c r="A58" s="49">
        <v>2212010026</v>
      </c>
      <c r="B58" s="50" t="s">
        <v>62</v>
      </c>
      <c r="C58" s="66" t="s">
        <v>6</v>
      </c>
      <c r="D58" s="31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4">
        <v>0</v>
      </c>
      <c r="S58" s="31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68">
        <v>0</v>
      </c>
      <c r="AI58" s="60">
        <f t="shared" si="1"/>
        <v>0</v>
      </c>
    </row>
    <row r="59" spans="1:35" ht="15.75" customHeight="1">
      <c r="A59" s="49">
        <v>2212010027</v>
      </c>
      <c r="B59" s="50" t="s">
        <v>63</v>
      </c>
      <c r="C59" s="66" t="s">
        <v>6</v>
      </c>
      <c r="D59" s="27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9">
        <v>0</v>
      </c>
      <c r="S59" s="27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67">
        <v>0</v>
      </c>
      <c r="AI59" s="60">
        <f t="shared" si="1"/>
        <v>0</v>
      </c>
    </row>
    <row r="60" spans="1:35" ht="15.75" customHeight="1">
      <c r="A60" s="49">
        <v>2212010028</v>
      </c>
      <c r="B60" s="50" t="s">
        <v>64</v>
      </c>
      <c r="C60" s="66" t="s">
        <v>6</v>
      </c>
      <c r="D60" s="31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4">
        <v>0</v>
      </c>
      <c r="S60" s="31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68">
        <v>0</v>
      </c>
      <c r="AI60" s="60">
        <f t="shared" si="1"/>
        <v>0</v>
      </c>
    </row>
    <row r="61" spans="1:35" ht="15.75" customHeight="1">
      <c r="A61" s="49">
        <v>2212010029</v>
      </c>
      <c r="B61" s="50" t="s">
        <v>65</v>
      </c>
      <c r="C61" s="66" t="s">
        <v>6</v>
      </c>
      <c r="D61" s="27">
        <v>0</v>
      </c>
      <c r="E61" s="28">
        <v>0</v>
      </c>
      <c r="F61" s="28">
        <v>0</v>
      </c>
      <c r="G61" s="28">
        <v>0</v>
      </c>
      <c r="H61" s="28">
        <v>35</v>
      </c>
      <c r="I61" s="28">
        <v>0</v>
      </c>
      <c r="J61" s="28">
        <v>0</v>
      </c>
      <c r="K61" s="28">
        <v>0</v>
      </c>
      <c r="L61" s="28">
        <v>5</v>
      </c>
      <c r="M61" s="28">
        <v>0</v>
      </c>
      <c r="N61" s="28">
        <v>0</v>
      </c>
      <c r="O61" s="28">
        <v>0</v>
      </c>
      <c r="P61" s="28">
        <v>0</v>
      </c>
      <c r="Q61" s="28">
        <v>5</v>
      </c>
      <c r="R61" s="29">
        <v>0</v>
      </c>
      <c r="S61" s="27">
        <v>0</v>
      </c>
      <c r="T61" s="28">
        <v>0</v>
      </c>
      <c r="U61" s="28">
        <v>0</v>
      </c>
      <c r="V61" s="28">
        <v>0</v>
      </c>
      <c r="W61" s="28">
        <v>35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5</v>
      </c>
      <c r="AG61" s="28">
        <v>0</v>
      </c>
      <c r="AH61" s="67">
        <v>0</v>
      </c>
      <c r="AI61" s="60">
        <f t="shared" si="1"/>
        <v>85</v>
      </c>
    </row>
    <row r="62" spans="1:35" ht="15.75" customHeight="1">
      <c r="A62" s="49">
        <v>2212010030</v>
      </c>
      <c r="B62" s="50" t="s">
        <v>66</v>
      </c>
      <c r="C62" s="66" t="s">
        <v>8</v>
      </c>
      <c r="D62" s="31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4">
        <v>0</v>
      </c>
      <c r="S62" s="31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30</v>
      </c>
      <c r="AD62" s="32">
        <v>0</v>
      </c>
      <c r="AE62" s="32">
        <v>0</v>
      </c>
      <c r="AF62" s="32">
        <v>0</v>
      </c>
      <c r="AG62" s="32">
        <v>0</v>
      </c>
      <c r="AH62" s="68">
        <v>0</v>
      </c>
      <c r="AI62" s="60">
        <f t="shared" si="1"/>
        <v>30</v>
      </c>
    </row>
    <row r="63" spans="1:35" ht="15.75" customHeight="1">
      <c r="A63" s="49">
        <v>2212010031</v>
      </c>
      <c r="B63" s="50" t="s">
        <v>67</v>
      </c>
      <c r="C63" s="66" t="s">
        <v>6</v>
      </c>
      <c r="D63" s="27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15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9">
        <v>0</v>
      </c>
      <c r="S63" s="27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15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67">
        <v>0</v>
      </c>
      <c r="AI63" s="60">
        <f t="shared" si="1"/>
        <v>30</v>
      </c>
    </row>
    <row r="64" spans="1:35" ht="15.75" customHeight="1">
      <c r="A64" s="49">
        <v>2212010032</v>
      </c>
      <c r="B64" s="50" t="s">
        <v>68</v>
      </c>
      <c r="C64" s="66" t="s">
        <v>6</v>
      </c>
      <c r="D64" s="31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10</v>
      </c>
      <c r="Q64" s="32">
        <v>0</v>
      </c>
      <c r="R64" s="34">
        <v>0</v>
      </c>
      <c r="S64" s="31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10</v>
      </c>
      <c r="AF64" s="32">
        <v>0</v>
      </c>
      <c r="AG64" s="32">
        <v>0</v>
      </c>
      <c r="AH64" s="68">
        <v>0</v>
      </c>
      <c r="AI64" s="60">
        <f t="shared" si="1"/>
        <v>20</v>
      </c>
    </row>
    <row r="65" spans="1:35" ht="15.75" customHeight="1">
      <c r="A65" s="49">
        <v>2212010033</v>
      </c>
      <c r="B65" s="50" t="s">
        <v>69</v>
      </c>
      <c r="C65" s="66" t="s">
        <v>42</v>
      </c>
      <c r="D65" s="27">
        <v>2</v>
      </c>
      <c r="E65" s="28">
        <v>0</v>
      </c>
      <c r="F65" s="28">
        <v>0</v>
      </c>
      <c r="G65" s="28">
        <v>0</v>
      </c>
      <c r="H65" s="28">
        <v>2</v>
      </c>
      <c r="I65" s="28">
        <v>0</v>
      </c>
      <c r="J65" s="28">
        <v>2</v>
      </c>
      <c r="K65" s="28">
        <v>0</v>
      </c>
      <c r="L65" s="28">
        <v>2</v>
      </c>
      <c r="M65" s="28">
        <v>0</v>
      </c>
      <c r="N65" s="28">
        <v>0</v>
      </c>
      <c r="O65" s="28">
        <v>0</v>
      </c>
      <c r="P65" s="28">
        <v>2</v>
      </c>
      <c r="Q65" s="28">
        <v>0</v>
      </c>
      <c r="R65" s="29">
        <v>2</v>
      </c>
      <c r="S65" s="27">
        <v>2</v>
      </c>
      <c r="T65" s="28">
        <v>0</v>
      </c>
      <c r="U65" s="28">
        <v>0</v>
      </c>
      <c r="V65" s="28">
        <v>1</v>
      </c>
      <c r="W65" s="28">
        <v>2</v>
      </c>
      <c r="X65" s="28">
        <v>0</v>
      </c>
      <c r="Y65" s="28">
        <v>2</v>
      </c>
      <c r="Z65" s="28">
        <v>0</v>
      </c>
      <c r="AA65" s="28">
        <v>0</v>
      </c>
      <c r="AB65" s="28">
        <v>0</v>
      </c>
      <c r="AC65" s="28">
        <v>2</v>
      </c>
      <c r="AD65" s="28">
        <v>0</v>
      </c>
      <c r="AE65" s="28">
        <v>2</v>
      </c>
      <c r="AF65" s="28">
        <v>0</v>
      </c>
      <c r="AG65" s="28">
        <v>2</v>
      </c>
      <c r="AH65" s="67">
        <v>0</v>
      </c>
      <c r="AI65" s="60">
        <f t="shared" si="1"/>
        <v>25</v>
      </c>
    </row>
    <row r="66" spans="1:35" ht="15.75" customHeight="1">
      <c r="A66" s="49">
        <v>2212010034</v>
      </c>
      <c r="B66" s="50" t="s">
        <v>70</v>
      </c>
      <c r="C66" s="66" t="s">
        <v>6</v>
      </c>
      <c r="D66" s="31">
        <v>25</v>
      </c>
      <c r="E66" s="32">
        <v>50</v>
      </c>
      <c r="F66" s="32">
        <v>0</v>
      </c>
      <c r="G66" s="32">
        <v>0</v>
      </c>
      <c r="H66" s="32">
        <v>25</v>
      </c>
      <c r="I66" s="32">
        <v>0</v>
      </c>
      <c r="J66" s="32">
        <v>25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4">
        <v>25</v>
      </c>
      <c r="S66" s="31">
        <v>25</v>
      </c>
      <c r="T66" s="32">
        <v>0</v>
      </c>
      <c r="U66" s="32">
        <v>0</v>
      </c>
      <c r="V66" s="32">
        <v>0</v>
      </c>
      <c r="W66" s="32">
        <v>25</v>
      </c>
      <c r="X66" s="32">
        <v>0</v>
      </c>
      <c r="Y66" s="32">
        <v>25</v>
      </c>
      <c r="Z66" s="32">
        <v>0</v>
      </c>
      <c r="AA66" s="32">
        <v>0</v>
      </c>
      <c r="AB66" s="32">
        <v>0</v>
      </c>
      <c r="AC66" s="32">
        <v>0</v>
      </c>
      <c r="AD66" s="32">
        <v>25</v>
      </c>
      <c r="AE66" s="32">
        <v>0</v>
      </c>
      <c r="AF66" s="32">
        <v>0</v>
      </c>
      <c r="AG66" s="32">
        <v>25</v>
      </c>
      <c r="AH66" s="68">
        <v>0</v>
      </c>
      <c r="AI66" s="60">
        <f t="shared" si="1"/>
        <v>275</v>
      </c>
    </row>
    <row r="67" spans="1:35" ht="15.75" customHeight="1">
      <c r="A67" s="49">
        <v>2212010035</v>
      </c>
      <c r="B67" s="50" t="s">
        <v>71</v>
      </c>
      <c r="C67" s="66" t="s">
        <v>6</v>
      </c>
      <c r="D67" s="27">
        <v>60</v>
      </c>
      <c r="E67" s="28">
        <v>35</v>
      </c>
      <c r="F67" s="28">
        <v>0</v>
      </c>
      <c r="G67" s="28">
        <v>0</v>
      </c>
      <c r="H67" s="28">
        <v>50</v>
      </c>
      <c r="I67" s="28">
        <v>45</v>
      </c>
      <c r="J67" s="28">
        <v>65</v>
      </c>
      <c r="K67" s="28">
        <v>30</v>
      </c>
      <c r="L67" s="28">
        <v>30</v>
      </c>
      <c r="M67" s="28">
        <v>0</v>
      </c>
      <c r="N67" s="28">
        <v>0</v>
      </c>
      <c r="O67" s="28">
        <v>0</v>
      </c>
      <c r="P67" s="28">
        <v>30</v>
      </c>
      <c r="Q67" s="28">
        <v>15</v>
      </c>
      <c r="R67" s="29">
        <v>50</v>
      </c>
      <c r="S67" s="27">
        <v>60</v>
      </c>
      <c r="T67" s="28">
        <v>0</v>
      </c>
      <c r="U67" s="28">
        <v>0</v>
      </c>
      <c r="V67" s="28">
        <v>55</v>
      </c>
      <c r="W67" s="28">
        <v>50</v>
      </c>
      <c r="X67" s="28">
        <v>45</v>
      </c>
      <c r="Y67" s="28">
        <v>65</v>
      </c>
      <c r="Z67" s="28">
        <v>30</v>
      </c>
      <c r="AA67" s="28">
        <v>0</v>
      </c>
      <c r="AB67" s="28">
        <v>0</v>
      </c>
      <c r="AC67" s="28">
        <v>15</v>
      </c>
      <c r="AD67" s="28">
        <v>25</v>
      </c>
      <c r="AE67" s="28">
        <v>30</v>
      </c>
      <c r="AF67" s="28">
        <v>15</v>
      </c>
      <c r="AG67" s="28">
        <v>50</v>
      </c>
      <c r="AH67" s="67">
        <v>0</v>
      </c>
      <c r="AI67" s="60">
        <f t="shared" si="1"/>
        <v>850</v>
      </c>
    </row>
    <row r="68" spans="1:35" ht="15.75" customHeight="1">
      <c r="A68" s="49">
        <v>2212010036</v>
      </c>
      <c r="B68" s="50" t="s">
        <v>72</v>
      </c>
      <c r="C68" s="66" t="s">
        <v>8</v>
      </c>
      <c r="D68" s="31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4">
        <v>0</v>
      </c>
      <c r="S68" s="31">
        <v>0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  <c r="Y68" s="32">
        <v>0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68">
        <v>0</v>
      </c>
      <c r="AI68" s="60">
        <f t="shared" si="1"/>
        <v>0</v>
      </c>
    </row>
    <row r="69" spans="1:35" ht="15.75" customHeight="1">
      <c r="A69" s="49">
        <v>2212010037</v>
      </c>
      <c r="B69" s="50" t="s">
        <v>73</v>
      </c>
      <c r="C69" s="66" t="s">
        <v>6</v>
      </c>
      <c r="D69" s="27">
        <v>15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15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9">
        <v>0</v>
      </c>
      <c r="S69" s="27">
        <v>15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15</v>
      </c>
      <c r="AE69" s="28">
        <v>0</v>
      </c>
      <c r="AF69" s="28">
        <v>0</v>
      </c>
      <c r="AG69" s="28">
        <v>0</v>
      </c>
      <c r="AH69" s="67">
        <v>0</v>
      </c>
      <c r="AI69" s="60">
        <f t="shared" si="1"/>
        <v>60</v>
      </c>
    </row>
    <row r="70" spans="1:35" ht="15.75" customHeight="1">
      <c r="A70" s="49">
        <v>2212010038</v>
      </c>
      <c r="B70" s="50" t="s">
        <v>74</v>
      </c>
      <c r="C70" s="66" t="s">
        <v>6</v>
      </c>
      <c r="D70" s="31">
        <v>0</v>
      </c>
      <c r="E70" s="32">
        <v>15</v>
      </c>
      <c r="F70" s="32">
        <v>0</v>
      </c>
      <c r="G70" s="32">
        <v>0</v>
      </c>
      <c r="H70" s="32">
        <v>0</v>
      </c>
      <c r="I70" s="32">
        <v>10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15</v>
      </c>
      <c r="R70" s="34">
        <v>0</v>
      </c>
      <c r="S70" s="31">
        <v>0</v>
      </c>
      <c r="T70" s="32">
        <v>0</v>
      </c>
      <c r="U70" s="32">
        <v>0</v>
      </c>
      <c r="V70" s="32">
        <v>0</v>
      </c>
      <c r="W70" s="32">
        <v>0</v>
      </c>
      <c r="X70" s="32">
        <v>10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15</v>
      </c>
      <c r="AG70" s="32">
        <v>0</v>
      </c>
      <c r="AH70" s="68">
        <v>0</v>
      </c>
      <c r="AI70" s="60">
        <f t="shared" si="1"/>
        <v>65</v>
      </c>
    </row>
    <row r="71" spans="1:35" ht="15.75" customHeight="1">
      <c r="A71" s="49">
        <v>2212010039</v>
      </c>
      <c r="B71" s="50" t="s">
        <v>75</v>
      </c>
      <c r="C71" s="66" t="s">
        <v>42</v>
      </c>
      <c r="D71" s="27">
        <v>1</v>
      </c>
      <c r="E71" s="28">
        <v>0</v>
      </c>
      <c r="F71" s="28">
        <v>0</v>
      </c>
      <c r="G71" s="28">
        <v>0</v>
      </c>
      <c r="H71" s="28">
        <v>0</v>
      </c>
      <c r="I71" s="28">
        <v>1</v>
      </c>
      <c r="J71" s="28">
        <v>1</v>
      </c>
      <c r="K71" s="28">
        <v>0</v>
      </c>
      <c r="L71" s="28">
        <v>1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9">
        <v>0</v>
      </c>
      <c r="S71" s="27">
        <v>1</v>
      </c>
      <c r="T71" s="28">
        <v>0</v>
      </c>
      <c r="U71" s="28">
        <v>0</v>
      </c>
      <c r="V71" s="28">
        <v>0</v>
      </c>
      <c r="W71" s="28">
        <v>0</v>
      </c>
      <c r="X71" s="28">
        <v>1</v>
      </c>
      <c r="Y71" s="28">
        <v>1</v>
      </c>
      <c r="Z71" s="28">
        <v>0</v>
      </c>
      <c r="AA71" s="28">
        <v>0</v>
      </c>
      <c r="AB71" s="28">
        <v>0</v>
      </c>
      <c r="AC71" s="28">
        <v>0</v>
      </c>
      <c r="AD71" s="28">
        <v>1</v>
      </c>
      <c r="AE71" s="28">
        <v>0</v>
      </c>
      <c r="AF71" s="28">
        <v>0</v>
      </c>
      <c r="AG71" s="28">
        <v>0</v>
      </c>
      <c r="AH71" s="67">
        <v>0</v>
      </c>
      <c r="AI71" s="60">
        <f t="shared" si="1"/>
        <v>8</v>
      </c>
    </row>
    <row r="72" spans="1:35" ht="15.75" customHeight="1">
      <c r="A72" s="49">
        <v>2212010040</v>
      </c>
      <c r="B72" s="50" t="s">
        <v>76</v>
      </c>
      <c r="C72" s="66" t="s">
        <v>6</v>
      </c>
      <c r="D72" s="31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15</v>
      </c>
      <c r="M72" s="32">
        <v>0</v>
      </c>
      <c r="N72" s="32">
        <v>0</v>
      </c>
      <c r="O72" s="32">
        <v>0</v>
      </c>
      <c r="P72" s="32">
        <v>0</v>
      </c>
      <c r="Q72" s="32">
        <v>15</v>
      </c>
      <c r="R72" s="34">
        <v>0</v>
      </c>
      <c r="S72" s="31">
        <v>0</v>
      </c>
      <c r="T72" s="32">
        <v>0</v>
      </c>
      <c r="U72" s="32">
        <v>0</v>
      </c>
      <c r="V72" s="32">
        <v>30</v>
      </c>
      <c r="W72" s="32">
        <v>0</v>
      </c>
      <c r="X72" s="32">
        <v>0</v>
      </c>
      <c r="Y72" s="32">
        <v>0</v>
      </c>
      <c r="Z72" s="32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15</v>
      </c>
      <c r="AG72" s="32">
        <v>0</v>
      </c>
      <c r="AH72" s="68">
        <v>0</v>
      </c>
      <c r="AI72" s="60">
        <f t="shared" si="1"/>
        <v>75</v>
      </c>
    </row>
    <row r="73" spans="1:35" ht="15.75" customHeight="1">
      <c r="A73" s="49">
        <v>2212010041</v>
      </c>
      <c r="B73" s="50" t="s">
        <v>77</v>
      </c>
      <c r="C73" s="66" t="s">
        <v>6</v>
      </c>
      <c r="D73" s="27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9">
        <v>0</v>
      </c>
      <c r="S73" s="27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67">
        <v>0</v>
      </c>
      <c r="AI73" s="60">
        <f t="shared" si="1"/>
        <v>0</v>
      </c>
    </row>
    <row r="74" spans="1:35" ht="15.75" customHeight="1">
      <c r="A74" s="49">
        <v>2212010042</v>
      </c>
      <c r="B74" s="50" t="s">
        <v>78</v>
      </c>
      <c r="C74" s="66" t="s">
        <v>6</v>
      </c>
      <c r="D74" s="31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4">
        <v>0</v>
      </c>
      <c r="S74" s="31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68">
        <v>0</v>
      </c>
      <c r="AI74" s="60">
        <f t="shared" si="1"/>
        <v>0</v>
      </c>
    </row>
    <row r="75" spans="1:35" ht="15.75" customHeight="1">
      <c r="A75" s="49">
        <v>2212010043</v>
      </c>
      <c r="B75" s="50" t="s">
        <v>79</v>
      </c>
      <c r="C75" s="66" t="s">
        <v>42</v>
      </c>
      <c r="D75" s="27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9">
        <v>0</v>
      </c>
      <c r="S75" s="27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67">
        <v>0</v>
      </c>
      <c r="AI75" s="60">
        <f t="shared" si="1"/>
        <v>0</v>
      </c>
    </row>
    <row r="76" spans="1:35" ht="15.75" customHeight="1">
      <c r="A76" s="49">
        <v>2212010044</v>
      </c>
      <c r="B76" s="50" t="s">
        <v>80</v>
      </c>
      <c r="C76" s="66" t="s">
        <v>42</v>
      </c>
      <c r="D76" s="31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4">
        <v>0</v>
      </c>
      <c r="S76" s="31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2">
        <v>0</v>
      </c>
      <c r="AB76" s="32">
        <v>0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68">
        <v>0</v>
      </c>
      <c r="AI76" s="60">
        <f t="shared" si="1"/>
        <v>0</v>
      </c>
    </row>
    <row r="77" spans="1:35" ht="15.75" customHeight="1">
      <c r="A77" s="49">
        <v>2212010046</v>
      </c>
      <c r="B77" s="50" t="s">
        <v>81</v>
      </c>
      <c r="C77" s="66" t="s">
        <v>42</v>
      </c>
      <c r="D77" s="27">
        <v>0</v>
      </c>
      <c r="E77" s="28">
        <v>2</v>
      </c>
      <c r="F77" s="28">
        <v>0</v>
      </c>
      <c r="G77" s="28">
        <v>0</v>
      </c>
      <c r="H77" s="28">
        <v>0</v>
      </c>
      <c r="I77" s="28">
        <v>2</v>
      </c>
      <c r="J77" s="28">
        <v>0</v>
      </c>
      <c r="K77" s="28">
        <v>2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2</v>
      </c>
      <c r="R77" s="29">
        <v>0</v>
      </c>
      <c r="S77" s="27">
        <v>0</v>
      </c>
      <c r="T77" s="28">
        <v>0</v>
      </c>
      <c r="U77" s="28">
        <v>0</v>
      </c>
      <c r="V77" s="28">
        <v>2</v>
      </c>
      <c r="W77" s="28">
        <v>0</v>
      </c>
      <c r="X77" s="28">
        <v>2</v>
      </c>
      <c r="Y77" s="28">
        <v>0</v>
      </c>
      <c r="Z77" s="28">
        <v>2</v>
      </c>
      <c r="AA77" s="28">
        <v>0</v>
      </c>
      <c r="AB77" s="28">
        <v>0</v>
      </c>
      <c r="AC77" s="28">
        <v>0</v>
      </c>
      <c r="AD77" s="28">
        <v>2</v>
      </c>
      <c r="AE77" s="28">
        <v>0</v>
      </c>
      <c r="AF77" s="28">
        <v>2</v>
      </c>
      <c r="AG77" s="28">
        <v>0</v>
      </c>
      <c r="AH77" s="67">
        <v>0</v>
      </c>
      <c r="AI77" s="60">
        <f t="shared" si="1"/>
        <v>18</v>
      </c>
    </row>
    <row r="78" spans="1:35" ht="15.75" customHeight="1">
      <c r="A78" s="49">
        <v>2212010047</v>
      </c>
      <c r="B78" s="50" t="s">
        <v>82</v>
      </c>
      <c r="C78" s="66" t="s">
        <v>6</v>
      </c>
      <c r="D78" s="31">
        <v>15</v>
      </c>
      <c r="E78" s="32">
        <v>35</v>
      </c>
      <c r="F78" s="32">
        <v>0</v>
      </c>
      <c r="G78" s="32">
        <v>0</v>
      </c>
      <c r="H78" s="32">
        <v>35</v>
      </c>
      <c r="I78" s="32">
        <v>15</v>
      </c>
      <c r="J78" s="32">
        <v>35</v>
      </c>
      <c r="K78" s="32">
        <v>45</v>
      </c>
      <c r="L78" s="32">
        <v>15</v>
      </c>
      <c r="M78" s="32">
        <v>0</v>
      </c>
      <c r="N78" s="32">
        <v>0</v>
      </c>
      <c r="O78" s="32">
        <v>0</v>
      </c>
      <c r="P78" s="32">
        <v>45</v>
      </c>
      <c r="Q78" s="32">
        <v>25</v>
      </c>
      <c r="R78" s="34">
        <v>35</v>
      </c>
      <c r="S78" s="31">
        <v>15</v>
      </c>
      <c r="T78" s="32">
        <v>0</v>
      </c>
      <c r="U78" s="32">
        <v>0</v>
      </c>
      <c r="V78" s="32">
        <v>30</v>
      </c>
      <c r="W78" s="32">
        <v>35</v>
      </c>
      <c r="X78" s="32">
        <v>15</v>
      </c>
      <c r="Y78" s="32">
        <v>35</v>
      </c>
      <c r="Z78" s="32">
        <v>45</v>
      </c>
      <c r="AA78" s="32">
        <v>0</v>
      </c>
      <c r="AB78" s="32">
        <v>0</v>
      </c>
      <c r="AC78" s="32">
        <v>20</v>
      </c>
      <c r="AD78" s="32">
        <v>45</v>
      </c>
      <c r="AE78" s="32">
        <v>45</v>
      </c>
      <c r="AF78" s="32">
        <v>25</v>
      </c>
      <c r="AG78" s="32">
        <v>35</v>
      </c>
      <c r="AH78" s="93">
        <v>0</v>
      </c>
      <c r="AI78" s="60">
        <f t="shared" si="1"/>
        <v>645</v>
      </c>
    </row>
    <row r="79" spans="1:35" ht="15.75" customHeight="1">
      <c r="A79" s="49">
        <v>2212010048</v>
      </c>
      <c r="B79" s="50" t="s">
        <v>83</v>
      </c>
      <c r="C79" s="66" t="s">
        <v>6</v>
      </c>
      <c r="D79" s="27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9">
        <v>0</v>
      </c>
      <c r="S79" s="27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67">
        <v>0</v>
      </c>
      <c r="AI79" s="60">
        <f t="shared" si="1"/>
        <v>0</v>
      </c>
    </row>
    <row r="80" spans="1:35" ht="15.75" customHeight="1">
      <c r="A80" s="49">
        <v>2212010049</v>
      </c>
      <c r="B80" s="50" t="s">
        <v>84</v>
      </c>
      <c r="C80" s="66" t="s">
        <v>6</v>
      </c>
      <c r="D80" s="31">
        <v>40</v>
      </c>
      <c r="E80" s="32">
        <v>0</v>
      </c>
      <c r="F80" s="32">
        <v>0</v>
      </c>
      <c r="G80" s="32">
        <v>0</v>
      </c>
      <c r="H80" s="32">
        <v>20</v>
      </c>
      <c r="I80" s="32">
        <v>5</v>
      </c>
      <c r="J80" s="32">
        <v>0</v>
      </c>
      <c r="K80" s="32">
        <v>45</v>
      </c>
      <c r="L80" s="32">
        <v>55</v>
      </c>
      <c r="M80" s="32">
        <v>0</v>
      </c>
      <c r="N80" s="32">
        <v>0</v>
      </c>
      <c r="O80" s="32">
        <v>0</v>
      </c>
      <c r="P80" s="32">
        <v>20</v>
      </c>
      <c r="Q80" s="32">
        <v>5</v>
      </c>
      <c r="R80" s="34">
        <v>20</v>
      </c>
      <c r="S80" s="31">
        <v>40</v>
      </c>
      <c r="T80" s="32">
        <v>0</v>
      </c>
      <c r="U80" s="32">
        <v>0</v>
      </c>
      <c r="V80" s="32">
        <v>5</v>
      </c>
      <c r="W80" s="32">
        <v>20</v>
      </c>
      <c r="X80" s="32">
        <v>5</v>
      </c>
      <c r="Y80" s="32">
        <v>0</v>
      </c>
      <c r="Z80" s="32">
        <v>45</v>
      </c>
      <c r="AA80" s="32">
        <v>0</v>
      </c>
      <c r="AB80" s="32">
        <v>0</v>
      </c>
      <c r="AC80" s="32">
        <v>25</v>
      </c>
      <c r="AD80" s="32">
        <v>0</v>
      </c>
      <c r="AE80" s="32">
        <v>20</v>
      </c>
      <c r="AF80" s="32">
        <v>5</v>
      </c>
      <c r="AG80" s="32">
        <v>20</v>
      </c>
      <c r="AH80" s="68">
        <v>0</v>
      </c>
      <c r="AI80" s="60">
        <f t="shared" si="1"/>
        <v>395</v>
      </c>
    </row>
    <row r="81" spans="1:35" ht="15.75" customHeight="1">
      <c r="A81" s="49">
        <v>2212010050</v>
      </c>
      <c r="B81" s="50" t="s">
        <v>85</v>
      </c>
      <c r="C81" s="66" t="s">
        <v>86</v>
      </c>
      <c r="D81" s="27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9">
        <v>0</v>
      </c>
      <c r="S81" s="27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67">
        <v>0</v>
      </c>
      <c r="AI81" s="60">
        <f t="shared" si="1"/>
        <v>0</v>
      </c>
    </row>
    <row r="82" spans="1:35" ht="15.75" customHeight="1">
      <c r="A82" s="49">
        <v>2212010053</v>
      </c>
      <c r="B82" s="50" t="s">
        <v>87</v>
      </c>
      <c r="C82" s="66" t="s">
        <v>42</v>
      </c>
      <c r="D82" s="31">
        <v>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2">
        <v>0</v>
      </c>
      <c r="R82" s="34">
        <v>0</v>
      </c>
      <c r="S82" s="31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32">
        <v>0</v>
      </c>
      <c r="Z82" s="32">
        <v>0</v>
      </c>
      <c r="AA82" s="32">
        <v>0</v>
      </c>
      <c r="AB82" s="32">
        <v>0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68">
        <v>0</v>
      </c>
      <c r="AI82" s="60">
        <f t="shared" si="1"/>
        <v>0</v>
      </c>
    </row>
    <row r="83" spans="1:35" ht="15.75" customHeight="1">
      <c r="A83" s="49">
        <v>2212010054</v>
      </c>
      <c r="B83" s="50" t="s">
        <v>88</v>
      </c>
      <c r="C83" s="66" t="s">
        <v>6</v>
      </c>
      <c r="D83" s="27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9">
        <v>0</v>
      </c>
      <c r="S83" s="27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67">
        <v>0</v>
      </c>
      <c r="AI83" s="60">
        <f t="shared" si="1"/>
        <v>0</v>
      </c>
    </row>
    <row r="84" spans="1:35" ht="15.75" customHeight="1">
      <c r="A84" s="49">
        <v>2212010055</v>
      </c>
      <c r="B84" s="50" t="s">
        <v>89</v>
      </c>
      <c r="C84" s="66" t="s">
        <v>6</v>
      </c>
      <c r="D84" s="31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4">
        <v>0</v>
      </c>
      <c r="S84" s="31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68">
        <v>0</v>
      </c>
      <c r="AI84" s="60">
        <f t="shared" si="1"/>
        <v>0</v>
      </c>
    </row>
    <row r="85" spans="1:35" ht="15.75" customHeight="1">
      <c r="A85" s="49">
        <v>2212010056</v>
      </c>
      <c r="B85" s="50" t="s">
        <v>90</v>
      </c>
      <c r="C85" s="66" t="s">
        <v>8</v>
      </c>
      <c r="D85" s="27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9">
        <v>0</v>
      </c>
      <c r="S85" s="27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67">
        <v>0</v>
      </c>
      <c r="AI85" s="60">
        <f t="shared" si="1"/>
        <v>0</v>
      </c>
    </row>
    <row r="86" spans="1:35" ht="15.75" customHeight="1">
      <c r="A86" s="49">
        <v>2212010057</v>
      </c>
      <c r="B86" s="50" t="s">
        <v>91</v>
      </c>
      <c r="C86" s="66" t="s">
        <v>8</v>
      </c>
      <c r="D86" s="31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4">
        <v>0</v>
      </c>
      <c r="S86" s="31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68">
        <v>0</v>
      </c>
      <c r="AI86" s="60">
        <f t="shared" si="1"/>
        <v>0</v>
      </c>
    </row>
    <row r="87" spans="1:35" ht="15.75" customHeight="1">
      <c r="A87" s="49">
        <v>2212010058</v>
      </c>
      <c r="B87" s="50" t="s">
        <v>92</v>
      </c>
      <c r="C87" s="66" t="s">
        <v>6</v>
      </c>
      <c r="D87" s="27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9">
        <v>0</v>
      </c>
      <c r="S87" s="27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67">
        <v>0</v>
      </c>
      <c r="AI87" s="60">
        <f t="shared" si="1"/>
        <v>0</v>
      </c>
    </row>
    <row r="88" spans="1:35" ht="15.75" customHeight="1">
      <c r="A88" s="49">
        <v>2212010060</v>
      </c>
      <c r="B88" s="50" t="s">
        <v>93</v>
      </c>
      <c r="C88" s="66" t="s">
        <v>6</v>
      </c>
      <c r="D88" s="31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4">
        <v>0</v>
      </c>
      <c r="S88" s="31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68">
        <v>0</v>
      </c>
      <c r="AI88" s="60">
        <f t="shared" si="1"/>
        <v>0</v>
      </c>
    </row>
    <row r="89" spans="1:35" ht="15.75" customHeight="1">
      <c r="A89" s="69">
        <v>2212004040</v>
      </c>
      <c r="B89" s="70" t="s">
        <v>94</v>
      </c>
      <c r="C89" s="102" t="s">
        <v>6</v>
      </c>
      <c r="D89" s="111">
        <v>0</v>
      </c>
      <c r="E89" s="113">
        <v>0</v>
      </c>
      <c r="F89" s="113">
        <v>0</v>
      </c>
      <c r="G89" s="113">
        <v>0</v>
      </c>
      <c r="H89" s="113">
        <v>0</v>
      </c>
      <c r="I89" s="113">
        <v>0</v>
      </c>
      <c r="J89" s="113">
        <v>0</v>
      </c>
      <c r="K89" s="113">
        <v>0</v>
      </c>
      <c r="L89" s="113">
        <v>0</v>
      </c>
      <c r="M89" s="113">
        <v>0</v>
      </c>
      <c r="N89" s="113">
        <v>0</v>
      </c>
      <c r="O89" s="113">
        <v>0</v>
      </c>
      <c r="P89" s="113">
        <v>0</v>
      </c>
      <c r="Q89" s="113">
        <v>0</v>
      </c>
      <c r="R89" s="114">
        <v>0</v>
      </c>
      <c r="S89" s="111">
        <v>0</v>
      </c>
      <c r="T89" s="113">
        <v>0</v>
      </c>
      <c r="U89" s="113">
        <v>0</v>
      </c>
      <c r="V89" s="113">
        <v>0</v>
      </c>
      <c r="W89" s="113">
        <v>0</v>
      </c>
      <c r="X89" s="113">
        <v>0</v>
      </c>
      <c r="Y89" s="113">
        <v>0</v>
      </c>
      <c r="Z89" s="113">
        <v>0</v>
      </c>
      <c r="AA89" s="113">
        <v>0</v>
      </c>
      <c r="AB89" s="113">
        <v>0</v>
      </c>
      <c r="AC89" s="113">
        <v>0</v>
      </c>
      <c r="AD89" s="113">
        <v>0</v>
      </c>
      <c r="AE89" s="113">
        <v>0</v>
      </c>
      <c r="AF89" s="113">
        <v>0</v>
      </c>
      <c r="AG89" s="113">
        <v>0</v>
      </c>
      <c r="AH89" s="116">
        <v>0</v>
      </c>
      <c r="AI89" s="60">
        <f t="shared" si="1"/>
        <v>0</v>
      </c>
    </row>
    <row r="90" spans="1:35" ht="18.75" customHeight="1">
      <c r="A90" s="616" t="s">
        <v>95</v>
      </c>
      <c r="B90" s="606"/>
      <c r="C90" s="606"/>
      <c r="D90" s="606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  <c r="P90" s="606"/>
      <c r="Q90" s="606"/>
      <c r="R90" s="606"/>
      <c r="S90" s="606"/>
      <c r="T90" s="606"/>
      <c r="U90" s="606"/>
      <c r="V90" s="606"/>
      <c r="W90" s="606"/>
      <c r="X90" s="606"/>
      <c r="Y90" s="606"/>
      <c r="Z90" s="606"/>
      <c r="AA90" s="606"/>
      <c r="AB90" s="606"/>
      <c r="AC90" s="606"/>
      <c r="AD90" s="606"/>
      <c r="AE90" s="606"/>
      <c r="AF90" s="606"/>
      <c r="AG90" s="606"/>
      <c r="AH90" s="606"/>
      <c r="AI90" s="607"/>
    </row>
    <row r="91" spans="1:35" ht="15.75" customHeight="1">
      <c r="A91" s="74">
        <v>2212002001</v>
      </c>
      <c r="B91" s="75" t="s">
        <v>96</v>
      </c>
      <c r="C91" s="125" t="s">
        <v>6</v>
      </c>
      <c r="D91" s="22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128">
        <v>0</v>
      </c>
      <c r="S91" s="22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130">
        <v>0</v>
      </c>
      <c r="AI91" s="131">
        <f t="shared" ref="AI91:AI111" si="2">SUM(D91:AH91)</f>
        <v>0</v>
      </c>
    </row>
    <row r="92" spans="1:35" ht="15.75" customHeight="1">
      <c r="A92" s="78">
        <v>2212002004</v>
      </c>
      <c r="B92" s="79" t="s">
        <v>97</v>
      </c>
      <c r="C92" s="132" t="s">
        <v>6</v>
      </c>
      <c r="D92" s="31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4">
        <v>0</v>
      </c>
      <c r="S92" s="31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  <c r="AD92" s="32">
        <v>0</v>
      </c>
      <c r="AE92" s="32">
        <v>0</v>
      </c>
      <c r="AF92" s="32">
        <v>0</v>
      </c>
      <c r="AG92" s="32">
        <v>0</v>
      </c>
      <c r="AH92" s="68">
        <v>0</v>
      </c>
      <c r="AI92" s="24">
        <f t="shared" si="2"/>
        <v>0</v>
      </c>
    </row>
    <row r="93" spans="1:35" ht="15.75" customHeight="1">
      <c r="A93" s="78">
        <v>2212002007</v>
      </c>
      <c r="B93" s="79" t="s">
        <v>98</v>
      </c>
      <c r="C93" s="132" t="s">
        <v>6</v>
      </c>
      <c r="D93" s="27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9">
        <v>0</v>
      </c>
      <c r="S93" s="27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67">
        <v>0</v>
      </c>
      <c r="AI93" s="24">
        <f t="shared" si="2"/>
        <v>0</v>
      </c>
    </row>
    <row r="94" spans="1:35" ht="15.75" customHeight="1">
      <c r="A94" s="78">
        <v>2212002009</v>
      </c>
      <c r="B94" s="79" t="s">
        <v>99</v>
      </c>
      <c r="C94" s="132" t="s">
        <v>6</v>
      </c>
      <c r="D94" s="31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4">
        <v>0</v>
      </c>
      <c r="S94" s="31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32">
        <v>0</v>
      </c>
      <c r="Z94" s="32">
        <v>0</v>
      </c>
      <c r="AA94" s="32">
        <v>0</v>
      </c>
      <c r="AB94" s="32">
        <v>0</v>
      </c>
      <c r="AC94" s="32">
        <v>0</v>
      </c>
      <c r="AD94" s="32">
        <v>0</v>
      </c>
      <c r="AE94" s="32">
        <v>0</v>
      </c>
      <c r="AF94" s="32">
        <v>0</v>
      </c>
      <c r="AG94" s="32">
        <v>0</v>
      </c>
      <c r="AH94" s="68">
        <v>0</v>
      </c>
      <c r="AI94" s="24">
        <f t="shared" si="2"/>
        <v>0</v>
      </c>
    </row>
    <row r="95" spans="1:35" ht="15.75" customHeight="1">
      <c r="A95" s="78">
        <v>2212002010</v>
      </c>
      <c r="B95" s="79" t="s">
        <v>100</v>
      </c>
      <c r="C95" s="132" t="s">
        <v>6</v>
      </c>
      <c r="D95" s="27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9">
        <v>0</v>
      </c>
      <c r="S95" s="27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67">
        <v>0</v>
      </c>
      <c r="AI95" s="24">
        <f t="shared" si="2"/>
        <v>0</v>
      </c>
    </row>
    <row r="96" spans="1:35" ht="15.75" customHeight="1">
      <c r="A96" s="78">
        <v>2212002011</v>
      </c>
      <c r="B96" s="79" t="s">
        <v>101</v>
      </c>
      <c r="C96" s="132" t="s">
        <v>6</v>
      </c>
      <c r="D96" s="31">
        <v>0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2">
        <v>0</v>
      </c>
      <c r="R96" s="34">
        <v>0</v>
      </c>
      <c r="S96" s="31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  <c r="Y96" s="32">
        <v>0</v>
      </c>
      <c r="Z96" s="32">
        <v>0</v>
      </c>
      <c r="AA96" s="32">
        <v>0</v>
      </c>
      <c r="AB96" s="32">
        <v>0</v>
      </c>
      <c r="AC96" s="32">
        <v>0</v>
      </c>
      <c r="AD96" s="32">
        <v>0</v>
      </c>
      <c r="AE96" s="32">
        <v>0</v>
      </c>
      <c r="AF96" s="32">
        <v>0</v>
      </c>
      <c r="AG96" s="32">
        <v>0</v>
      </c>
      <c r="AH96" s="68">
        <v>0</v>
      </c>
      <c r="AI96" s="24">
        <f t="shared" si="2"/>
        <v>0</v>
      </c>
    </row>
    <row r="97" spans="1:35" ht="15.75" customHeight="1">
      <c r="A97" s="78">
        <v>2212002014</v>
      </c>
      <c r="B97" s="79" t="s">
        <v>102</v>
      </c>
      <c r="C97" s="132" t="s">
        <v>6</v>
      </c>
      <c r="D97" s="27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9">
        <v>0</v>
      </c>
      <c r="S97" s="27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67">
        <v>0</v>
      </c>
      <c r="AI97" s="24">
        <f t="shared" si="2"/>
        <v>0</v>
      </c>
    </row>
    <row r="98" spans="1:35" ht="15.75" customHeight="1">
      <c r="A98" s="78">
        <v>2212002016</v>
      </c>
      <c r="B98" s="79" t="s">
        <v>103</v>
      </c>
      <c r="C98" s="132" t="s">
        <v>6</v>
      </c>
      <c r="D98" s="31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4">
        <v>0</v>
      </c>
      <c r="S98" s="31">
        <v>0</v>
      </c>
      <c r="T98" s="32">
        <v>0</v>
      </c>
      <c r="U98" s="32">
        <v>0</v>
      </c>
      <c r="V98" s="32">
        <v>0</v>
      </c>
      <c r="W98" s="32">
        <v>0</v>
      </c>
      <c r="X98" s="32">
        <v>0</v>
      </c>
      <c r="Y98" s="32">
        <v>0</v>
      </c>
      <c r="Z98" s="32">
        <v>0</v>
      </c>
      <c r="AA98" s="32">
        <v>0</v>
      </c>
      <c r="AB98" s="32">
        <v>0</v>
      </c>
      <c r="AC98" s="32">
        <v>0</v>
      </c>
      <c r="AD98" s="32">
        <v>0</v>
      </c>
      <c r="AE98" s="32">
        <v>0</v>
      </c>
      <c r="AF98" s="32">
        <v>0</v>
      </c>
      <c r="AG98" s="32">
        <v>0</v>
      </c>
      <c r="AH98" s="68">
        <v>0</v>
      </c>
      <c r="AI98" s="24">
        <f t="shared" si="2"/>
        <v>0</v>
      </c>
    </row>
    <row r="99" spans="1:35" ht="15.75" customHeight="1">
      <c r="A99" s="78">
        <v>2212002018</v>
      </c>
      <c r="B99" s="79" t="s">
        <v>104</v>
      </c>
      <c r="C99" s="132" t="s">
        <v>6</v>
      </c>
      <c r="D99" s="27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9">
        <v>0</v>
      </c>
      <c r="S99" s="27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67">
        <v>0</v>
      </c>
      <c r="AI99" s="24">
        <f t="shared" si="2"/>
        <v>0</v>
      </c>
    </row>
    <row r="100" spans="1:35" ht="15.75" customHeight="1">
      <c r="A100" s="78">
        <v>2212002022</v>
      </c>
      <c r="B100" s="79" t="s">
        <v>105</v>
      </c>
      <c r="C100" s="132" t="s">
        <v>6</v>
      </c>
      <c r="D100" s="31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4">
        <v>0</v>
      </c>
      <c r="S100" s="31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68">
        <v>0</v>
      </c>
      <c r="AI100" s="24">
        <f t="shared" si="2"/>
        <v>0</v>
      </c>
    </row>
    <row r="101" spans="1:35" ht="15.75" customHeight="1">
      <c r="A101" s="78">
        <v>2212002023</v>
      </c>
      <c r="B101" s="79" t="s">
        <v>106</v>
      </c>
      <c r="C101" s="132" t="s">
        <v>6</v>
      </c>
      <c r="D101" s="27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9">
        <v>0</v>
      </c>
      <c r="S101" s="27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67">
        <v>0</v>
      </c>
      <c r="AI101" s="24">
        <f t="shared" si="2"/>
        <v>0</v>
      </c>
    </row>
    <row r="102" spans="1:35" ht="15.75" customHeight="1">
      <c r="A102" s="78">
        <v>2212002025</v>
      </c>
      <c r="B102" s="79" t="s">
        <v>107</v>
      </c>
      <c r="C102" s="132" t="s">
        <v>6</v>
      </c>
      <c r="D102" s="31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4">
        <v>0</v>
      </c>
      <c r="S102" s="31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68">
        <v>0</v>
      </c>
      <c r="AI102" s="24">
        <f t="shared" si="2"/>
        <v>0</v>
      </c>
    </row>
    <row r="103" spans="1:35" ht="15.75" customHeight="1">
      <c r="A103" s="78">
        <v>2212002026</v>
      </c>
      <c r="B103" s="79" t="s">
        <v>108</v>
      </c>
      <c r="C103" s="132" t="s">
        <v>6</v>
      </c>
      <c r="D103" s="27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9">
        <v>0</v>
      </c>
      <c r="S103" s="27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67">
        <v>0</v>
      </c>
      <c r="AI103" s="24">
        <f t="shared" si="2"/>
        <v>0</v>
      </c>
    </row>
    <row r="104" spans="1:35" ht="15.75" customHeight="1">
      <c r="A104" s="78">
        <v>2212002027</v>
      </c>
      <c r="B104" s="79" t="s">
        <v>109</v>
      </c>
      <c r="C104" s="132" t="s">
        <v>6</v>
      </c>
      <c r="D104" s="31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4">
        <v>0</v>
      </c>
      <c r="S104" s="31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0</v>
      </c>
      <c r="AG104" s="32">
        <v>0</v>
      </c>
      <c r="AH104" s="68">
        <v>0</v>
      </c>
      <c r="AI104" s="24">
        <f t="shared" si="2"/>
        <v>0</v>
      </c>
    </row>
    <row r="105" spans="1:35" ht="15.75" customHeight="1">
      <c r="A105" s="78">
        <v>2212002028</v>
      </c>
      <c r="B105" s="79" t="s">
        <v>110</v>
      </c>
      <c r="C105" s="132" t="s">
        <v>6</v>
      </c>
      <c r="D105" s="27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9">
        <v>0</v>
      </c>
      <c r="S105" s="27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67">
        <v>0</v>
      </c>
      <c r="AI105" s="24">
        <f t="shared" si="2"/>
        <v>0</v>
      </c>
    </row>
    <row r="106" spans="1:35" ht="15.75" customHeight="1">
      <c r="A106" s="78">
        <v>2212002030</v>
      </c>
      <c r="B106" s="79" t="s">
        <v>111</v>
      </c>
      <c r="C106" s="132" t="s">
        <v>6</v>
      </c>
      <c r="D106" s="31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4">
        <v>0</v>
      </c>
      <c r="S106" s="31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68">
        <v>0</v>
      </c>
      <c r="AI106" s="24">
        <f t="shared" si="2"/>
        <v>0</v>
      </c>
    </row>
    <row r="107" spans="1:35" ht="15.75" customHeight="1">
      <c r="A107" s="78">
        <v>2212002035</v>
      </c>
      <c r="B107" s="79" t="s">
        <v>112</v>
      </c>
      <c r="C107" s="132" t="s">
        <v>6</v>
      </c>
      <c r="D107" s="27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9">
        <v>0</v>
      </c>
      <c r="S107" s="27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67">
        <v>0</v>
      </c>
      <c r="AI107" s="24">
        <f t="shared" si="2"/>
        <v>0</v>
      </c>
    </row>
    <row r="108" spans="1:35" ht="15.75" customHeight="1">
      <c r="A108" s="78">
        <v>2212002036</v>
      </c>
      <c r="B108" s="79" t="s">
        <v>113</v>
      </c>
      <c r="C108" s="132" t="s">
        <v>6</v>
      </c>
      <c r="D108" s="31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4">
        <v>0</v>
      </c>
      <c r="S108" s="31">
        <v>0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>
        <v>0</v>
      </c>
      <c r="AG108" s="32">
        <v>0</v>
      </c>
      <c r="AH108" s="68">
        <v>0</v>
      </c>
      <c r="AI108" s="24">
        <f t="shared" si="2"/>
        <v>0</v>
      </c>
    </row>
    <row r="109" spans="1:35" ht="15.75" customHeight="1">
      <c r="A109" s="78">
        <v>2212002040</v>
      </c>
      <c r="B109" s="79" t="s">
        <v>114</v>
      </c>
      <c r="C109" s="132" t="s">
        <v>6</v>
      </c>
      <c r="D109" s="27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9">
        <v>0</v>
      </c>
      <c r="S109" s="27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67">
        <v>0</v>
      </c>
      <c r="AI109" s="24">
        <f t="shared" si="2"/>
        <v>0</v>
      </c>
    </row>
    <row r="110" spans="1:35" ht="15.75" customHeight="1">
      <c r="A110" s="78">
        <v>2212002045</v>
      </c>
      <c r="B110" s="79" t="s">
        <v>115</v>
      </c>
      <c r="C110" s="132" t="s">
        <v>6</v>
      </c>
      <c r="D110" s="31">
        <v>0</v>
      </c>
      <c r="E110" s="32">
        <v>0</v>
      </c>
      <c r="F110" s="32">
        <v>0</v>
      </c>
      <c r="G110" s="32">
        <v>0</v>
      </c>
      <c r="H110" s="32">
        <v>0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2">
        <v>0</v>
      </c>
      <c r="Q110" s="32">
        <v>0</v>
      </c>
      <c r="R110" s="34">
        <v>0</v>
      </c>
      <c r="S110" s="31">
        <v>0</v>
      </c>
      <c r="T110" s="32">
        <v>0</v>
      </c>
      <c r="U110" s="32">
        <v>0</v>
      </c>
      <c r="V110" s="32">
        <v>0</v>
      </c>
      <c r="W110" s="32">
        <v>0</v>
      </c>
      <c r="X110" s="32">
        <v>0</v>
      </c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32">
        <v>0</v>
      </c>
      <c r="AE110" s="32">
        <v>0</v>
      </c>
      <c r="AF110" s="32">
        <v>0</v>
      </c>
      <c r="AG110" s="32">
        <v>0</v>
      </c>
      <c r="AH110" s="68">
        <v>0</v>
      </c>
      <c r="AI110" s="24">
        <f t="shared" si="2"/>
        <v>0</v>
      </c>
    </row>
    <row r="111" spans="1:35" ht="15.75" customHeight="1">
      <c r="A111" s="81">
        <v>2212002046</v>
      </c>
      <c r="B111" s="82" t="s">
        <v>116</v>
      </c>
      <c r="C111" s="150" t="s">
        <v>6</v>
      </c>
      <c r="D111" s="111">
        <v>0</v>
      </c>
      <c r="E111" s="113">
        <v>0</v>
      </c>
      <c r="F111" s="113">
        <v>0</v>
      </c>
      <c r="G111" s="113">
        <v>0</v>
      </c>
      <c r="H111" s="113">
        <v>0</v>
      </c>
      <c r="I111" s="113">
        <v>0</v>
      </c>
      <c r="J111" s="113">
        <v>0</v>
      </c>
      <c r="K111" s="113"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  <c r="Q111" s="113">
        <v>0</v>
      </c>
      <c r="R111" s="114">
        <v>0</v>
      </c>
      <c r="S111" s="111">
        <v>0</v>
      </c>
      <c r="T111" s="113">
        <v>0</v>
      </c>
      <c r="U111" s="113">
        <v>0</v>
      </c>
      <c r="V111" s="113">
        <v>0</v>
      </c>
      <c r="W111" s="113">
        <v>0</v>
      </c>
      <c r="X111" s="113">
        <v>0</v>
      </c>
      <c r="Y111" s="113">
        <v>0</v>
      </c>
      <c r="Z111" s="113">
        <v>0</v>
      </c>
      <c r="AA111" s="113">
        <v>0</v>
      </c>
      <c r="AB111" s="113">
        <v>0</v>
      </c>
      <c r="AC111" s="113">
        <v>0</v>
      </c>
      <c r="AD111" s="113">
        <v>0</v>
      </c>
      <c r="AE111" s="113">
        <v>0</v>
      </c>
      <c r="AF111" s="113">
        <v>0</v>
      </c>
      <c r="AG111" s="113">
        <v>0</v>
      </c>
      <c r="AH111" s="116">
        <v>0</v>
      </c>
      <c r="AI111" s="24">
        <f t="shared" si="2"/>
        <v>0</v>
      </c>
    </row>
    <row r="112" spans="1:35" ht="18.75" customHeight="1">
      <c r="A112" s="617" t="s">
        <v>117</v>
      </c>
      <c r="B112" s="606"/>
      <c r="C112" s="606"/>
      <c r="D112" s="606"/>
      <c r="E112" s="606"/>
      <c r="F112" s="606"/>
      <c r="G112" s="606"/>
      <c r="H112" s="606"/>
      <c r="I112" s="606"/>
      <c r="J112" s="606"/>
      <c r="K112" s="606"/>
      <c r="L112" s="606"/>
      <c r="M112" s="606"/>
      <c r="N112" s="606"/>
      <c r="O112" s="606"/>
      <c r="P112" s="606"/>
      <c r="Q112" s="606"/>
      <c r="R112" s="606"/>
      <c r="S112" s="606"/>
      <c r="T112" s="606"/>
      <c r="U112" s="606"/>
      <c r="V112" s="606"/>
      <c r="W112" s="606"/>
      <c r="X112" s="606"/>
      <c r="Y112" s="606"/>
      <c r="Z112" s="606"/>
      <c r="AA112" s="606"/>
      <c r="AB112" s="606"/>
      <c r="AC112" s="606"/>
      <c r="AD112" s="606"/>
      <c r="AE112" s="606"/>
      <c r="AF112" s="606"/>
      <c r="AG112" s="606"/>
      <c r="AH112" s="606"/>
      <c r="AI112" s="607"/>
    </row>
    <row r="113" spans="1:35" ht="15.75" customHeight="1">
      <c r="A113" s="152">
        <v>2212002003</v>
      </c>
      <c r="B113" s="88" t="s">
        <v>118</v>
      </c>
      <c r="C113" s="153" t="s">
        <v>6</v>
      </c>
      <c r="D113" s="16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85</v>
      </c>
      <c r="Q113" s="17">
        <v>0</v>
      </c>
      <c r="R113" s="154">
        <v>0</v>
      </c>
      <c r="S113" s="16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85</v>
      </c>
      <c r="AF113" s="17">
        <v>0</v>
      </c>
      <c r="AG113" s="17">
        <v>0</v>
      </c>
      <c r="AH113" s="18">
        <v>0</v>
      </c>
      <c r="AI113" s="131">
        <f t="shared" ref="AI113:AI131" si="3">SUM(D113:AH113)</f>
        <v>170</v>
      </c>
    </row>
    <row r="114" spans="1:35" ht="15.75" customHeight="1">
      <c r="A114" s="155">
        <v>2212002005</v>
      </c>
      <c r="B114" s="92" t="s">
        <v>119</v>
      </c>
      <c r="C114" s="156" t="s">
        <v>6</v>
      </c>
      <c r="D114" s="31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2">
        <v>0</v>
      </c>
      <c r="R114" s="34">
        <v>0</v>
      </c>
      <c r="S114" s="31">
        <v>0</v>
      </c>
      <c r="T114" s="32">
        <v>0</v>
      </c>
      <c r="U114" s="32">
        <v>0</v>
      </c>
      <c r="V114" s="32">
        <v>0</v>
      </c>
      <c r="W114" s="32">
        <v>0</v>
      </c>
      <c r="X114" s="32">
        <v>0</v>
      </c>
      <c r="Y114" s="32">
        <v>0</v>
      </c>
      <c r="Z114" s="32">
        <v>0</v>
      </c>
      <c r="AA114" s="32">
        <v>0</v>
      </c>
      <c r="AB114" s="32">
        <v>0</v>
      </c>
      <c r="AC114" s="32">
        <v>55</v>
      </c>
      <c r="AD114" s="32">
        <v>0</v>
      </c>
      <c r="AE114" s="32">
        <v>0</v>
      </c>
      <c r="AF114" s="32">
        <v>0</v>
      </c>
      <c r="AG114" s="32">
        <v>0</v>
      </c>
      <c r="AH114" s="68">
        <v>0</v>
      </c>
      <c r="AI114" s="24">
        <f t="shared" si="3"/>
        <v>55</v>
      </c>
    </row>
    <row r="115" spans="1:35" ht="15.75" customHeight="1">
      <c r="A115" s="155">
        <v>2212002006</v>
      </c>
      <c r="B115" s="92" t="s">
        <v>120</v>
      </c>
      <c r="C115" s="156" t="s">
        <v>6</v>
      </c>
      <c r="D115" s="27">
        <v>0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9">
        <v>0</v>
      </c>
      <c r="S115" s="27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67">
        <v>0</v>
      </c>
      <c r="AI115" s="24">
        <f t="shared" si="3"/>
        <v>0</v>
      </c>
    </row>
    <row r="116" spans="1:35" ht="15.75" customHeight="1">
      <c r="A116" s="155">
        <v>2212002008</v>
      </c>
      <c r="B116" s="92" t="s">
        <v>121</v>
      </c>
      <c r="C116" s="156" t="s">
        <v>6</v>
      </c>
      <c r="D116" s="31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4">
        <v>0</v>
      </c>
      <c r="S116" s="31">
        <v>0</v>
      </c>
      <c r="T116" s="32">
        <v>0</v>
      </c>
      <c r="U116" s="32">
        <v>0</v>
      </c>
      <c r="V116" s="32">
        <v>55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68">
        <v>0</v>
      </c>
      <c r="AI116" s="24">
        <f t="shared" si="3"/>
        <v>55</v>
      </c>
    </row>
    <row r="117" spans="1:35" ht="15.75" customHeight="1">
      <c r="A117" s="155">
        <v>2212002012</v>
      </c>
      <c r="B117" s="92" t="s">
        <v>122</v>
      </c>
      <c r="C117" s="156" t="s">
        <v>6</v>
      </c>
      <c r="D117" s="27">
        <v>0</v>
      </c>
      <c r="E117" s="28">
        <v>75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9">
        <v>0</v>
      </c>
      <c r="S117" s="27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67">
        <v>0</v>
      </c>
      <c r="AI117" s="24">
        <f t="shared" si="3"/>
        <v>75</v>
      </c>
    </row>
    <row r="118" spans="1:35" ht="15.75" customHeight="1">
      <c r="A118" s="155">
        <v>2212002013</v>
      </c>
      <c r="B118" s="92" t="s">
        <v>123</v>
      </c>
      <c r="C118" s="156" t="s">
        <v>6</v>
      </c>
      <c r="D118" s="31">
        <v>0</v>
      </c>
      <c r="E118" s="32">
        <v>0</v>
      </c>
      <c r="F118" s="32">
        <v>0</v>
      </c>
      <c r="G118" s="32">
        <v>0</v>
      </c>
      <c r="H118" s="32">
        <v>80</v>
      </c>
      <c r="I118" s="32">
        <v>50</v>
      </c>
      <c r="J118" s="32">
        <v>0</v>
      </c>
      <c r="K118" s="32">
        <v>0</v>
      </c>
      <c r="L118" s="32">
        <v>30</v>
      </c>
      <c r="M118" s="32">
        <v>0</v>
      </c>
      <c r="N118" s="32">
        <v>0</v>
      </c>
      <c r="O118" s="32">
        <v>0</v>
      </c>
      <c r="P118" s="32">
        <v>0</v>
      </c>
      <c r="Q118" s="32">
        <v>25</v>
      </c>
      <c r="R118" s="34">
        <v>0</v>
      </c>
      <c r="S118" s="31">
        <v>0</v>
      </c>
      <c r="T118" s="32">
        <v>0</v>
      </c>
      <c r="U118" s="32">
        <v>0</v>
      </c>
      <c r="V118" s="32">
        <v>0</v>
      </c>
      <c r="W118" s="32">
        <v>80</v>
      </c>
      <c r="X118" s="32">
        <v>50</v>
      </c>
      <c r="Y118" s="32">
        <v>0</v>
      </c>
      <c r="Z118" s="32">
        <v>0</v>
      </c>
      <c r="AA118" s="32">
        <v>0</v>
      </c>
      <c r="AB118" s="32">
        <v>0</v>
      </c>
      <c r="AC118" s="32">
        <v>0</v>
      </c>
      <c r="AD118" s="32">
        <v>65</v>
      </c>
      <c r="AE118" s="32">
        <v>0</v>
      </c>
      <c r="AF118" s="32">
        <v>25</v>
      </c>
      <c r="AG118" s="32">
        <v>0</v>
      </c>
      <c r="AH118" s="68">
        <v>0</v>
      </c>
      <c r="AI118" s="24">
        <f t="shared" si="3"/>
        <v>405</v>
      </c>
    </row>
    <row r="119" spans="1:35" ht="15.75" customHeight="1">
      <c r="A119" s="155">
        <v>2212002015</v>
      </c>
      <c r="B119" s="92" t="s">
        <v>124</v>
      </c>
      <c r="C119" s="156" t="s">
        <v>6</v>
      </c>
      <c r="D119" s="27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9">
        <v>0</v>
      </c>
      <c r="S119" s="27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67">
        <v>0</v>
      </c>
      <c r="AI119" s="24">
        <f t="shared" si="3"/>
        <v>0</v>
      </c>
    </row>
    <row r="120" spans="1:35" ht="15.75" customHeight="1">
      <c r="A120" s="155">
        <v>2212002019</v>
      </c>
      <c r="B120" s="92" t="s">
        <v>125</v>
      </c>
      <c r="C120" s="156" t="s">
        <v>6</v>
      </c>
      <c r="D120" s="31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2">
        <v>0</v>
      </c>
      <c r="R120" s="34">
        <v>0</v>
      </c>
      <c r="S120" s="31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68">
        <v>0</v>
      </c>
      <c r="AI120" s="24">
        <f t="shared" si="3"/>
        <v>0</v>
      </c>
    </row>
    <row r="121" spans="1:35" ht="15.75" customHeight="1">
      <c r="A121" s="155">
        <v>2212002020</v>
      </c>
      <c r="B121" s="92" t="s">
        <v>126</v>
      </c>
      <c r="C121" s="156" t="s">
        <v>6</v>
      </c>
      <c r="D121" s="27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80</v>
      </c>
      <c r="R121" s="29">
        <v>0</v>
      </c>
      <c r="S121" s="27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80</v>
      </c>
      <c r="AG121" s="28">
        <v>0</v>
      </c>
      <c r="AH121" s="67">
        <v>0</v>
      </c>
      <c r="AI121" s="24">
        <f t="shared" si="3"/>
        <v>160</v>
      </c>
    </row>
    <row r="122" spans="1:35" ht="15.75" customHeight="1">
      <c r="A122" s="155">
        <v>2212002021</v>
      </c>
      <c r="B122" s="92" t="s">
        <v>127</v>
      </c>
      <c r="C122" s="156" t="s">
        <v>6</v>
      </c>
      <c r="D122" s="31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4">
        <v>0</v>
      </c>
      <c r="S122" s="31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68">
        <v>0</v>
      </c>
      <c r="AI122" s="24">
        <f t="shared" si="3"/>
        <v>0</v>
      </c>
    </row>
    <row r="123" spans="1:35" ht="15.75" customHeight="1">
      <c r="A123" s="155">
        <v>2212002024</v>
      </c>
      <c r="B123" s="92" t="s">
        <v>128</v>
      </c>
      <c r="C123" s="156" t="s">
        <v>6</v>
      </c>
      <c r="D123" s="27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9">
        <v>0</v>
      </c>
      <c r="S123" s="27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67">
        <v>0</v>
      </c>
      <c r="AI123" s="24">
        <f t="shared" si="3"/>
        <v>0</v>
      </c>
    </row>
    <row r="124" spans="1:35" ht="15.75" customHeight="1">
      <c r="A124" s="155">
        <v>2212002032</v>
      </c>
      <c r="B124" s="92" t="s">
        <v>129</v>
      </c>
      <c r="C124" s="156" t="s">
        <v>6</v>
      </c>
      <c r="D124" s="31">
        <v>0</v>
      </c>
      <c r="E124" s="32">
        <v>0</v>
      </c>
      <c r="F124" s="32">
        <v>0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4">
        <v>0</v>
      </c>
      <c r="S124" s="31">
        <v>0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68">
        <v>0</v>
      </c>
      <c r="AI124" s="24">
        <f t="shared" si="3"/>
        <v>0</v>
      </c>
    </row>
    <row r="125" spans="1:35" ht="15.75" customHeight="1">
      <c r="A125" s="155">
        <v>2212002033</v>
      </c>
      <c r="B125" s="92" t="s">
        <v>130</v>
      </c>
      <c r="C125" s="156" t="s">
        <v>6</v>
      </c>
      <c r="D125" s="27">
        <v>20</v>
      </c>
      <c r="E125" s="28">
        <v>30</v>
      </c>
      <c r="F125" s="28">
        <v>0</v>
      </c>
      <c r="G125" s="28">
        <v>0</v>
      </c>
      <c r="H125" s="28">
        <v>0</v>
      </c>
      <c r="I125" s="28">
        <v>50</v>
      </c>
      <c r="J125" s="28">
        <v>230</v>
      </c>
      <c r="K125" s="28">
        <v>85</v>
      </c>
      <c r="L125" s="28">
        <v>50</v>
      </c>
      <c r="M125" s="28">
        <v>0</v>
      </c>
      <c r="N125" s="28">
        <v>0</v>
      </c>
      <c r="O125" s="28">
        <v>0</v>
      </c>
      <c r="P125" s="28">
        <v>30</v>
      </c>
      <c r="Q125" s="28">
        <v>105</v>
      </c>
      <c r="R125" s="29">
        <v>115</v>
      </c>
      <c r="S125" s="27">
        <v>20</v>
      </c>
      <c r="T125" s="28">
        <v>0</v>
      </c>
      <c r="U125" s="28">
        <v>0</v>
      </c>
      <c r="V125" s="28">
        <v>30</v>
      </c>
      <c r="W125" s="28">
        <v>0</v>
      </c>
      <c r="X125" s="28">
        <v>50</v>
      </c>
      <c r="Y125" s="28">
        <v>230</v>
      </c>
      <c r="Z125" s="28">
        <v>85</v>
      </c>
      <c r="AA125" s="28">
        <v>0</v>
      </c>
      <c r="AB125" s="28">
        <v>0</v>
      </c>
      <c r="AC125" s="28">
        <v>65</v>
      </c>
      <c r="AD125" s="28">
        <v>85</v>
      </c>
      <c r="AE125" s="28">
        <v>30</v>
      </c>
      <c r="AF125" s="28">
        <v>105</v>
      </c>
      <c r="AG125" s="28">
        <v>115</v>
      </c>
      <c r="AH125" s="67">
        <v>0</v>
      </c>
      <c r="AI125" s="24">
        <f t="shared" si="3"/>
        <v>1530</v>
      </c>
    </row>
    <row r="126" spans="1:35" ht="15.75" customHeight="1">
      <c r="A126" s="155">
        <v>2212002037</v>
      </c>
      <c r="B126" s="92" t="s">
        <v>131</v>
      </c>
      <c r="C126" s="156" t="s">
        <v>6</v>
      </c>
      <c r="D126" s="31">
        <v>0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4">
        <v>0</v>
      </c>
      <c r="S126" s="31">
        <v>0</v>
      </c>
      <c r="T126" s="32">
        <v>0</v>
      </c>
      <c r="U126" s="32">
        <v>0</v>
      </c>
      <c r="V126" s="32">
        <v>0</v>
      </c>
      <c r="W126" s="32">
        <v>0</v>
      </c>
      <c r="X126" s="32">
        <v>0</v>
      </c>
      <c r="Y126" s="32">
        <v>0</v>
      </c>
      <c r="Z126" s="32">
        <v>0</v>
      </c>
      <c r="AA126" s="32">
        <v>0</v>
      </c>
      <c r="AB126" s="32">
        <v>0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68">
        <v>0</v>
      </c>
      <c r="AI126" s="24">
        <f t="shared" si="3"/>
        <v>0</v>
      </c>
    </row>
    <row r="127" spans="1:35" ht="15.75" customHeight="1">
      <c r="A127" s="155">
        <v>2212002039</v>
      </c>
      <c r="B127" s="92" t="s">
        <v>132</v>
      </c>
      <c r="C127" s="156" t="s">
        <v>6</v>
      </c>
      <c r="D127" s="27">
        <v>0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9">
        <v>0</v>
      </c>
      <c r="S127" s="27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67">
        <v>0</v>
      </c>
      <c r="AI127" s="24">
        <f t="shared" si="3"/>
        <v>0</v>
      </c>
    </row>
    <row r="128" spans="1:35" ht="15.75" customHeight="1">
      <c r="A128" s="155">
        <v>2212002041</v>
      </c>
      <c r="B128" s="92" t="s">
        <v>133</v>
      </c>
      <c r="C128" s="156" t="s">
        <v>6</v>
      </c>
      <c r="D128" s="31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75</v>
      </c>
      <c r="Q128" s="32">
        <v>0</v>
      </c>
      <c r="R128" s="34">
        <v>0</v>
      </c>
      <c r="S128" s="31">
        <v>0</v>
      </c>
      <c r="T128" s="32">
        <v>0</v>
      </c>
      <c r="U128" s="32">
        <v>0</v>
      </c>
      <c r="V128" s="32">
        <v>0</v>
      </c>
      <c r="W128" s="32">
        <v>0</v>
      </c>
      <c r="X128" s="32">
        <v>0</v>
      </c>
      <c r="Y128" s="32">
        <v>0</v>
      </c>
      <c r="Z128" s="32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75</v>
      </c>
      <c r="AF128" s="32">
        <v>0</v>
      </c>
      <c r="AG128" s="32">
        <v>0</v>
      </c>
      <c r="AH128" s="68">
        <v>0</v>
      </c>
      <c r="AI128" s="24">
        <f t="shared" si="3"/>
        <v>150</v>
      </c>
    </row>
    <row r="129" spans="1:35" ht="15.75" customHeight="1">
      <c r="A129" s="155">
        <v>2212002042</v>
      </c>
      <c r="B129" s="92" t="s">
        <v>134</v>
      </c>
      <c r="C129" s="156" t="s">
        <v>6</v>
      </c>
      <c r="D129" s="27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9">
        <v>0</v>
      </c>
      <c r="S129" s="27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67">
        <v>0</v>
      </c>
      <c r="AI129" s="24">
        <f t="shared" si="3"/>
        <v>0</v>
      </c>
    </row>
    <row r="130" spans="1:35" ht="15.75" customHeight="1">
      <c r="A130" s="155">
        <v>2212002043</v>
      </c>
      <c r="B130" s="92" t="s">
        <v>135</v>
      </c>
      <c r="C130" s="156" t="s">
        <v>6</v>
      </c>
      <c r="D130" s="31">
        <v>0</v>
      </c>
      <c r="E130" s="32">
        <v>0</v>
      </c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4">
        <v>0</v>
      </c>
      <c r="S130" s="31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68">
        <v>0</v>
      </c>
      <c r="AI130" s="24">
        <f t="shared" si="3"/>
        <v>0</v>
      </c>
    </row>
    <row r="131" spans="1:35" ht="15.75" customHeight="1">
      <c r="A131" s="172">
        <v>2212002044</v>
      </c>
      <c r="B131" s="95" t="s">
        <v>136</v>
      </c>
      <c r="C131" s="173" t="s">
        <v>6</v>
      </c>
      <c r="D131" s="111">
        <v>0</v>
      </c>
      <c r="E131" s="113">
        <v>0</v>
      </c>
      <c r="F131" s="113">
        <v>0</v>
      </c>
      <c r="G131" s="113">
        <v>0</v>
      </c>
      <c r="H131" s="113">
        <v>0</v>
      </c>
      <c r="I131" s="113">
        <v>0</v>
      </c>
      <c r="J131" s="113">
        <v>0</v>
      </c>
      <c r="K131" s="113"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  <c r="Q131" s="113">
        <v>0</v>
      </c>
      <c r="R131" s="114">
        <v>0</v>
      </c>
      <c r="S131" s="111">
        <v>0</v>
      </c>
      <c r="T131" s="113">
        <v>0</v>
      </c>
      <c r="U131" s="113">
        <v>0</v>
      </c>
      <c r="V131" s="113">
        <v>0</v>
      </c>
      <c r="W131" s="113">
        <v>0</v>
      </c>
      <c r="X131" s="113">
        <v>0</v>
      </c>
      <c r="Y131" s="113">
        <v>0</v>
      </c>
      <c r="Z131" s="113">
        <v>0</v>
      </c>
      <c r="AA131" s="113">
        <v>0</v>
      </c>
      <c r="AB131" s="113">
        <v>0</v>
      </c>
      <c r="AC131" s="113">
        <v>0</v>
      </c>
      <c r="AD131" s="113">
        <v>0</v>
      </c>
      <c r="AE131" s="113">
        <v>0</v>
      </c>
      <c r="AF131" s="113">
        <v>0</v>
      </c>
      <c r="AG131" s="113">
        <v>0</v>
      </c>
      <c r="AH131" s="116">
        <v>0</v>
      </c>
      <c r="AI131" s="24">
        <f t="shared" si="3"/>
        <v>0</v>
      </c>
    </row>
    <row r="132" spans="1:35" ht="18.75" customHeight="1">
      <c r="A132" s="628" t="s">
        <v>137</v>
      </c>
      <c r="B132" s="606"/>
      <c r="C132" s="606"/>
      <c r="D132" s="606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606"/>
      <c r="Y132" s="606"/>
      <c r="Z132" s="606"/>
      <c r="AA132" s="606"/>
      <c r="AB132" s="606"/>
      <c r="AC132" s="606"/>
      <c r="AD132" s="606"/>
      <c r="AE132" s="606"/>
      <c r="AF132" s="606"/>
      <c r="AG132" s="606"/>
      <c r="AH132" s="606"/>
      <c r="AI132" s="607"/>
    </row>
    <row r="133" spans="1:35" ht="15.75" customHeight="1">
      <c r="A133" s="174">
        <v>2212006001</v>
      </c>
      <c r="B133" s="100" t="s">
        <v>138</v>
      </c>
      <c r="C133" s="175" t="s">
        <v>6</v>
      </c>
      <c r="D133" s="16">
        <v>105</v>
      </c>
      <c r="E133" s="17">
        <v>65</v>
      </c>
      <c r="F133" s="17">
        <v>0</v>
      </c>
      <c r="G133" s="17">
        <v>0</v>
      </c>
      <c r="H133" s="17">
        <v>145</v>
      </c>
      <c r="I133" s="17">
        <v>75</v>
      </c>
      <c r="J133" s="17">
        <v>0</v>
      </c>
      <c r="K133" s="17">
        <v>30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54">
        <v>115</v>
      </c>
      <c r="S133" s="16">
        <v>105</v>
      </c>
      <c r="T133" s="17">
        <v>0</v>
      </c>
      <c r="U133" s="17">
        <v>0</v>
      </c>
      <c r="V133" s="17">
        <v>30</v>
      </c>
      <c r="W133" s="17">
        <v>145</v>
      </c>
      <c r="X133" s="17">
        <v>75</v>
      </c>
      <c r="Y133" s="17">
        <v>0</v>
      </c>
      <c r="Z133" s="17">
        <v>30</v>
      </c>
      <c r="AA133" s="17">
        <v>0</v>
      </c>
      <c r="AB133" s="17">
        <v>0</v>
      </c>
      <c r="AC133" s="17">
        <v>65</v>
      </c>
      <c r="AD133" s="17">
        <v>30</v>
      </c>
      <c r="AE133" s="17">
        <v>0</v>
      </c>
      <c r="AF133" s="17">
        <v>0</v>
      </c>
      <c r="AG133" s="17">
        <v>115</v>
      </c>
      <c r="AH133" s="18">
        <v>0</v>
      </c>
      <c r="AI133" s="179">
        <f t="shared" ref="AI133:AI141" si="4">SUM(D133:AH133)</f>
        <v>1130</v>
      </c>
    </row>
    <row r="134" spans="1:35" ht="15.75" customHeight="1">
      <c r="A134" s="180">
        <v>2212006003</v>
      </c>
      <c r="B134" s="170" t="s">
        <v>139</v>
      </c>
      <c r="C134" s="181" t="s">
        <v>6</v>
      </c>
      <c r="D134" s="31">
        <v>0</v>
      </c>
      <c r="E134" s="32">
        <v>0</v>
      </c>
      <c r="F134" s="32">
        <v>0</v>
      </c>
      <c r="G134" s="32">
        <v>0</v>
      </c>
      <c r="H134" s="32">
        <v>0</v>
      </c>
      <c r="I134" s="32">
        <v>0</v>
      </c>
      <c r="J134" s="32">
        <v>70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4">
        <v>60</v>
      </c>
      <c r="S134" s="31">
        <v>0</v>
      </c>
      <c r="T134" s="32">
        <v>0</v>
      </c>
      <c r="U134" s="32">
        <v>0</v>
      </c>
      <c r="V134" s="32">
        <v>75</v>
      </c>
      <c r="W134" s="32">
        <v>0</v>
      </c>
      <c r="X134" s="32">
        <v>0</v>
      </c>
      <c r="Y134" s="32">
        <v>70</v>
      </c>
      <c r="Z134" s="32">
        <v>0</v>
      </c>
      <c r="AA134" s="32">
        <v>0</v>
      </c>
      <c r="AB134" s="32">
        <v>0</v>
      </c>
      <c r="AC134" s="32">
        <v>0</v>
      </c>
      <c r="AD134" s="32">
        <v>75</v>
      </c>
      <c r="AE134" s="32">
        <v>0</v>
      </c>
      <c r="AF134" s="32">
        <v>0</v>
      </c>
      <c r="AG134" s="32">
        <v>60</v>
      </c>
      <c r="AH134" s="68">
        <v>0</v>
      </c>
      <c r="AI134" s="179">
        <f t="shared" si="4"/>
        <v>410</v>
      </c>
    </row>
    <row r="135" spans="1:35" ht="15.75" customHeight="1">
      <c r="A135" s="180">
        <v>2212006004</v>
      </c>
      <c r="B135" s="106" t="s">
        <v>140</v>
      </c>
      <c r="C135" s="181" t="s">
        <v>6</v>
      </c>
      <c r="D135" s="27">
        <v>75</v>
      </c>
      <c r="E135" s="28">
        <v>0</v>
      </c>
      <c r="F135" s="28">
        <v>0</v>
      </c>
      <c r="G135" s="28">
        <v>0</v>
      </c>
      <c r="H135" s="28">
        <v>0</v>
      </c>
      <c r="I135" s="28">
        <v>75</v>
      </c>
      <c r="J135" s="28">
        <v>0</v>
      </c>
      <c r="K135" s="28">
        <v>75</v>
      </c>
      <c r="L135" s="28">
        <v>75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9">
        <v>0</v>
      </c>
      <c r="S135" s="27">
        <v>75</v>
      </c>
      <c r="T135" s="28">
        <v>0</v>
      </c>
      <c r="U135" s="28">
        <v>0</v>
      </c>
      <c r="V135" s="28">
        <v>75</v>
      </c>
      <c r="W135" s="28">
        <v>0</v>
      </c>
      <c r="X135" s="28">
        <v>75</v>
      </c>
      <c r="Y135" s="28">
        <v>0</v>
      </c>
      <c r="Z135" s="28">
        <v>75</v>
      </c>
      <c r="AA135" s="28">
        <v>0</v>
      </c>
      <c r="AB135" s="28">
        <v>0</v>
      </c>
      <c r="AC135" s="28">
        <v>85</v>
      </c>
      <c r="AD135" s="28">
        <v>0</v>
      </c>
      <c r="AE135" s="28">
        <v>0</v>
      </c>
      <c r="AF135" s="28">
        <v>0</v>
      </c>
      <c r="AG135" s="28">
        <v>0</v>
      </c>
      <c r="AH135" s="67">
        <v>0</v>
      </c>
      <c r="AI135" s="179">
        <f t="shared" si="4"/>
        <v>685</v>
      </c>
    </row>
    <row r="136" spans="1:35" ht="15.75" customHeight="1">
      <c r="A136" s="180">
        <v>2212006005</v>
      </c>
      <c r="B136" s="106" t="s">
        <v>141</v>
      </c>
      <c r="C136" s="181" t="s">
        <v>6</v>
      </c>
      <c r="D136" s="31">
        <v>0</v>
      </c>
      <c r="E136" s="32">
        <v>30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30</v>
      </c>
      <c r="L136" s="32">
        <v>0</v>
      </c>
      <c r="M136" s="32">
        <v>0</v>
      </c>
      <c r="N136" s="32">
        <v>0</v>
      </c>
      <c r="O136" s="32">
        <v>0</v>
      </c>
      <c r="P136" s="32">
        <v>70</v>
      </c>
      <c r="Q136" s="32">
        <v>0</v>
      </c>
      <c r="R136" s="34">
        <v>0</v>
      </c>
      <c r="S136" s="31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30</v>
      </c>
      <c r="AA136" s="32">
        <v>0</v>
      </c>
      <c r="AB136" s="32">
        <v>0</v>
      </c>
      <c r="AC136" s="32">
        <v>0</v>
      </c>
      <c r="AD136" s="32">
        <v>0</v>
      </c>
      <c r="AE136" s="32">
        <v>70</v>
      </c>
      <c r="AF136" s="32">
        <v>0</v>
      </c>
      <c r="AG136" s="32">
        <v>0</v>
      </c>
      <c r="AH136" s="68">
        <v>0</v>
      </c>
      <c r="AI136" s="179">
        <f t="shared" si="4"/>
        <v>230</v>
      </c>
    </row>
    <row r="137" spans="1:35" ht="15.75" customHeight="1">
      <c r="A137" s="180">
        <v>2212006006</v>
      </c>
      <c r="B137" s="106" t="s">
        <v>142</v>
      </c>
      <c r="C137" s="181" t="s">
        <v>6</v>
      </c>
      <c r="D137" s="27">
        <v>0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70</v>
      </c>
      <c r="R137" s="29">
        <v>0</v>
      </c>
      <c r="S137" s="27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70</v>
      </c>
      <c r="AG137" s="28">
        <v>0</v>
      </c>
      <c r="AH137" s="67">
        <v>0</v>
      </c>
      <c r="AI137" s="179">
        <f t="shared" si="4"/>
        <v>140</v>
      </c>
    </row>
    <row r="138" spans="1:35" ht="15.75" customHeight="1">
      <c r="A138" s="180">
        <v>2212006009</v>
      </c>
      <c r="B138" s="106" t="s">
        <v>143</v>
      </c>
      <c r="C138" s="181" t="s">
        <v>6</v>
      </c>
      <c r="D138" s="31">
        <v>0</v>
      </c>
      <c r="E138" s="32">
        <v>0</v>
      </c>
      <c r="F138" s="32">
        <v>0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10</v>
      </c>
      <c r="Q138" s="32">
        <v>0</v>
      </c>
      <c r="R138" s="34">
        <v>0</v>
      </c>
      <c r="S138" s="31">
        <v>0</v>
      </c>
      <c r="T138" s="32">
        <v>0</v>
      </c>
      <c r="U138" s="32">
        <v>0</v>
      </c>
      <c r="V138" s="32">
        <v>30</v>
      </c>
      <c r="W138" s="32">
        <v>0</v>
      </c>
      <c r="X138" s="32">
        <v>0</v>
      </c>
      <c r="Y138" s="32">
        <v>0</v>
      </c>
      <c r="Z138" s="32">
        <v>0</v>
      </c>
      <c r="AA138" s="32">
        <v>0</v>
      </c>
      <c r="AB138" s="32">
        <v>0</v>
      </c>
      <c r="AC138" s="32">
        <v>0</v>
      </c>
      <c r="AD138" s="32">
        <v>0</v>
      </c>
      <c r="AE138" s="32">
        <v>10</v>
      </c>
      <c r="AF138" s="32">
        <v>0</v>
      </c>
      <c r="AG138" s="32">
        <v>0</v>
      </c>
      <c r="AH138" s="68">
        <v>0</v>
      </c>
      <c r="AI138" s="179">
        <f t="shared" si="4"/>
        <v>50</v>
      </c>
    </row>
    <row r="139" spans="1:35" ht="15.75" customHeight="1">
      <c r="A139" s="180">
        <v>2212006011</v>
      </c>
      <c r="B139" s="106" t="s">
        <v>144</v>
      </c>
      <c r="C139" s="181" t="s">
        <v>8</v>
      </c>
      <c r="D139" s="27">
        <v>0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9">
        <v>0</v>
      </c>
      <c r="S139" s="27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67">
        <v>0</v>
      </c>
      <c r="AI139" s="179">
        <f t="shared" si="4"/>
        <v>0</v>
      </c>
    </row>
    <row r="140" spans="1:35" ht="15.75" customHeight="1">
      <c r="A140" s="180">
        <v>2212006012</v>
      </c>
      <c r="B140" s="106" t="s">
        <v>145</v>
      </c>
      <c r="C140" s="181" t="s">
        <v>8</v>
      </c>
      <c r="D140" s="31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2">
        <v>0</v>
      </c>
      <c r="R140" s="34">
        <v>0</v>
      </c>
      <c r="S140" s="31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0</v>
      </c>
      <c r="Z140" s="32">
        <v>0</v>
      </c>
      <c r="AA140" s="32">
        <v>0</v>
      </c>
      <c r="AB140" s="32">
        <v>0</v>
      </c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68">
        <v>0</v>
      </c>
      <c r="AI140" s="179">
        <f t="shared" si="4"/>
        <v>0</v>
      </c>
    </row>
    <row r="141" spans="1:35" ht="15.75" customHeight="1">
      <c r="A141" s="180">
        <v>2212006013</v>
      </c>
      <c r="B141" s="109" t="s">
        <v>146</v>
      </c>
      <c r="C141" s="197" t="s">
        <v>6</v>
      </c>
      <c r="D141" s="111">
        <v>0</v>
      </c>
      <c r="E141" s="113">
        <v>0</v>
      </c>
      <c r="F141" s="113">
        <v>0</v>
      </c>
      <c r="G141" s="113">
        <v>0</v>
      </c>
      <c r="H141" s="113">
        <v>0</v>
      </c>
      <c r="I141" s="113">
        <v>0</v>
      </c>
      <c r="J141" s="113">
        <v>0</v>
      </c>
      <c r="K141" s="113">
        <v>0</v>
      </c>
      <c r="L141" s="113">
        <v>65</v>
      </c>
      <c r="M141" s="113">
        <v>0</v>
      </c>
      <c r="N141" s="113">
        <v>0</v>
      </c>
      <c r="O141" s="113">
        <v>0</v>
      </c>
      <c r="P141" s="113">
        <v>0</v>
      </c>
      <c r="Q141" s="113">
        <v>0</v>
      </c>
      <c r="R141" s="114">
        <v>0</v>
      </c>
      <c r="S141" s="111">
        <v>0</v>
      </c>
      <c r="T141" s="113">
        <v>0</v>
      </c>
      <c r="U141" s="113">
        <v>0</v>
      </c>
      <c r="V141" s="113">
        <v>0</v>
      </c>
      <c r="W141" s="113">
        <v>0</v>
      </c>
      <c r="X141" s="113">
        <v>0</v>
      </c>
      <c r="Y141" s="113">
        <v>0</v>
      </c>
      <c r="Z141" s="113">
        <v>0</v>
      </c>
      <c r="AA141" s="113">
        <v>0</v>
      </c>
      <c r="AB141" s="113">
        <v>0</v>
      </c>
      <c r="AC141" s="113">
        <v>0</v>
      </c>
      <c r="AD141" s="113">
        <v>0</v>
      </c>
      <c r="AE141" s="113">
        <v>0</v>
      </c>
      <c r="AF141" s="113">
        <v>0</v>
      </c>
      <c r="AG141" s="113">
        <v>0</v>
      </c>
      <c r="AH141" s="116">
        <v>0</v>
      </c>
      <c r="AI141" s="179">
        <f t="shared" si="4"/>
        <v>65</v>
      </c>
    </row>
    <row r="142" spans="1:35" ht="18.75" customHeight="1">
      <c r="A142" s="619" t="s">
        <v>147</v>
      </c>
      <c r="B142" s="606"/>
      <c r="C142" s="606"/>
      <c r="D142" s="606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606"/>
      <c r="W142" s="606"/>
      <c r="X142" s="606"/>
      <c r="Y142" s="606"/>
      <c r="Z142" s="606"/>
      <c r="AA142" s="606"/>
      <c r="AB142" s="606"/>
      <c r="AC142" s="606"/>
      <c r="AD142" s="606"/>
      <c r="AE142" s="606"/>
      <c r="AF142" s="606"/>
      <c r="AG142" s="606"/>
      <c r="AH142" s="606"/>
      <c r="AI142" s="607"/>
    </row>
    <row r="143" spans="1:35" ht="15.75" customHeight="1">
      <c r="A143" s="198">
        <v>2212007001</v>
      </c>
      <c r="B143" s="120" t="s">
        <v>148</v>
      </c>
      <c r="C143" s="199" t="s">
        <v>6</v>
      </c>
      <c r="D143" s="16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54">
        <v>0</v>
      </c>
      <c r="S143" s="16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0</v>
      </c>
      <c r="AI143" s="179">
        <f t="shared" ref="AI143:AI152" si="5">SUM(D143:AH143)</f>
        <v>0</v>
      </c>
    </row>
    <row r="144" spans="1:35" ht="15.75" customHeight="1">
      <c r="A144" s="200">
        <v>2212007002</v>
      </c>
      <c r="B144" s="123" t="s">
        <v>149</v>
      </c>
      <c r="C144" s="190" t="s">
        <v>6</v>
      </c>
      <c r="D144" s="31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  <c r="P144" s="32">
        <v>0</v>
      </c>
      <c r="Q144" s="32">
        <v>0</v>
      </c>
      <c r="R144" s="34">
        <v>0</v>
      </c>
      <c r="S144" s="31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2">
        <v>0</v>
      </c>
      <c r="Z144" s="32">
        <v>0</v>
      </c>
      <c r="AA144" s="32">
        <v>0</v>
      </c>
      <c r="AB144" s="32">
        <v>0</v>
      </c>
      <c r="AC144" s="32">
        <v>0</v>
      </c>
      <c r="AD144" s="32">
        <v>0</v>
      </c>
      <c r="AE144" s="32">
        <v>0</v>
      </c>
      <c r="AF144" s="32">
        <v>0</v>
      </c>
      <c r="AG144" s="32">
        <v>0</v>
      </c>
      <c r="AH144" s="68">
        <v>0</v>
      </c>
      <c r="AI144" s="179">
        <f t="shared" si="5"/>
        <v>0</v>
      </c>
    </row>
    <row r="145" spans="1:35" ht="15.75" customHeight="1">
      <c r="A145" s="198">
        <v>2212007003</v>
      </c>
      <c r="B145" s="127" t="s">
        <v>150</v>
      </c>
      <c r="C145" s="202" t="s">
        <v>6</v>
      </c>
      <c r="D145" s="27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9">
        <v>0</v>
      </c>
      <c r="S145" s="27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0</v>
      </c>
      <c r="AH145" s="67">
        <v>0</v>
      </c>
      <c r="AI145" s="179">
        <f t="shared" si="5"/>
        <v>0</v>
      </c>
    </row>
    <row r="146" spans="1:35" ht="15.75" customHeight="1">
      <c r="A146" s="198">
        <v>2212007004</v>
      </c>
      <c r="B146" s="127" t="s">
        <v>151</v>
      </c>
      <c r="C146" s="202" t="s">
        <v>6</v>
      </c>
      <c r="D146" s="31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4">
        <v>0</v>
      </c>
      <c r="S146" s="31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68">
        <v>0</v>
      </c>
      <c r="AI146" s="179">
        <f t="shared" si="5"/>
        <v>0</v>
      </c>
    </row>
    <row r="147" spans="1:35" ht="15.75" customHeight="1">
      <c r="A147" s="198">
        <v>2212007005</v>
      </c>
      <c r="B147" s="127" t="s">
        <v>152</v>
      </c>
      <c r="C147" s="202" t="s">
        <v>6</v>
      </c>
      <c r="D147" s="27">
        <v>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9">
        <v>0</v>
      </c>
      <c r="S147" s="27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67">
        <v>0</v>
      </c>
      <c r="AI147" s="179">
        <f t="shared" si="5"/>
        <v>0</v>
      </c>
    </row>
    <row r="148" spans="1:35" ht="15.75" customHeight="1">
      <c r="A148" s="198">
        <v>2212007006</v>
      </c>
      <c r="B148" s="127" t="s">
        <v>153</v>
      </c>
      <c r="C148" s="202" t="s">
        <v>6</v>
      </c>
      <c r="D148" s="31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4">
        <v>0</v>
      </c>
      <c r="S148" s="31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68">
        <v>0</v>
      </c>
      <c r="AI148" s="179">
        <f t="shared" si="5"/>
        <v>0</v>
      </c>
    </row>
    <row r="149" spans="1:35" ht="15.75" customHeight="1">
      <c r="A149" s="198">
        <v>2212007007</v>
      </c>
      <c r="B149" s="127" t="s">
        <v>154</v>
      </c>
      <c r="C149" s="202" t="s">
        <v>6</v>
      </c>
      <c r="D149" s="27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9">
        <v>0</v>
      </c>
      <c r="S149" s="27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67">
        <v>0</v>
      </c>
      <c r="AI149" s="179">
        <f t="shared" si="5"/>
        <v>0</v>
      </c>
    </row>
    <row r="150" spans="1:35" ht="15.75" customHeight="1">
      <c r="A150" s="198">
        <v>2212007008</v>
      </c>
      <c r="B150" s="127" t="s">
        <v>155</v>
      </c>
      <c r="C150" s="202" t="s">
        <v>6</v>
      </c>
      <c r="D150" s="31">
        <v>85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4">
        <v>0</v>
      </c>
      <c r="S150" s="31">
        <v>85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2">
        <v>0</v>
      </c>
      <c r="Z150" s="32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68">
        <v>0</v>
      </c>
      <c r="AI150" s="179">
        <f t="shared" si="5"/>
        <v>215</v>
      </c>
    </row>
    <row r="151" spans="1:35" ht="15.75" customHeight="1">
      <c r="A151" s="198">
        <v>2212007009</v>
      </c>
      <c r="B151" s="127" t="s">
        <v>156</v>
      </c>
      <c r="C151" s="202" t="s">
        <v>6</v>
      </c>
      <c r="D151" s="27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9">
        <v>0</v>
      </c>
      <c r="S151" s="27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67">
        <v>0</v>
      </c>
      <c r="AI151" s="179">
        <f t="shared" si="5"/>
        <v>0</v>
      </c>
    </row>
    <row r="152" spans="1:35" ht="15.75" customHeight="1">
      <c r="A152" s="203">
        <v>2212007010</v>
      </c>
      <c r="B152" s="134" t="s">
        <v>157</v>
      </c>
      <c r="C152" s="204" t="s">
        <v>6</v>
      </c>
      <c r="D152" s="205">
        <v>0</v>
      </c>
      <c r="E152" s="206">
        <v>0</v>
      </c>
      <c r="F152" s="206">
        <v>0</v>
      </c>
      <c r="G152" s="206">
        <v>0</v>
      </c>
      <c r="H152" s="206">
        <v>0</v>
      </c>
      <c r="I152" s="206">
        <v>0</v>
      </c>
      <c r="J152" s="206">
        <v>0</v>
      </c>
      <c r="K152" s="206">
        <v>0</v>
      </c>
      <c r="L152" s="206">
        <v>25</v>
      </c>
      <c r="M152" s="206">
        <v>0</v>
      </c>
      <c r="N152" s="206">
        <v>0</v>
      </c>
      <c r="O152" s="206">
        <v>0</v>
      </c>
      <c r="P152" s="206">
        <v>0</v>
      </c>
      <c r="Q152" s="206">
        <v>0</v>
      </c>
      <c r="R152" s="207">
        <v>0</v>
      </c>
      <c r="S152" s="205">
        <v>0</v>
      </c>
      <c r="T152" s="206">
        <v>0</v>
      </c>
      <c r="U152" s="206">
        <v>0</v>
      </c>
      <c r="V152" s="206">
        <v>0</v>
      </c>
      <c r="W152" s="206">
        <v>0</v>
      </c>
      <c r="X152" s="206">
        <v>0</v>
      </c>
      <c r="Y152" s="206">
        <v>0</v>
      </c>
      <c r="Z152" s="206">
        <v>0</v>
      </c>
      <c r="AA152" s="206">
        <v>0</v>
      </c>
      <c r="AB152" s="206">
        <v>0</v>
      </c>
      <c r="AC152" s="206">
        <v>0</v>
      </c>
      <c r="AD152" s="206">
        <v>0</v>
      </c>
      <c r="AE152" s="206">
        <v>0</v>
      </c>
      <c r="AF152" s="206">
        <v>0</v>
      </c>
      <c r="AG152" s="206">
        <v>0</v>
      </c>
      <c r="AH152" s="208">
        <v>0</v>
      </c>
      <c r="AI152" s="179">
        <f t="shared" si="5"/>
        <v>25</v>
      </c>
    </row>
    <row r="153" spans="1:35" ht="18.75" customHeight="1">
      <c r="A153" s="620" t="s">
        <v>158</v>
      </c>
      <c r="B153" s="606"/>
      <c r="C153" s="606"/>
      <c r="D153" s="606"/>
      <c r="E153" s="606"/>
      <c r="F153" s="606"/>
      <c r="G153" s="606"/>
      <c r="H153" s="606"/>
      <c r="I153" s="606"/>
      <c r="J153" s="606"/>
      <c r="K153" s="606"/>
      <c r="L153" s="606"/>
      <c r="M153" s="606"/>
      <c r="N153" s="606"/>
      <c r="O153" s="606"/>
      <c r="P153" s="606"/>
      <c r="Q153" s="606"/>
      <c r="R153" s="606"/>
      <c r="S153" s="606"/>
      <c r="T153" s="606"/>
      <c r="U153" s="606"/>
      <c r="V153" s="606"/>
      <c r="W153" s="606"/>
      <c r="X153" s="606"/>
      <c r="Y153" s="606"/>
      <c r="Z153" s="606"/>
      <c r="AA153" s="606"/>
      <c r="AB153" s="606"/>
      <c r="AC153" s="606"/>
      <c r="AD153" s="606"/>
      <c r="AE153" s="606"/>
      <c r="AF153" s="606"/>
      <c r="AG153" s="606"/>
      <c r="AH153" s="606"/>
      <c r="AI153" s="607"/>
    </row>
    <row r="154" spans="1:35" ht="15.75" customHeight="1">
      <c r="A154" s="152">
        <v>2212003002</v>
      </c>
      <c r="B154" s="88" t="s">
        <v>159</v>
      </c>
      <c r="C154" s="153" t="s">
        <v>6</v>
      </c>
      <c r="D154" s="216">
        <v>0</v>
      </c>
      <c r="E154" s="218">
        <v>0</v>
      </c>
      <c r="F154" s="218">
        <v>0</v>
      </c>
      <c r="G154" s="218">
        <v>0</v>
      </c>
      <c r="H154" s="218">
        <v>0</v>
      </c>
      <c r="I154" s="218">
        <v>0</v>
      </c>
      <c r="J154" s="218">
        <v>0</v>
      </c>
      <c r="K154" s="218">
        <v>0</v>
      </c>
      <c r="L154" s="218">
        <v>0</v>
      </c>
      <c r="M154" s="218">
        <v>0</v>
      </c>
      <c r="N154" s="218">
        <v>0</v>
      </c>
      <c r="O154" s="218">
        <v>0</v>
      </c>
      <c r="P154" s="218">
        <v>0</v>
      </c>
      <c r="Q154" s="218">
        <v>0</v>
      </c>
      <c r="R154" s="219">
        <v>0</v>
      </c>
      <c r="S154" s="216">
        <v>0</v>
      </c>
      <c r="T154" s="218">
        <v>0</v>
      </c>
      <c r="U154" s="218">
        <v>0</v>
      </c>
      <c r="V154" s="218">
        <v>0</v>
      </c>
      <c r="W154" s="218">
        <v>0</v>
      </c>
      <c r="X154" s="218">
        <v>0</v>
      </c>
      <c r="Y154" s="218">
        <v>0</v>
      </c>
      <c r="Z154" s="218">
        <v>0</v>
      </c>
      <c r="AA154" s="218">
        <v>0</v>
      </c>
      <c r="AB154" s="218">
        <v>0</v>
      </c>
      <c r="AC154" s="218">
        <v>0</v>
      </c>
      <c r="AD154" s="218">
        <v>0</v>
      </c>
      <c r="AE154" s="218">
        <v>0</v>
      </c>
      <c r="AF154" s="218">
        <v>0</v>
      </c>
      <c r="AG154" s="218">
        <v>0</v>
      </c>
      <c r="AH154" s="222">
        <v>0</v>
      </c>
      <c r="AI154" s="179">
        <f t="shared" ref="AI154:AI163" si="6">SUM(D154:AH154)</f>
        <v>0</v>
      </c>
    </row>
    <row r="155" spans="1:35" ht="15.75" customHeight="1">
      <c r="A155" s="155">
        <v>2212003003</v>
      </c>
      <c r="B155" s="92" t="s">
        <v>160</v>
      </c>
      <c r="C155" s="156" t="s">
        <v>6</v>
      </c>
      <c r="D155" s="27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15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9">
        <v>0</v>
      </c>
      <c r="S155" s="27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15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67">
        <v>0</v>
      </c>
      <c r="AI155" s="179">
        <f t="shared" si="6"/>
        <v>30</v>
      </c>
    </row>
    <row r="156" spans="1:35" ht="15.75" customHeight="1">
      <c r="A156" s="155">
        <v>2212003004</v>
      </c>
      <c r="B156" s="92" t="s">
        <v>161</v>
      </c>
      <c r="C156" s="156" t="s">
        <v>6</v>
      </c>
      <c r="D156" s="31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4">
        <v>0</v>
      </c>
      <c r="S156" s="31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68">
        <v>0</v>
      </c>
      <c r="AI156" s="179">
        <f t="shared" si="6"/>
        <v>0</v>
      </c>
    </row>
    <row r="157" spans="1:35" ht="15.75" customHeight="1">
      <c r="A157" s="155">
        <v>2212003008</v>
      </c>
      <c r="B157" s="92" t="s">
        <v>162</v>
      </c>
      <c r="C157" s="156" t="s">
        <v>6</v>
      </c>
      <c r="D157" s="27">
        <v>0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9">
        <v>0</v>
      </c>
      <c r="S157" s="27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5</v>
      </c>
      <c r="AE157" s="28">
        <v>0</v>
      </c>
      <c r="AF157" s="28">
        <v>0</v>
      </c>
      <c r="AG157" s="28">
        <v>0</v>
      </c>
      <c r="AH157" s="67">
        <v>0</v>
      </c>
      <c r="AI157" s="179">
        <f t="shared" si="6"/>
        <v>5</v>
      </c>
    </row>
    <row r="158" spans="1:35" ht="15.75" customHeight="1">
      <c r="A158" s="155">
        <v>2212003009</v>
      </c>
      <c r="B158" s="92" t="s">
        <v>163</v>
      </c>
      <c r="C158" s="156" t="s">
        <v>6</v>
      </c>
      <c r="D158" s="31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4">
        <v>0</v>
      </c>
      <c r="S158" s="31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68">
        <v>0</v>
      </c>
      <c r="AI158" s="179">
        <f t="shared" si="6"/>
        <v>0</v>
      </c>
    </row>
    <row r="159" spans="1:35" ht="15.75" customHeight="1">
      <c r="A159" s="155">
        <v>2212003010</v>
      </c>
      <c r="B159" s="92" t="s">
        <v>164</v>
      </c>
      <c r="C159" s="156" t="s">
        <v>6</v>
      </c>
      <c r="D159" s="27">
        <v>0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9">
        <v>0</v>
      </c>
      <c r="S159" s="27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67">
        <v>0</v>
      </c>
      <c r="AI159" s="179">
        <f t="shared" si="6"/>
        <v>0</v>
      </c>
    </row>
    <row r="160" spans="1:35" ht="15.75" customHeight="1">
      <c r="A160" s="155">
        <v>2212003011</v>
      </c>
      <c r="B160" s="92" t="s">
        <v>165</v>
      </c>
      <c r="C160" s="156" t="s">
        <v>6</v>
      </c>
      <c r="D160" s="31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4">
        <v>0</v>
      </c>
      <c r="S160" s="31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68">
        <v>0</v>
      </c>
      <c r="AI160" s="179">
        <f t="shared" si="6"/>
        <v>0</v>
      </c>
    </row>
    <row r="161" spans="1:35" ht="15.75" customHeight="1">
      <c r="A161" s="155">
        <v>2212003012</v>
      </c>
      <c r="B161" s="92" t="s">
        <v>166</v>
      </c>
      <c r="C161" s="156" t="s">
        <v>6</v>
      </c>
      <c r="D161" s="27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9">
        <v>0</v>
      </c>
      <c r="S161" s="27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67">
        <v>0</v>
      </c>
      <c r="AI161" s="179">
        <f t="shared" si="6"/>
        <v>0</v>
      </c>
    </row>
    <row r="162" spans="1:35" ht="15.75" customHeight="1">
      <c r="A162" s="155">
        <v>2212003013</v>
      </c>
      <c r="B162" s="92" t="s">
        <v>167</v>
      </c>
      <c r="C162" s="156" t="s">
        <v>6</v>
      </c>
      <c r="D162" s="31">
        <v>0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32">
        <v>0</v>
      </c>
      <c r="P162" s="32">
        <v>0</v>
      </c>
      <c r="Q162" s="32">
        <v>0</v>
      </c>
      <c r="R162" s="34">
        <v>0</v>
      </c>
      <c r="S162" s="31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  <c r="Z162" s="32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68">
        <v>0</v>
      </c>
      <c r="AI162" s="179">
        <f t="shared" si="6"/>
        <v>0</v>
      </c>
    </row>
    <row r="163" spans="1:35" ht="15.75" customHeight="1">
      <c r="A163" s="172">
        <v>2212003017</v>
      </c>
      <c r="B163" s="95" t="s">
        <v>168</v>
      </c>
      <c r="C163" s="173" t="s">
        <v>6</v>
      </c>
      <c r="D163" s="111">
        <v>0</v>
      </c>
      <c r="E163" s="113">
        <v>0</v>
      </c>
      <c r="F163" s="113">
        <v>0</v>
      </c>
      <c r="G163" s="113">
        <v>0</v>
      </c>
      <c r="H163" s="113">
        <v>0</v>
      </c>
      <c r="I163" s="113">
        <v>0</v>
      </c>
      <c r="J163" s="113">
        <v>0</v>
      </c>
      <c r="K163" s="113"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  <c r="Q163" s="113">
        <v>0</v>
      </c>
      <c r="R163" s="114">
        <v>0</v>
      </c>
      <c r="S163" s="111">
        <v>0</v>
      </c>
      <c r="T163" s="113">
        <v>0</v>
      </c>
      <c r="U163" s="113">
        <v>0</v>
      </c>
      <c r="V163" s="113">
        <v>0</v>
      </c>
      <c r="W163" s="113">
        <v>0</v>
      </c>
      <c r="X163" s="113">
        <v>0</v>
      </c>
      <c r="Y163" s="113">
        <v>0</v>
      </c>
      <c r="Z163" s="113">
        <v>0</v>
      </c>
      <c r="AA163" s="113">
        <v>0</v>
      </c>
      <c r="AB163" s="113">
        <v>0</v>
      </c>
      <c r="AC163" s="113">
        <v>0</v>
      </c>
      <c r="AD163" s="113">
        <v>0</v>
      </c>
      <c r="AE163" s="113">
        <v>0</v>
      </c>
      <c r="AF163" s="113">
        <v>0</v>
      </c>
      <c r="AG163" s="113">
        <v>0</v>
      </c>
      <c r="AH163" s="116">
        <v>0</v>
      </c>
      <c r="AI163" s="179">
        <f t="shared" si="6"/>
        <v>0</v>
      </c>
    </row>
    <row r="164" spans="1:35" ht="18.75" customHeight="1">
      <c r="A164" s="629" t="s">
        <v>169</v>
      </c>
      <c r="B164" s="606"/>
      <c r="C164" s="606"/>
      <c r="D164" s="606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6"/>
      <c r="AF164" s="606"/>
      <c r="AG164" s="606"/>
      <c r="AH164" s="606"/>
      <c r="AI164" s="607"/>
    </row>
    <row r="165" spans="1:35" ht="15.75" customHeight="1">
      <c r="A165" s="229">
        <v>2212001196</v>
      </c>
      <c r="B165" s="141" t="s">
        <v>170</v>
      </c>
      <c r="C165" s="230" t="s">
        <v>171</v>
      </c>
      <c r="D165" s="16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54">
        <v>0</v>
      </c>
      <c r="S165" s="16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8">
        <v>0</v>
      </c>
      <c r="AI165" s="179">
        <f t="shared" ref="AI165:AI189" si="7">SUM(D165:AH165)</f>
        <v>0</v>
      </c>
    </row>
    <row r="166" spans="1:35" ht="15.75" customHeight="1">
      <c r="A166" s="234">
        <v>2212005007</v>
      </c>
      <c r="B166" s="146" t="s">
        <v>172</v>
      </c>
      <c r="C166" s="237" t="s">
        <v>171</v>
      </c>
      <c r="D166" s="31">
        <v>0</v>
      </c>
      <c r="E166" s="32">
        <v>0</v>
      </c>
      <c r="F166" s="32">
        <v>0</v>
      </c>
      <c r="G166" s="32">
        <v>0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4">
        <v>0</v>
      </c>
      <c r="S166" s="31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68">
        <v>0</v>
      </c>
      <c r="AI166" s="179">
        <f t="shared" si="7"/>
        <v>0</v>
      </c>
    </row>
    <row r="167" spans="1:35" ht="15.75" customHeight="1">
      <c r="A167" s="234">
        <v>2212005010</v>
      </c>
      <c r="B167" s="146" t="s">
        <v>173</v>
      </c>
      <c r="C167" s="237" t="s">
        <v>6</v>
      </c>
      <c r="D167" s="27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9">
        <v>0</v>
      </c>
      <c r="S167" s="27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67">
        <v>0</v>
      </c>
      <c r="AI167" s="179">
        <f t="shared" si="7"/>
        <v>0</v>
      </c>
    </row>
    <row r="168" spans="1:35" ht="15.75" customHeight="1">
      <c r="A168" s="234">
        <v>2212005011</v>
      </c>
      <c r="B168" s="146" t="s">
        <v>174</v>
      </c>
      <c r="C168" s="237" t="s">
        <v>175</v>
      </c>
      <c r="D168" s="31">
        <v>0</v>
      </c>
      <c r="E168" s="32">
        <v>0</v>
      </c>
      <c r="F168" s="32">
        <v>0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4">
        <v>0</v>
      </c>
      <c r="S168" s="31">
        <v>0</v>
      </c>
      <c r="T168" s="32">
        <v>0</v>
      </c>
      <c r="U168" s="32">
        <v>0</v>
      </c>
      <c r="V168" s="32">
        <v>0</v>
      </c>
      <c r="W168" s="32">
        <v>0</v>
      </c>
      <c r="X168" s="32">
        <v>0</v>
      </c>
      <c r="Y168" s="32">
        <v>0</v>
      </c>
      <c r="Z168" s="32">
        <v>0</v>
      </c>
      <c r="AA168" s="32">
        <v>0</v>
      </c>
      <c r="AB168" s="32">
        <v>0</v>
      </c>
      <c r="AC168" s="32">
        <v>0</v>
      </c>
      <c r="AD168" s="32">
        <v>0</v>
      </c>
      <c r="AE168" s="32">
        <v>0</v>
      </c>
      <c r="AF168" s="32">
        <v>0</v>
      </c>
      <c r="AG168" s="32">
        <v>0</v>
      </c>
      <c r="AH168" s="68">
        <v>0</v>
      </c>
      <c r="AI168" s="179">
        <f t="shared" si="7"/>
        <v>0</v>
      </c>
    </row>
    <row r="169" spans="1:35" ht="15.75" customHeight="1">
      <c r="A169" s="147">
        <v>2212007012</v>
      </c>
      <c r="B169" s="148" t="s">
        <v>176</v>
      </c>
      <c r="C169" s="147" t="s">
        <v>177</v>
      </c>
      <c r="D169" s="27">
        <v>0</v>
      </c>
      <c r="E169" s="28">
        <v>0</v>
      </c>
      <c r="F169" s="28">
        <v>0</v>
      </c>
      <c r="G169" s="28">
        <v>0</v>
      </c>
      <c r="H169" s="28">
        <v>5</v>
      </c>
      <c r="I169" s="28">
        <v>6</v>
      </c>
      <c r="J169" s="28">
        <v>0</v>
      </c>
      <c r="K169" s="28">
        <v>0</v>
      </c>
      <c r="L169" s="28">
        <v>6</v>
      </c>
      <c r="M169" s="28">
        <v>0</v>
      </c>
      <c r="N169" s="28">
        <v>0</v>
      </c>
      <c r="O169" s="28">
        <v>0</v>
      </c>
      <c r="P169" s="28">
        <v>0</v>
      </c>
      <c r="Q169" s="28">
        <v>6</v>
      </c>
      <c r="R169" s="29">
        <v>6</v>
      </c>
      <c r="S169" s="27">
        <v>0</v>
      </c>
      <c r="T169" s="28">
        <v>0</v>
      </c>
      <c r="U169" s="28">
        <v>0</v>
      </c>
      <c r="V169" s="28">
        <v>0</v>
      </c>
      <c r="W169" s="28">
        <v>5</v>
      </c>
      <c r="X169" s="28">
        <v>6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6</v>
      </c>
      <c r="AG169" s="28">
        <v>6</v>
      </c>
      <c r="AH169" s="67">
        <v>0</v>
      </c>
      <c r="AI169" s="179">
        <f t="shared" si="7"/>
        <v>52</v>
      </c>
    </row>
    <row r="170" spans="1:35" ht="15.75" customHeight="1">
      <c r="A170" s="234">
        <v>2212005015</v>
      </c>
      <c r="B170" s="146" t="s">
        <v>178</v>
      </c>
      <c r="C170" s="237" t="s">
        <v>171</v>
      </c>
      <c r="D170" s="31">
        <v>0</v>
      </c>
      <c r="E170" s="32">
        <v>0</v>
      </c>
      <c r="F170" s="32">
        <v>0</v>
      </c>
      <c r="G170" s="32">
        <v>0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4">
        <v>0</v>
      </c>
      <c r="S170" s="31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0</v>
      </c>
      <c r="AD170" s="32">
        <v>0</v>
      </c>
      <c r="AE170" s="32">
        <v>0</v>
      </c>
      <c r="AF170" s="32">
        <v>0</v>
      </c>
      <c r="AG170" s="32">
        <v>0</v>
      </c>
      <c r="AH170" s="68">
        <v>0</v>
      </c>
      <c r="AI170" s="179">
        <f t="shared" si="7"/>
        <v>0</v>
      </c>
    </row>
    <row r="171" spans="1:35" ht="15.75" customHeight="1">
      <c r="A171" s="234">
        <v>2212005016</v>
      </c>
      <c r="B171" s="146" t="s">
        <v>179</v>
      </c>
      <c r="C171" s="237" t="s">
        <v>6</v>
      </c>
      <c r="D171" s="27">
        <v>1</v>
      </c>
      <c r="E171" s="28">
        <v>4</v>
      </c>
      <c r="F171" s="28">
        <v>0</v>
      </c>
      <c r="G171" s="28">
        <v>0</v>
      </c>
      <c r="H171" s="28">
        <v>4</v>
      </c>
      <c r="I171" s="28">
        <v>0</v>
      </c>
      <c r="J171" s="28">
        <v>1</v>
      </c>
      <c r="K171" s="28">
        <v>2</v>
      </c>
      <c r="L171" s="28">
        <v>1</v>
      </c>
      <c r="M171" s="28">
        <v>0</v>
      </c>
      <c r="N171" s="28">
        <v>0</v>
      </c>
      <c r="O171" s="28">
        <v>0</v>
      </c>
      <c r="P171" s="28">
        <v>1</v>
      </c>
      <c r="Q171" s="28">
        <v>0</v>
      </c>
      <c r="R171" s="29">
        <v>1</v>
      </c>
      <c r="S171" s="27">
        <v>1</v>
      </c>
      <c r="T171" s="28">
        <v>0</v>
      </c>
      <c r="U171" s="28">
        <v>0</v>
      </c>
      <c r="V171" s="28">
        <v>0</v>
      </c>
      <c r="W171" s="28">
        <v>4</v>
      </c>
      <c r="X171" s="28">
        <v>0</v>
      </c>
      <c r="Y171" s="28">
        <v>1</v>
      </c>
      <c r="Z171" s="28">
        <v>2</v>
      </c>
      <c r="AA171" s="28">
        <v>0</v>
      </c>
      <c r="AB171" s="28">
        <v>0</v>
      </c>
      <c r="AC171" s="28">
        <v>0</v>
      </c>
      <c r="AD171" s="28">
        <v>0</v>
      </c>
      <c r="AE171" s="28">
        <v>1</v>
      </c>
      <c r="AF171" s="28">
        <v>0</v>
      </c>
      <c r="AG171" s="28">
        <v>1</v>
      </c>
      <c r="AH171" s="67">
        <v>0</v>
      </c>
      <c r="AI171" s="179">
        <f t="shared" si="7"/>
        <v>25</v>
      </c>
    </row>
    <row r="172" spans="1:35" ht="15.75" customHeight="1">
      <c r="A172" s="234">
        <v>2212005017</v>
      </c>
      <c r="B172" s="146" t="s">
        <v>180</v>
      </c>
      <c r="C172" s="237" t="s">
        <v>6</v>
      </c>
      <c r="D172" s="31">
        <v>0</v>
      </c>
      <c r="E172" s="32">
        <v>21</v>
      </c>
      <c r="F172" s="32">
        <v>0</v>
      </c>
      <c r="G172" s="32">
        <v>0</v>
      </c>
      <c r="H172" s="32">
        <v>12</v>
      </c>
      <c r="I172" s="32">
        <v>0</v>
      </c>
      <c r="J172" s="32">
        <v>0</v>
      </c>
      <c r="K172" s="32">
        <v>9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4">
        <v>0</v>
      </c>
      <c r="S172" s="31">
        <v>0</v>
      </c>
      <c r="T172" s="32">
        <v>0</v>
      </c>
      <c r="U172" s="32">
        <v>0</v>
      </c>
      <c r="V172" s="32">
        <v>0</v>
      </c>
      <c r="W172" s="32">
        <v>12</v>
      </c>
      <c r="X172" s="32">
        <v>0</v>
      </c>
      <c r="Y172" s="32">
        <v>0</v>
      </c>
      <c r="Z172" s="32">
        <v>9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68">
        <v>0</v>
      </c>
      <c r="AI172" s="179">
        <f t="shared" si="7"/>
        <v>63</v>
      </c>
    </row>
    <row r="173" spans="1:35" ht="15.75" customHeight="1">
      <c r="A173" s="234">
        <v>2212005018</v>
      </c>
      <c r="B173" s="146" t="s">
        <v>181</v>
      </c>
      <c r="C173" s="237" t="s">
        <v>6</v>
      </c>
      <c r="D173" s="27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9">
        <v>0</v>
      </c>
      <c r="S173" s="27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67">
        <v>0</v>
      </c>
      <c r="AI173" s="179">
        <f t="shared" si="7"/>
        <v>0</v>
      </c>
    </row>
    <row r="174" spans="1:35" ht="15.75" customHeight="1">
      <c r="A174" s="234">
        <v>2212005019</v>
      </c>
      <c r="B174" s="146" t="s">
        <v>182</v>
      </c>
      <c r="C174" s="237" t="s">
        <v>6</v>
      </c>
      <c r="D174" s="31">
        <v>0</v>
      </c>
      <c r="E174" s="32">
        <v>0</v>
      </c>
      <c r="F174" s="32">
        <v>0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2">
        <v>0</v>
      </c>
      <c r="Q174" s="32">
        <v>0</v>
      </c>
      <c r="R174" s="34">
        <v>0</v>
      </c>
      <c r="S174" s="31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68">
        <v>0</v>
      </c>
      <c r="AI174" s="179">
        <f t="shared" si="7"/>
        <v>0</v>
      </c>
    </row>
    <row r="175" spans="1:35" ht="15.75" customHeight="1">
      <c r="A175" s="234">
        <v>2212005020</v>
      </c>
      <c r="B175" s="146" t="s">
        <v>183</v>
      </c>
      <c r="C175" s="237" t="s">
        <v>6</v>
      </c>
      <c r="D175" s="27">
        <v>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9">
        <v>0</v>
      </c>
      <c r="S175" s="27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67">
        <v>0</v>
      </c>
      <c r="AI175" s="179">
        <f t="shared" si="7"/>
        <v>0</v>
      </c>
    </row>
    <row r="176" spans="1:35" ht="15.75" customHeight="1">
      <c r="A176" s="234">
        <v>2212005021</v>
      </c>
      <c r="B176" s="146" t="s">
        <v>184</v>
      </c>
      <c r="C176" s="237" t="s">
        <v>6</v>
      </c>
      <c r="D176" s="31">
        <v>0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4">
        <v>0</v>
      </c>
      <c r="S176" s="31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0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68">
        <v>0</v>
      </c>
      <c r="AI176" s="179">
        <f t="shared" si="7"/>
        <v>0</v>
      </c>
    </row>
    <row r="177" spans="1:35" ht="15.75" customHeight="1">
      <c r="A177" s="234">
        <v>2212005022</v>
      </c>
      <c r="B177" s="146" t="s">
        <v>185</v>
      </c>
      <c r="C177" s="237" t="s">
        <v>6</v>
      </c>
      <c r="D177" s="27">
        <v>0</v>
      </c>
      <c r="E177" s="28">
        <v>0</v>
      </c>
      <c r="F177" s="28">
        <v>0</v>
      </c>
      <c r="G177" s="28">
        <v>0</v>
      </c>
      <c r="H177" s="28">
        <v>0</v>
      </c>
      <c r="I177" s="28">
        <v>12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9">
        <v>0</v>
      </c>
      <c r="S177" s="27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12</v>
      </c>
      <c r="Y177" s="28">
        <v>0</v>
      </c>
      <c r="Z177" s="28">
        <v>0</v>
      </c>
      <c r="AA177" s="28">
        <v>0</v>
      </c>
      <c r="AB177" s="28">
        <v>0</v>
      </c>
      <c r="AC177" s="28">
        <v>9</v>
      </c>
      <c r="AD177" s="28">
        <v>0</v>
      </c>
      <c r="AE177" s="28">
        <v>0</v>
      </c>
      <c r="AF177" s="28">
        <v>0</v>
      </c>
      <c r="AG177" s="28">
        <v>0</v>
      </c>
      <c r="AH177" s="67">
        <v>0</v>
      </c>
      <c r="AI177" s="179">
        <f t="shared" si="7"/>
        <v>33</v>
      </c>
    </row>
    <row r="178" spans="1:35" ht="15.75" customHeight="1">
      <c r="A178" s="234">
        <v>2212005023</v>
      </c>
      <c r="B178" s="146" t="s">
        <v>186</v>
      </c>
      <c r="C178" s="237" t="s">
        <v>171</v>
      </c>
      <c r="D178" s="31">
        <v>0</v>
      </c>
      <c r="E178" s="32">
        <v>21</v>
      </c>
      <c r="F178" s="32">
        <v>0</v>
      </c>
      <c r="G178" s="32">
        <v>0</v>
      </c>
      <c r="H178" s="32">
        <v>0</v>
      </c>
      <c r="I178" s="32">
        <v>4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4">
        <v>0</v>
      </c>
      <c r="S178" s="31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4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68">
        <v>0</v>
      </c>
      <c r="AI178" s="179">
        <f t="shared" si="7"/>
        <v>29</v>
      </c>
    </row>
    <row r="179" spans="1:35" ht="15.75" customHeight="1">
      <c r="A179" s="234">
        <v>2212005024</v>
      </c>
      <c r="B179" s="146" t="s">
        <v>187</v>
      </c>
      <c r="C179" s="237" t="s">
        <v>171</v>
      </c>
      <c r="D179" s="27">
        <v>6</v>
      </c>
      <c r="E179" s="28">
        <v>2</v>
      </c>
      <c r="F179" s="28">
        <v>0</v>
      </c>
      <c r="G179" s="28">
        <v>0</v>
      </c>
      <c r="H179" s="28">
        <v>2</v>
      </c>
      <c r="I179" s="28">
        <v>23</v>
      </c>
      <c r="J179" s="28">
        <v>2</v>
      </c>
      <c r="K179" s="28">
        <v>2</v>
      </c>
      <c r="L179" s="28">
        <v>2</v>
      </c>
      <c r="M179" s="28">
        <v>0</v>
      </c>
      <c r="N179" s="28">
        <v>0</v>
      </c>
      <c r="O179" s="28">
        <v>0</v>
      </c>
      <c r="P179" s="28">
        <v>2</v>
      </c>
      <c r="Q179" s="28">
        <v>23</v>
      </c>
      <c r="R179" s="29">
        <v>2</v>
      </c>
      <c r="S179" s="27">
        <v>6</v>
      </c>
      <c r="T179" s="28">
        <v>0</v>
      </c>
      <c r="U179" s="28">
        <v>0</v>
      </c>
      <c r="V179" s="28">
        <v>2</v>
      </c>
      <c r="W179" s="28">
        <v>2</v>
      </c>
      <c r="X179" s="28">
        <v>23</v>
      </c>
      <c r="Y179" s="28">
        <v>2</v>
      </c>
      <c r="Z179" s="28">
        <v>2</v>
      </c>
      <c r="AA179" s="28">
        <v>0</v>
      </c>
      <c r="AB179" s="28">
        <v>0</v>
      </c>
      <c r="AC179" s="28">
        <v>2</v>
      </c>
      <c r="AD179" s="28">
        <v>2</v>
      </c>
      <c r="AE179" s="28">
        <v>2</v>
      </c>
      <c r="AF179" s="28">
        <v>23</v>
      </c>
      <c r="AG179" s="28">
        <v>2</v>
      </c>
      <c r="AH179" s="67">
        <v>0</v>
      </c>
      <c r="AI179" s="179">
        <f t="shared" si="7"/>
        <v>134</v>
      </c>
    </row>
    <row r="180" spans="1:35" ht="15.75" customHeight="1">
      <c r="A180" s="234">
        <v>2212005026</v>
      </c>
      <c r="B180" s="146" t="s">
        <v>188</v>
      </c>
      <c r="C180" s="237" t="s">
        <v>6</v>
      </c>
      <c r="D180" s="31">
        <v>0</v>
      </c>
      <c r="E180" s="32">
        <v>0</v>
      </c>
      <c r="F180" s="32">
        <v>0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4">
        <v>0</v>
      </c>
      <c r="S180" s="31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32">
        <v>0</v>
      </c>
      <c r="AH180" s="68">
        <v>0</v>
      </c>
      <c r="AI180" s="179">
        <f t="shared" si="7"/>
        <v>0</v>
      </c>
    </row>
    <row r="181" spans="1:35" ht="15.75" customHeight="1">
      <c r="A181" s="234">
        <v>2212005027</v>
      </c>
      <c r="B181" s="146" t="s">
        <v>189</v>
      </c>
      <c r="C181" s="237" t="s">
        <v>171</v>
      </c>
      <c r="D181" s="27">
        <v>0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9">
        <v>0</v>
      </c>
      <c r="S181" s="27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67">
        <v>0</v>
      </c>
      <c r="AI181" s="179">
        <f t="shared" si="7"/>
        <v>0</v>
      </c>
    </row>
    <row r="182" spans="1:35" ht="15.75" customHeight="1">
      <c r="A182" s="234">
        <v>2212005028</v>
      </c>
      <c r="B182" s="146" t="s">
        <v>190</v>
      </c>
      <c r="C182" s="237" t="s">
        <v>177</v>
      </c>
      <c r="D182" s="31">
        <v>3</v>
      </c>
      <c r="E182" s="32">
        <v>3</v>
      </c>
      <c r="F182" s="32">
        <v>0</v>
      </c>
      <c r="G182" s="32">
        <v>0</v>
      </c>
      <c r="H182" s="32">
        <v>0</v>
      </c>
      <c r="I182" s="32">
        <v>6</v>
      </c>
      <c r="J182" s="32">
        <v>3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2">
        <v>3</v>
      </c>
      <c r="R182" s="34">
        <v>0</v>
      </c>
      <c r="S182" s="31">
        <v>3</v>
      </c>
      <c r="T182" s="32">
        <v>0</v>
      </c>
      <c r="U182" s="32">
        <v>0</v>
      </c>
      <c r="V182" s="32">
        <v>0</v>
      </c>
      <c r="W182" s="32">
        <v>0</v>
      </c>
      <c r="X182" s="32">
        <v>6</v>
      </c>
      <c r="Y182" s="32">
        <v>3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3</v>
      </c>
      <c r="AG182" s="32">
        <v>0</v>
      </c>
      <c r="AH182" s="68">
        <v>0</v>
      </c>
      <c r="AI182" s="179">
        <f t="shared" si="7"/>
        <v>33</v>
      </c>
    </row>
    <row r="183" spans="1:35" ht="15.75" customHeight="1">
      <c r="A183" s="234">
        <v>2212005032</v>
      </c>
      <c r="B183" s="146" t="s">
        <v>191</v>
      </c>
      <c r="C183" s="237" t="s">
        <v>177</v>
      </c>
      <c r="D183" s="27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9">
        <v>0</v>
      </c>
      <c r="S183" s="27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67">
        <v>0</v>
      </c>
      <c r="AI183" s="179">
        <f t="shared" si="7"/>
        <v>0</v>
      </c>
    </row>
    <row r="184" spans="1:35" ht="15.75" customHeight="1">
      <c r="A184" s="234">
        <v>2212005034</v>
      </c>
      <c r="B184" s="146" t="s">
        <v>192</v>
      </c>
      <c r="C184" s="237" t="s">
        <v>6</v>
      </c>
      <c r="D184" s="31">
        <v>0</v>
      </c>
      <c r="E184" s="32">
        <v>0</v>
      </c>
      <c r="F184" s="32">
        <v>0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4">
        <v>0</v>
      </c>
      <c r="S184" s="31">
        <v>0</v>
      </c>
      <c r="T184" s="32">
        <v>0</v>
      </c>
      <c r="U184" s="32">
        <v>0</v>
      </c>
      <c r="V184" s="32">
        <v>0</v>
      </c>
      <c r="W184" s="32">
        <v>0</v>
      </c>
      <c r="X184" s="32">
        <v>0</v>
      </c>
      <c r="Y184" s="32">
        <v>0</v>
      </c>
      <c r="Z184" s="32">
        <v>0</v>
      </c>
      <c r="AA184" s="32">
        <v>0</v>
      </c>
      <c r="AB184" s="32">
        <v>0</v>
      </c>
      <c r="AC184" s="32">
        <v>0</v>
      </c>
      <c r="AD184" s="32">
        <v>0</v>
      </c>
      <c r="AE184" s="32">
        <v>0</v>
      </c>
      <c r="AF184" s="32">
        <v>0</v>
      </c>
      <c r="AG184" s="32">
        <v>0</v>
      </c>
      <c r="AH184" s="68">
        <v>0</v>
      </c>
      <c r="AI184" s="179">
        <f t="shared" si="7"/>
        <v>0</v>
      </c>
    </row>
    <row r="185" spans="1:35" ht="15.75" customHeight="1">
      <c r="A185" s="234">
        <v>2212005035</v>
      </c>
      <c r="B185" s="146" t="s">
        <v>193</v>
      </c>
      <c r="C185" s="237" t="s">
        <v>8</v>
      </c>
      <c r="D185" s="27">
        <v>0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9">
        <v>0</v>
      </c>
      <c r="S185" s="27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67">
        <v>0</v>
      </c>
      <c r="AI185" s="179">
        <f t="shared" si="7"/>
        <v>0</v>
      </c>
    </row>
    <row r="186" spans="1:35" ht="15.75" customHeight="1">
      <c r="A186" s="234">
        <v>2212005037</v>
      </c>
      <c r="B186" s="146" t="s">
        <v>194</v>
      </c>
      <c r="C186" s="237" t="s">
        <v>6</v>
      </c>
      <c r="D186" s="31">
        <v>0</v>
      </c>
      <c r="E186" s="32">
        <v>0</v>
      </c>
      <c r="F186" s="32">
        <v>0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2">
        <v>0</v>
      </c>
      <c r="R186" s="34">
        <v>0</v>
      </c>
      <c r="S186" s="31">
        <v>0</v>
      </c>
      <c r="T186" s="32">
        <v>0</v>
      </c>
      <c r="U186" s="32">
        <v>0</v>
      </c>
      <c r="V186" s="32">
        <v>0</v>
      </c>
      <c r="W186" s="32">
        <v>0</v>
      </c>
      <c r="X186" s="32">
        <v>0</v>
      </c>
      <c r="Y186" s="32">
        <v>0</v>
      </c>
      <c r="Z186" s="32">
        <v>0</v>
      </c>
      <c r="AA186" s="32">
        <v>0</v>
      </c>
      <c r="AB186" s="32">
        <v>0</v>
      </c>
      <c r="AC186" s="32">
        <v>0</v>
      </c>
      <c r="AD186" s="32">
        <v>0</v>
      </c>
      <c r="AE186" s="32">
        <v>0</v>
      </c>
      <c r="AF186" s="32">
        <v>0</v>
      </c>
      <c r="AG186" s="32">
        <v>0</v>
      </c>
      <c r="AH186" s="68">
        <v>0</v>
      </c>
      <c r="AI186" s="179">
        <f t="shared" si="7"/>
        <v>0</v>
      </c>
    </row>
    <row r="187" spans="1:35" ht="15.75" customHeight="1">
      <c r="A187" s="234">
        <v>2212005038</v>
      </c>
      <c r="B187" s="146" t="s">
        <v>195</v>
      </c>
      <c r="C187" s="237" t="s">
        <v>171</v>
      </c>
      <c r="D187" s="27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9">
        <v>0</v>
      </c>
      <c r="S187" s="27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67">
        <v>0</v>
      </c>
      <c r="AI187" s="179">
        <f t="shared" si="7"/>
        <v>0</v>
      </c>
    </row>
    <row r="188" spans="1:35" ht="15.75" customHeight="1">
      <c r="A188" s="234">
        <v>2212005041</v>
      </c>
      <c r="B188" s="146" t="s">
        <v>196</v>
      </c>
      <c r="C188" s="237" t="s">
        <v>6</v>
      </c>
      <c r="D188" s="31">
        <v>0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2">
        <v>0</v>
      </c>
      <c r="R188" s="34">
        <v>0</v>
      </c>
      <c r="S188" s="31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2">
        <v>0</v>
      </c>
      <c r="Z188" s="32">
        <v>0</v>
      </c>
      <c r="AA188" s="32">
        <v>0</v>
      </c>
      <c r="AB188" s="32">
        <v>0</v>
      </c>
      <c r="AC188" s="32">
        <v>0</v>
      </c>
      <c r="AD188" s="32">
        <v>0</v>
      </c>
      <c r="AE188" s="32">
        <v>0</v>
      </c>
      <c r="AF188" s="32">
        <v>0</v>
      </c>
      <c r="AG188" s="32">
        <v>0</v>
      </c>
      <c r="AH188" s="68">
        <v>0</v>
      </c>
      <c r="AI188" s="179">
        <f t="shared" si="7"/>
        <v>0</v>
      </c>
    </row>
    <row r="189" spans="1:35" ht="15.75" customHeight="1">
      <c r="A189" s="247">
        <v>2212005042</v>
      </c>
      <c r="B189" s="158" t="s">
        <v>197</v>
      </c>
      <c r="C189" s="248" t="s">
        <v>171</v>
      </c>
      <c r="D189" s="111">
        <v>101</v>
      </c>
      <c r="E189" s="113">
        <v>101</v>
      </c>
      <c r="F189" s="113">
        <v>0</v>
      </c>
      <c r="G189" s="113">
        <v>0</v>
      </c>
      <c r="H189" s="113">
        <v>111</v>
      </c>
      <c r="I189" s="113">
        <v>101</v>
      </c>
      <c r="J189" s="113">
        <v>101</v>
      </c>
      <c r="K189" s="113">
        <v>101</v>
      </c>
      <c r="L189" s="113">
        <v>101</v>
      </c>
      <c r="M189" s="113">
        <v>0</v>
      </c>
      <c r="N189" s="113">
        <v>0</v>
      </c>
      <c r="O189" s="113">
        <v>0</v>
      </c>
      <c r="P189" s="113">
        <v>101</v>
      </c>
      <c r="Q189" s="113">
        <v>101</v>
      </c>
      <c r="R189" s="114">
        <v>101</v>
      </c>
      <c r="S189" s="111">
        <v>101</v>
      </c>
      <c r="T189" s="113">
        <v>0</v>
      </c>
      <c r="U189" s="113">
        <v>0</v>
      </c>
      <c r="V189" s="113">
        <v>101</v>
      </c>
      <c r="W189" s="113">
        <v>111</v>
      </c>
      <c r="X189" s="113">
        <v>101</v>
      </c>
      <c r="Y189" s="113">
        <v>101</v>
      </c>
      <c r="Z189" s="113">
        <v>101</v>
      </c>
      <c r="AA189" s="113">
        <v>0</v>
      </c>
      <c r="AB189" s="113">
        <v>0</v>
      </c>
      <c r="AC189" s="113">
        <v>68</v>
      </c>
      <c r="AD189" s="113">
        <v>101</v>
      </c>
      <c r="AE189" s="113">
        <v>101</v>
      </c>
      <c r="AF189" s="113">
        <v>101</v>
      </c>
      <c r="AG189" s="113">
        <v>101</v>
      </c>
      <c r="AH189" s="116">
        <v>0</v>
      </c>
      <c r="AI189" s="60">
        <f t="shared" si="7"/>
        <v>2108</v>
      </c>
    </row>
    <row r="190" spans="1:35" ht="18.75" customHeight="1">
      <c r="A190" s="623" t="s">
        <v>198</v>
      </c>
      <c r="B190" s="606"/>
      <c r="C190" s="606"/>
      <c r="D190" s="606"/>
      <c r="E190" s="606"/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  <c r="P190" s="606"/>
      <c r="Q190" s="606"/>
      <c r="R190" s="606"/>
      <c r="S190" s="606"/>
      <c r="T190" s="606"/>
      <c r="U190" s="606"/>
      <c r="V190" s="606"/>
      <c r="W190" s="606"/>
      <c r="X190" s="606"/>
      <c r="Y190" s="606"/>
      <c r="Z190" s="606"/>
      <c r="AA190" s="606"/>
      <c r="AB190" s="606"/>
      <c r="AC190" s="606"/>
      <c r="AD190" s="606"/>
      <c r="AE190" s="606"/>
      <c r="AF190" s="606"/>
      <c r="AG190" s="606"/>
      <c r="AH190" s="606"/>
      <c r="AI190" s="607"/>
    </row>
    <row r="191" spans="1:35" ht="15.75" customHeight="1">
      <c r="A191" s="249">
        <v>2212004041</v>
      </c>
      <c r="B191" s="163" t="s">
        <v>199</v>
      </c>
      <c r="C191" s="245" t="s">
        <v>6</v>
      </c>
      <c r="D191" s="16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54">
        <v>0</v>
      </c>
      <c r="S191" s="16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8">
        <v>0</v>
      </c>
      <c r="AI191" s="179">
        <f t="shared" ref="AI191:AI224" si="8">SUM(D191:AH191)</f>
        <v>0</v>
      </c>
    </row>
    <row r="192" spans="1:35" ht="15.75" customHeight="1">
      <c r="A192" s="250">
        <v>2212008002</v>
      </c>
      <c r="B192" s="166" t="s">
        <v>200</v>
      </c>
      <c r="C192" s="251" t="s">
        <v>86</v>
      </c>
      <c r="D192" s="31">
        <v>30</v>
      </c>
      <c r="E192" s="32">
        <v>0</v>
      </c>
      <c r="F192" s="32">
        <v>0</v>
      </c>
      <c r="G192" s="32">
        <v>0</v>
      </c>
      <c r="H192" s="32">
        <v>0</v>
      </c>
      <c r="I192" s="32">
        <v>0</v>
      </c>
      <c r="J192" s="32">
        <v>30</v>
      </c>
      <c r="K192" s="32">
        <v>0</v>
      </c>
      <c r="L192" s="32">
        <v>30</v>
      </c>
      <c r="M192" s="32">
        <v>0</v>
      </c>
      <c r="N192" s="32">
        <v>0</v>
      </c>
      <c r="O192" s="32">
        <v>0</v>
      </c>
      <c r="P192" s="32">
        <v>30</v>
      </c>
      <c r="Q192" s="32">
        <v>0</v>
      </c>
      <c r="R192" s="34">
        <v>0</v>
      </c>
      <c r="S192" s="31">
        <v>30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30</v>
      </c>
      <c r="Z192" s="32">
        <v>0</v>
      </c>
      <c r="AA192" s="32">
        <v>0</v>
      </c>
      <c r="AB192" s="32">
        <v>0</v>
      </c>
      <c r="AC192" s="32">
        <v>0</v>
      </c>
      <c r="AD192" s="32">
        <v>30</v>
      </c>
      <c r="AE192" s="32">
        <v>30</v>
      </c>
      <c r="AF192" s="32">
        <v>0</v>
      </c>
      <c r="AG192" s="32">
        <v>0</v>
      </c>
      <c r="AH192" s="68">
        <v>0</v>
      </c>
      <c r="AI192" s="179">
        <f t="shared" si="8"/>
        <v>240</v>
      </c>
    </row>
    <row r="193" spans="1:35" ht="15.75" customHeight="1">
      <c r="A193" s="250">
        <v>2212008007</v>
      </c>
      <c r="B193" s="166" t="s">
        <v>201</v>
      </c>
      <c r="C193" s="251" t="s">
        <v>8</v>
      </c>
      <c r="D193" s="27">
        <v>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9">
        <v>0</v>
      </c>
      <c r="S193" s="27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67">
        <v>0</v>
      </c>
      <c r="AI193" s="179">
        <f t="shared" si="8"/>
        <v>0</v>
      </c>
    </row>
    <row r="194" spans="1:35" ht="15.75" customHeight="1">
      <c r="A194" s="250">
        <v>2212008008</v>
      </c>
      <c r="B194" s="166" t="s">
        <v>202</v>
      </c>
      <c r="C194" s="251" t="s">
        <v>8</v>
      </c>
      <c r="D194" s="31">
        <v>0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2">
        <v>0</v>
      </c>
      <c r="R194" s="34">
        <v>0</v>
      </c>
      <c r="S194" s="31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68">
        <v>0</v>
      </c>
      <c r="AI194" s="179">
        <f t="shared" si="8"/>
        <v>0</v>
      </c>
    </row>
    <row r="195" spans="1:35" ht="15.75" customHeight="1">
      <c r="A195" s="250">
        <v>2212008009</v>
      </c>
      <c r="B195" s="166" t="s">
        <v>203</v>
      </c>
      <c r="C195" s="251" t="s">
        <v>8</v>
      </c>
      <c r="D195" s="27">
        <v>0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9">
        <v>0</v>
      </c>
      <c r="S195" s="27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67">
        <v>0</v>
      </c>
      <c r="AI195" s="179">
        <f t="shared" si="8"/>
        <v>0</v>
      </c>
    </row>
    <row r="196" spans="1:35" ht="15.75" customHeight="1">
      <c r="A196" s="250">
        <v>2212008010</v>
      </c>
      <c r="B196" s="166" t="s">
        <v>204</v>
      </c>
      <c r="C196" s="251" t="s">
        <v>86</v>
      </c>
      <c r="D196" s="31">
        <v>6</v>
      </c>
      <c r="E196" s="32">
        <v>6</v>
      </c>
      <c r="F196" s="32">
        <v>0</v>
      </c>
      <c r="G196" s="32">
        <v>0</v>
      </c>
      <c r="H196" s="32">
        <v>6</v>
      </c>
      <c r="I196" s="32">
        <v>48</v>
      </c>
      <c r="J196" s="32">
        <v>6</v>
      </c>
      <c r="K196" s="32">
        <v>6</v>
      </c>
      <c r="L196" s="32">
        <v>18</v>
      </c>
      <c r="M196" s="32">
        <v>0</v>
      </c>
      <c r="N196" s="32">
        <v>0</v>
      </c>
      <c r="O196" s="32">
        <v>0</v>
      </c>
      <c r="P196" s="32">
        <v>6</v>
      </c>
      <c r="Q196" s="32">
        <v>18</v>
      </c>
      <c r="R196" s="34">
        <v>6</v>
      </c>
      <c r="S196" s="31">
        <v>6</v>
      </c>
      <c r="T196" s="32">
        <v>0</v>
      </c>
      <c r="U196" s="32">
        <v>0</v>
      </c>
      <c r="V196" s="32">
        <v>6</v>
      </c>
      <c r="W196" s="32">
        <v>6</v>
      </c>
      <c r="X196" s="32">
        <v>48</v>
      </c>
      <c r="Y196" s="32">
        <v>6</v>
      </c>
      <c r="Z196" s="32">
        <v>6</v>
      </c>
      <c r="AA196" s="32">
        <v>0</v>
      </c>
      <c r="AB196" s="32">
        <v>0</v>
      </c>
      <c r="AC196" s="32">
        <v>18</v>
      </c>
      <c r="AD196" s="32">
        <v>6</v>
      </c>
      <c r="AE196" s="32">
        <v>6</v>
      </c>
      <c r="AF196" s="32">
        <v>18</v>
      </c>
      <c r="AG196" s="32">
        <v>6</v>
      </c>
      <c r="AH196" s="68">
        <v>0</v>
      </c>
      <c r="AI196" s="179">
        <f t="shared" si="8"/>
        <v>258</v>
      </c>
    </row>
    <row r="197" spans="1:35" ht="15.75" customHeight="1">
      <c r="A197" s="250">
        <v>2212008011</v>
      </c>
      <c r="B197" s="166" t="s">
        <v>205</v>
      </c>
      <c r="C197" s="251" t="s">
        <v>8</v>
      </c>
      <c r="D197" s="27">
        <v>0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9">
        <v>0</v>
      </c>
      <c r="S197" s="27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67">
        <v>0</v>
      </c>
      <c r="AI197" s="179">
        <f t="shared" si="8"/>
        <v>0</v>
      </c>
    </row>
    <row r="198" spans="1:35" ht="15.75" customHeight="1">
      <c r="A198" s="250">
        <v>2212008012</v>
      </c>
      <c r="B198" s="166" t="s">
        <v>206</v>
      </c>
      <c r="C198" s="251" t="s">
        <v>6</v>
      </c>
      <c r="D198" s="31">
        <v>0</v>
      </c>
      <c r="E198" s="32">
        <v>0</v>
      </c>
      <c r="F198" s="32">
        <v>0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0</v>
      </c>
      <c r="M198" s="32">
        <v>0</v>
      </c>
      <c r="N198" s="32">
        <v>0</v>
      </c>
      <c r="O198" s="32">
        <v>0</v>
      </c>
      <c r="P198" s="32">
        <v>0</v>
      </c>
      <c r="Q198" s="32">
        <v>0</v>
      </c>
      <c r="R198" s="34">
        <v>0</v>
      </c>
      <c r="S198" s="31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0</v>
      </c>
      <c r="Y198" s="32">
        <v>0</v>
      </c>
      <c r="Z198" s="32">
        <v>0</v>
      </c>
      <c r="AA198" s="32">
        <v>0</v>
      </c>
      <c r="AB198" s="32">
        <v>0</v>
      </c>
      <c r="AC198" s="32">
        <v>0</v>
      </c>
      <c r="AD198" s="32">
        <v>0</v>
      </c>
      <c r="AE198" s="32">
        <v>0</v>
      </c>
      <c r="AF198" s="32">
        <v>0</v>
      </c>
      <c r="AG198" s="32">
        <v>0</v>
      </c>
      <c r="AH198" s="68">
        <v>0</v>
      </c>
      <c r="AI198" s="179">
        <f t="shared" si="8"/>
        <v>0</v>
      </c>
    </row>
    <row r="199" spans="1:35" ht="15.75" customHeight="1">
      <c r="A199" s="250">
        <v>2212008013</v>
      </c>
      <c r="B199" s="166" t="s">
        <v>207</v>
      </c>
      <c r="C199" s="251" t="s">
        <v>86</v>
      </c>
      <c r="D199" s="27">
        <v>0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9">
        <v>0</v>
      </c>
      <c r="S199" s="27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67">
        <v>0</v>
      </c>
      <c r="AI199" s="179">
        <f t="shared" si="8"/>
        <v>0</v>
      </c>
    </row>
    <row r="200" spans="1:35" ht="15.75" customHeight="1">
      <c r="A200" s="250">
        <v>2212008014</v>
      </c>
      <c r="B200" s="166" t="s">
        <v>208</v>
      </c>
      <c r="C200" s="251" t="s">
        <v>86</v>
      </c>
      <c r="D200" s="31">
        <v>0</v>
      </c>
      <c r="E200" s="32">
        <v>0</v>
      </c>
      <c r="F200" s="32">
        <v>0</v>
      </c>
      <c r="G200" s="32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4">
        <v>0</v>
      </c>
      <c r="S200" s="31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0</v>
      </c>
      <c r="AH200" s="68">
        <v>0</v>
      </c>
      <c r="AI200" s="179">
        <f t="shared" si="8"/>
        <v>0</v>
      </c>
    </row>
    <row r="201" spans="1:35" ht="15.75" customHeight="1">
      <c r="A201" s="250">
        <v>2212008015</v>
      </c>
      <c r="B201" s="166" t="s">
        <v>209</v>
      </c>
      <c r="C201" s="251" t="s">
        <v>86</v>
      </c>
      <c r="D201" s="27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9">
        <v>0</v>
      </c>
      <c r="S201" s="27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18</v>
      </c>
      <c r="AD201" s="28">
        <v>0</v>
      </c>
      <c r="AE201" s="28">
        <v>0</v>
      </c>
      <c r="AF201" s="28">
        <v>0</v>
      </c>
      <c r="AG201" s="28">
        <v>0</v>
      </c>
      <c r="AH201" s="67">
        <v>0</v>
      </c>
      <c r="AI201" s="179">
        <f t="shared" si="8"/>
        <v>18</v>
      </c>
    </row>
    <row r="202" spans="1:35" ht="15.75" customHeight="1">
      <c r="A202" s="250">
        <v>2212008016</v>
      </c>
      <c r="B202" s="166" t="s">
        <v>210</v>
      </c>
      <c r="C202" s="251" t="s">
        <v>8</v>
      </c>
      <c r="D202" s="31">
        <v>0</v>
      </c>
      <c r="E202" s="32">
        <v>0</v>
      </c>
      <c r="F202" s="32">
        <v>0</v>
      </c>
      <c r="G202" s="32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4">
        <v>0</v>
      </c>
      <c r="S202" s="31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32">
        <v>0</v>
      </c>
      <c r="Z202" s="32">
        <v>0</v>
      </c>
      <c r="AA202" s="32">
        <v>0</v>
      </c>
      <c r="AB202" s="32">
        <v>0</v>
      </c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68">
        <v>0</v>
      </c>
      <c r="AI202" s="179">
        <f t="shared" si="8"/>
        <v>0</v>
      </c>
    </row>
    <row r="203" spans="1:35" ht="15.75" customHeight="1">
      <c r="A203" s="250">
        <v>2212008017</v>
      </c>
      <c r="B203" s="166" t="s">
        <v>211</v>
      </c>
      <c r="C203" s="251" t="s">
        <v>8</v>
      </c>
      <c r="D203" s="27">
        <v>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9">
        <v>0</v>
      </c>
      <c r="S203" s="27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67">
        <v>0</v>
      </c>
      <c r="AI203" s="179">
        <f t="shared" si="8"/>
        <v>0</v>
      </c>
    </row>
    <row r="204" spans="1:35" ht="15.75" customHeight="1">
      <c r="A204" s="250">
        <v>2212008018</v>
      </c>
      <c r="B204" s="166" t="s">
        <v>212</v>
      </c>
      <c r="C204" s="251" t="s">
        <v>8</v>
      </c>
      <c r="D204" s="31">
        <v>0</v>
      </c>
      <c r="E204" s="32">
        <v>0</v>
      </c>
      <c r="F204" s="32">
        <v>0</v>
      </c>
      <c r="G204" s="32">
        <v>0</v>
      </c>
      <c r="H204" s="32">
        <v>0</v>
      </c>
      <c r="I204" s="32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>
        <v>0</v>
      </c>
      <c r="P204" s="32">
        <v>0</v>
      </c>
      <c r="Q204" s="32">
        <v>0</v>
      </c>
      <c r="R204" s="34">
        <v>0</v>
      </c>
      <c r="S204" s="31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2">
        <v>0</v>
      </c>
      <c r="AB204" s="32">
        <v>0</v>
      </c>
      <c r="AC204" s="32">
        <v>0</v>
      </c>
      <c r="AD204" s="32">
        <v>0</v>
      </c>
      <c r="AE204" s="32">
        <v>0</v>
      </c>
      <c r="AF204" s="32">
        <v>0</v>
      </c>
      <c r="AG204" s="32">
        <v>0</v>
      </c>
      <c r="AH204" s="68">
        <v>0</v>
      </c>
      <c r="AI204" s="179">
        <f t="shared" si="8"/>
        <v>0</v>
      </c>
    </row>
    <row r="205" spans="1:35" ht="15.75" customHeight="1">
      <c r="A205" s="250">
        <v>2212008020</v>
      </c>
      <c r="B205" s="166" t="s">
        <v>213</v>
      </c>
      <c r="C205" s="251" t="s">
        <v>6</v>
      </c>
      <c r="D205" s="27">
        <v>0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9">
        <v>0</v>
      </c>
      <c r="S205" s="27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67">
        <v>0</v>
      </c>
      <c r="AI205" s="179">
        <f t="shared" si="8"/>
        <v>0</v>
      </c>
    </row>
    <row r="206" spans="1:35" ht="15.75" customHeight="1">
      <c r="A206" s="250">
        <v>2212008021</v>
      </c>
      <c r="B206" s="166" t="s">
        <v>214</v>
      </c>
      <c r="C206" s="251" t="s">
        <v>6</v>
      </c>
      <c r="D206" s="31">
        <v>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4">
        <v>0</v>
      </c>
      <c r="S206" s="31">
        <v>0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0</v>
      </c>
      <c r="AF206" s="32">
        <v>0</v>
      </c>
      <c r="AG206" s="32">
        <v>0</v>
      </c>
      <c r="AH206" s="68">
        <v>0</v>
      </c>
      <c r="AI206" s="179">
        <f t="shared" si="8"/>
        <v>0</v>
      </c>
    </row>
    <row r="207" spans="1:35" ht="15.75" customHeight="1">
      <c r="A207" s="250">
        <v>2212008022</v>
      </c>
      <c r="B207" s="166" t="s">
        <v>215</v>
      </c>
      <c r="C207" s="251" t="s">
        <v>8</v>
      </c>
      <c r="D207" s="27">
        <v>0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9">
        <v>0</v>
      </c>
      <c r="S207" s="27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67">
        <v>0</v>
      </c>
      <c r="AI207" s="179">
        <f t="shared" si="8"/>
        <v>0</v>
      </c>
    </row>
    <row r="208" spans="1:35" ht="15.75" customHeight="1">
      <c r="A208" s="250">
        <v>2212008023</v>
      </c>
      <c r="B208" s="166" t="s">
        <v>216</v>
      </c>
      <c r="C208" s="251" t="s">
        <v>6</v>
      </c>
      <c r="D208" s="31">
        <v>0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4">
        <v>0</v>
      </c>
      <c r="S208" s="31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0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68">
        <v>0</v>
      </c>
      <c r="AI208" s="179">
        <f t="shared" si="8"/>
        <v>0</v>
      </c>
    </row>
    <row r="209" spans="1:35" ht="15.75" customHeight="1">
      <c r="A209" s="250">
        <v>2212008024</v>
      </c>
      <c r="B209" s="166" t="s">
        <v>217</v>
      </c>
      <c r="C209" s="251" t="s">
        <v>86</v>
      </c>
      <c r="D209" s="27">
        <v>0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9">
        <v>0</v>
      </c>
      <c r="S209" s="27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67">
        <v>0</v>
      </c>
      <c r="AI209" s="179">
        <f t="shared" si="8"/>
        <v>0</v>
      </c>
    </row>
    <row r="210" spans="1:35" ht="15.75" customHeight="1">
      <c r="A210" s="250">
        <v>2212008025</v>
      </c>
      <c r="B210" s="166" t="s">
        <v>218</v>
      </c>
      <c r="C210" s="251" t="s">
        <v>219</v>
      </c>
      <c r="D210" s="31">
        <v>0</v>
      </c>
      <c r="E210" s="32">
        <v>0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</v>
      </c>
      <c r="Q210" s="32">
        <v>0</v>
      </c>
      <c r="R210" s="34">
        <v>0</v>
      </c>
      <c r="S210" s="31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  <c r="AD210" s="32">
        <v>0</v>
      </c>
      <c r="AE210" s="32">
        <v>0</v>
      </c>
      <c r="AF210" s="32">
        <v>0</v>
      </c>
      <c r="AG210" s="32">
        <v>0</v>
      </c>
      <c r="AH210" s="68">
        <v>0</v>
      </c>
      <c r="AI210" s="179">
        <f t="shared" si="8"/>
        <v>0</v>
      </c>
    </row>
    <row r="211" spans="1:35" ht="15.75" customHeight="1">
      <c r="A211" s="250">
        <v>2212008026</v>
      </c>
      <c r="B211" s="166" t="s">
        <v>220</v>
      </c>
      <c r="C211" s="251" t="s">
        <v>8</v>
      </c>
      <c r="D211" s="27">
        <v>0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9">
        <v>0</v>
      </c>
      <c r="S211" s="27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67">
        <v>0</v>
      </c>
      <c r="AI211" s="179">
        <f t="shared" si="8"/>
        <v>0</v>
      </c>
    </row>
    <row r="212" spans="1:35" ht="15.75" customHeight="1">
      <c r="A212" s="250">
        <v>2212008028</v>
      </c>
      <c r="B212" s="166" t="s">
        <v>221</v>
      </c>
      <c r="C212" s="251" t="s">
        <v>8</v>
      </c>
      <c r="D212" s="31">
        <v>0</v>
      </c>
      <c r="E212" s="32">
        <v>0</v>
      </c>
      <c r="F212" s="32">
        <v>0</v>
      </c>
      <c r="G212" s="32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4">
        <v>0</v>
      </c>
      <c r="S212" s="31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32">
        <v>0</v>
      </c>
      <c r="AB212" s="32">
        <v>0</v>
      </c>
      <c r="AC212" s="32">
        <v>0</v>
      </c>
      <c r="AD212" s="32">
        <v>0</v>
      </c>
      <c r="AE212" s="32">
        <v>0</v>
      </c>
      <c r="AF212" s="32">
        <v>0</v>
      </c>
      <c r="AG212" s="32">
        <v>0</v>
      </c>
      <c r="AH212" s="68">
        <v>0</v>
      </c>
      <c r="AI212" s="179">
        <f t="shared" si="8"/>
        <v>0</v>
      </c>
    </row>
    <row r="213" spans="1:35" ht="15.75" customHeight="1">
      <c r="A213" s="250">
        <v>2212008029</v>
      </c>
      <c r="B213" s="166" t="s">
        <v>222</v>
      </c>
      <c r="C213" s="251" t="s">
        <v>8</v>
      </c>
      <c r="D213" s="27">
        <v>0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9">
        <v>0</v>
      </c>
      <c r="S213" s="27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67">
        <v>0</v>
      </c>
      <c r="AI213" s="179">
        <f t="shared" si="8"/>
        <v>0</v>
      </c>
    </row>
    <row r="214" spans="1:35" ht="15.75" customHeight="1">
      <c r="A214" s="262">
        <v>2212008031</v>
      </c>
      <c r="B214" s="177" t="s">
        <v>223</v>
      </c>
      <c r="C214" s="255" t="s">
        <v>8</v>
      </c>
      <c r="D214" s="31">
        <v>0</v>
      </c>
      <c r="E214" s="32">
        <v>0</v>
      </c>
      <c r="F214" s="32">
        <v>0</v>
      </c>
      <c r="G214" s="32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4">
        <v>0</v>
      </c>
      <c r="S214" s="31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32">
        <v>0</v>
      </c>
      <c r="AC214" s="32">
        <v>0</v>
      </c>
      <c r="AD214" s="32">
        <v>0</v>
      </c>
      <c r="AE214" s="32">
        <v>0</v>
      </c>
      <c r="AF214" s="32">
        <v>0</v>
      </c>
      <c r="AG214" s="32">
        <v>0</v>
      </c>
      <c r="AH214" s="68">
        <v>0</v>
      </c>
      <c r="AI214" s="179">
        <f t="shared" si="8"/>
        <v>0</v>
      </c>
    </row>
    <row r="215" spans="1:35" ht="15.75" customHeight="1">
      <c r="A215" s="250">
        <v>2212008032</v>
      </c>
      <c r="B215" s="166" t="s">
        <v>224</v>
      </c>
      <c r="C215" s="251" t="s">
        <v>8</v>
      </c>
      <c r="D215" s="27">
        <v>0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9">
        <v>0</v>
      </c>
      <c r="S215" s="27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67">
        <v>0</v>
      </c>
      <c r="AI215" s="179">
        <f t="shared" si="8"/>
        <v>0</v>
      </c>
    </row>
    <row r="216" spans="1:35" ht="15.75" customHeight="1">
      <c r="A216" s="250">
        <v>2212008033</v>
      </c>
      <c r="B216" s="166" t="s">
        <v>225</v>
      </c>
      <c r="C216" s="251" t="s">
        <v>8</v>
      </c>
      <c r="D216" s="31">
        <v>0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4">
        <v>0</v>
      </c>
      <c r="S216" s="31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68">
        <v>0</v>
      </c>
      <c r="AI216" s="179">
        <f t="shared" si="8"/>
        <v>0</v>
      </c>
    </row>
    <row r="217" spans="1:35" ht="15.75" customHeight="1">
      <c r="A217" s="250">
        <v>2212008034</v>
      </c>
      <c r="B217" s="166" t="s">
        <v>226</v>
      </c>
      <c r="C217" s="251" t="s">
        <v>6</v>
      </c>
      <c r="D217" s="27">
        <v>0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9">
        <v>0</v>
      </c>
      <c r="S217" s="27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67">
        <v>0</v>
      </c>
      <c r="AI217" s="179">
        <f t="shared" si="8"/>
        <v>0</v>
      </c>
    </row>
    <row r="218" spans="1:35" ht="15.75" customHeight="1">
      <c r="A218" s="250">
        <v>2212008035</v>
      </c>
      <c r="B218" s="166" t="s">
        <v>227</v>
      </c>
      <c r="C218" s="251" t="s">
        <v>6</v>
      </c>
      <c r="D218" s="31">
        <v>84</v>
      </c>
      <c r="E218" s="32">
        <v>99</v>
      </c>
      <c r="F218" s="32">
        <v>0</v>
      </c>
      <c r="G218" s="32">
        <v>0</v>
      </c>
      <c r="H218" s="32">
        <v>99</v>
      </c>
      <c r="I218" s="32">
        <v>78</v>
      </c>
      <c r="J218" s="32">
        <v>84</v>
      </c>
      <c r="K218" s="32">
        <v>99</v>
      </c>
      <c r="L218" s="32">
        <v>63</v>
      </c>
      <c r="M218" s="32">
        <v>0</v>
      </c>
      <c r="N218" s="32">
        <v>0</v>
      </c>
      <c r="O218" s="32">
        <v>0</v>
      </c>
      <c r="P218" s="32">
        <v>84</v>
      </c>
      <c r="Q218" s="32">
        <v>78</v>
      </c>
      <c r="R218" s="34">
        <v>99</v>
      </c>
      <c r="S218" s="265">
        <v>84</v>
      </c>
      <c r="T218" s="32">
        <v>0</v>
      </c>
      <c r="U218" s="32">
        <v>0</v>
      </c>
      <c r="V218" s="32">
        <v>99</v>
      </c>
      <c r="W218" s="32">
        <v>99</v>
      </c>
      <c r="X218" s="32">
        <v>78</v>
      </c>
      <c r="Y218" s="32">
        <v>84</v>
      </c>
      <c r="Z218" s="32">
        <v>99</v>
      </c>
      <c r="AA218" s="32">
        <v>0</v>
      </c>
      <c r="AB218" s="32">
        <v>0</v>
      </c>
      <c r="AC218" s="32">
        <v>78</v>
      </c>
      <c r="AD218" s="32">
        <v>84</v>
      </c>
      <c r="AE218" s="32">
        <v>84</v>
      </c>
      <c r="AF218" s="32">
        <v>78</v>
      </c>
      <c r="AG218" s="32">
        <v>99</v>
      </c>
      <c r="AH218" s="68">
        <v>0</v>
      </c>
      <c r="AI218" s="179">
        <f t="shared" si="8"/>
        <v>1833</v>
      </c>
    </row>
    <row r="219" spans="1:35" ht="15.75" customHeight="1">
      <c r="A219" s="250">
        <v>2212008037</v>
      </c>
      <c r="B219" s="166" t="s">
        <v>228</v>
      </c>
      <c r="C219" s="251" t="s">
        <v>8</v>
      </c>
      <c r="D219" s="27">
        <v>0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9">
        <v>0</v>
      </c>
      <c r="S219" s="27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67">
        <v>0</v>
      </c>
      <c r="AI219" s="179">
        <f t="shared" si="8"/>
        <v>0</v>
      </c>
    </row>
    <row r="220" spans="1:35" ht="15.75" customHeight="1">
      <c r="A220" s="250">
        <v>2212008039</v>
      </c>
      <c r="B220" s="166" t="s">
        <v>229</v>
      </c>
      <c r="C220" s="251" t="s">
        <v>8</v>
      </c>
      <c r="D220" s="31">
        <v>0</v>
      </c>
      <c r="E220" s="32">
        <v>0</v>
      </c>
      <c r="F220" s="32">
        <v>0</v>
      </c>
      <c r="G220" s="32">
        <v>0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32">
        <v>0</v>
      </c>
      <c r="N220" s="32">
        <v>0</v>
      </c>
      <c r="O220" s="32">
        <v>0</v>
      </c>
      <c r="P220" s="32">
        <v>0</v>
      </c>
      <c r="Q220" s="32">
        <v>0</v>
      </c>
      <c r="R220" s="34">
        <v>0</v>
      </c>
      <c r="S220" s="31">
        <v>0</v>
      </c>
      <c r="T220" s="32">
        <v>0</v>
      </c>
      <c r="U220" s="32">
        <v>0</v>
      </c>
      <c r="V220" s="32">
        <v>0</v>
      </c>
      <c r="W220" s="32">
        <v>0</v>
      </c>
      <c r="X220" s="32">
        <v>0</v>
      </c>
      <c r="Y220" s="32">
        <v>0</v>
      </c>
      <c r="Z220" s="32">
        <v>0</v>
      </c>
      <c r="AA220" s="32">
        <v>0</v>
      </c>
      <c r="AB220" s="32">
        <v>0</v>
      </c>
      <c r="AC220" s="32">
        <v>0</v>
      </c>
      <c r="AD220" s="32">
        <v>0</v>
      </c>
      <c r="AE220" s="32">
        <v>0</v>
      </c>
      <c r="AF220" s="32">
        <v>0</v>
      </c>
      <c r="AG220" s="32">
        <v>0</v>
      </c>
      <c r="AH220" s="68">
        <v>0</v>
      </c>
      <c r="AI220" s="179">
        <f t="shared" si="8"/>
        <v>0</v>
      </c>
    </row>
    <row r="221" spans="1:35" ht="15.75" customHeight="1">
      <c r="A221" s="250">
        <v>2212008040</v>
      </c>
      <c r="B221" s="166" t="s">
        <v>230</v>
      </c>
      <c r="C221" s="251" t="s">
        <v>6</v>
      </c>
      <c r="D221" s="27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9">
        <v>0</v>
      </c>
      <c r="S221" s="27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67">
        <v>0</v>
      </c>
      <c r="AI221" s="179">
        <f t="shared" si="8"/>
        <v>0</v>
      </c>
    </row>
    <row r="222" spans="1:35" ht="15.75" customHeight="1">
      <c r="A222" s="250">
        <v>2212008042</v>
      </c>
      <c r="B222" s="166" t="s">
        <v>231</v>
      </c>
      <c r="C222" s="251" t="s">
        <v>8</v>
      </c>
      <c r="D222" s="31">
        <v>0</v>
      </c>
      <c r="E222" s="32">
        <v>0</v>
      </c>
      <c r="F222" s="32">
        <v>0</v>
      </c>
      <c r="G222" s="32">
        <v>0</v>
      </c>
      <c r="H222" s="32">
        <v>0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2">
        <v>0</v>
      </c>
      <c r="Q222" s="32">
        <v>0</v>
      </c>
      <c r="R222" s="34">
        <v>0</v>
      </c>
      <c r="S222" s="31">
        <v>0</v>
      </c>
      <c r="T222" s="32">
        <v>0</v>
      </c>
      <c r="U222" s="32">
        <v>0</v>
      </c>
      <c r="V222" s="32">
        <v>0</v>
      </c>
      <c r="W222" s="32">
        <v>0</v>
      </c>
      <c r="X222" s="32">
        <v>0</v>
      </c>
      <c r="Y222" s="32">
        <v>0</v>
      </c>
      <c r="Z222" s="32">
        <v>0</v>
      </c>
      <c r="AA222" s="32">
        <v>0</v>
      </c>
      <c r="AB222" s="32">
        <v>0</v>
      </c>
      <c r="AC222" s="32">
        <v>0</v>
      </c>
      <c r="AD222" s="32">
        <v>0</v>
      </c>
      <c r="AE222" s="32">
        <v>0</v>
      </c>
      <c r="AF222" s="32">
        <v>0</v>
      </c>
      <c r="AG222" s="32">
        <v>0</v>
      </c>
      <c r="AH222" s="68">
        <v>0</v>
      </c>
      <c r="AI222" s="179">
        <f t="shared" si="8"/>
        <v>0</v>
      </c>
    </row>
    <row r="223" spans="1:35" ht="15.75" customHeight="1">
      <c r="A223" s="250">
        <v>2212008045</v>
      </c>
      <c r="B223" s="166" t="s">
        <v>232</v>
      </c>
      <c r="C223" s="251" t="s">
        <v>8</v>
      </c>
      <c r="D223" s="27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9">
        <v>0</v>
      </c>
      <c r="S223" s="27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67">
        <v>0</v>
      </c>
      <c r="AI223" s="179">
        <f t="shared" si="8"/>
        <v>0</v>
      </c>
    </row>
    <row r="224" spans="1:35" ht="15.75" customHeight="1">
      <c r="A224" s="268">
        <v>2212004045</v>
      </c>
      <c r="B224" s="185" t="s">
        <v>233</v>
      </c>
      <c r="C224" s="264" t="s">
        <v>6</v>
      </c>
      <c r="D224" s="31">
        <v>0</v>
      </c>
      <c r="E224" s="206">
        <v>0</v>
      </c>
      <c r="F224" s="206">
        <v>0</v>
      </c>
      <c r="G224" s="206">
        <v>0</v>
      </c>
      <c r="H224" s="206">
        <v>0</v>
      </c>
      <c r="I224" s="206">
        <v>0</v>
      </c>
      <c r="J224" s="206">
        <v>0</v>
      </c>
      <c r="K224" s="206">
        <v>0</v>
      </c>
      <c r="L224" s="206">
        <v>0</v>
      </c>
      <c r="M224" s="206">
        <v>0</v>
      </c>
      <c r="N224" s="206">
        <v>0</v>
      </c>
      <c r="O224" s="206">
        <v>0</v>
      </c>
      <c r="P224" s="206">
        <v>0</v>
      </c>
      <c r="Q224" s="206">
        <v>0</v>
      </c>
      <c r="R224" s="207">
        <v>0</v>
      </c>
      <c r="S224" s="205">
        <v>0</v>
      </c>
      <c r="T224" s="206">
        <v>0</v>
      </c>
      <c r="U224" s="206">
        <v>0</v>
      </c>
      <c r="V224" s="206">
        <v>0</v>
      </c>
      <c r="W224" s="206">
        <v>0</v>
      </c>
      <c r="X224" s="206">
        <v>0</v>
      </c>
      <c r="Y224" s="206">
        <v>0</v>
      </c>
      <c r="Z224" s="206">
        <v>0</v>
      </c>
      <c r="AA224" s="206">
        <v>0</v>
      </c>
      <c r="AB224" s="206">
        <v>0</v>
      </c>
      <c r="AC224" s="206">
        <v>0</v>
      </c>
      <c r="AD224" s="206">
        <v>0</v>
      </c>
      <c r="AE224" s="206">
        <v>0</v>
      </c>
      <c r="AF224" s="206">
        <v>0</v>
      </c>
      <c r="AG224" s="206">
        <v>0</v>
      </c>
      <c r="AH224" s="208">
        <v>0</v>
      </c>
      <c r="AI224" s="60">
        <f t="shared" si="8"/>
        <v>0</v>
      </c>
    </row>
    <row r="225" spans="1:35" ht="18.75" customHeight="1">
      <c r="A225" s="624" t="s">
        <v>234</v>
      </c>
      <c r="B225" s="606"/>
      <c r="C225" s="606"/>
      <c r="D225" s="606"/>
      <c r="E225" s="606"/>
      <c r="F225" s="606"/>
      <c r="G225" s="606"/>
      <c r="H225" s="606"/>
      <c r="I225" s="606"/>
      <c r="J225" s="606"/>
      <c r="K225" s="606"/>
      <c r="L225" s="606"/>
      <c r="M225" s="606"/>
      <c r="N225" s="606"/>
      <c r="O225" s="606"/>
      <c r="P225" s="606"/>
      <c r="Q225" s="606"/>
      <c r="R225" s="606"/>
      <c r="S225" s="606"/>
      <c r="T225" s="606"/>
      <c r="U225" s="606"/>
      <c r="V225" s="606"/>
      <c r="W225" s="606"/>
      <c r="X225" s="606"/>
      <c r="Y225" s="606"/>
      <c r="Z225" s="606"/>
      <c r="AA225" s="606"/>
      <c r="AB225" s="606"/>
      <c r="AC225" s="606"/>
      <c r="AD225" s="606"/>
      <c r="AE225" s="606"/>
      <c r="AF225" s="606"/>
      <c r="AG225" s="606"/>
      <c r="AH225" s="606"/>
      <c r="AI225" s="607"/>
    </row>
    <row r="226" spans="1:35" ht="15.75" customHeight="1">
      <c r="A226" s="269">
        <v>2212009002</v>
      </c>
      <c r="B226" s="191" t="s">
        <v>235</v>
      </c>
      <c r="C226" s="270" t="s">
        <v>6</v>
      </c>
      <c r="D226" s="216">
        <v>0</v>
      </c>
      <c r="E226" s="218">
        <v>0</v>
      </c>
      <c r="F226" s="218">
        <v>0</v>
      </c>
      <c r="G226" s="218">
        <v>0</v>
      </c>
      <c r="H226" s="218">
        <v>0</v>
      </c>
      <c r="I226" s="218">
        <v>0</v>
      </c>
      <c r="J226" s="218">
        <v>0</v>
      </c>
      <c r="K226" s="218">
        <v>0</v>
      </c>
      <c r="L226" s="218">
        <v>0</v>
      </c>
      <c r="M226" s="218">
        <v>0</v>
      </c>
      <c r="N226" s="218">
        <v>0</v>
      </c>
      <c r="O226" s="218">
        <v>0</v>
      </c>
      <c r="P226" s="218">
        <v>0</v>
      </c>
      <c r="Q226" s="218">
        <v>0</v>
      </c>
      <c r="R226" s="219">
        <v>0</v>
      </c>
      <c r="S226" s="216">
        <v>0</v>
      </c>
      <c r="T226" s="218">
        <v>0</v>
      </c>
      <c r="U226" s="218">
        <v>0</v>
      </c>
      <c r="V226" s="218">
        <v>0</v>
      </c>
      <c r="W226" s="218">
        <v>0</v>
      </c>
      <c r="X226" s="218">
        <v>0</v>
      </c>
      <c r="Y226" s="218">
        <v>0</v>
      </c>
      <c r="Z226" s="218">
        <v>0</v>
      </c>
      <c r="AA226" s="218">
        <v>0</v>
      </c>
      <c r="AB226" s="218">
        <v>0</v>
      </c>
      <c r="AC226" s="218">
        <v>0</v>
      </c>
      <c r="AD226" s="218">
        <v>0</v>
      </c>
      <c r="AE226" s="218">
        <v>0</v>
      </c>
      <c r="AF226" s="218">
        <v>0</v>
      </c>
      <c r="AG226" s="218">
        <v>0</v>
      </c>
      <c r="AH226" s="222">
        <v>0</v>
      </c>
      <c r="AI226" s="179">
        <f t="shared" ref="AI226:AI261" si="9">SUM(D226:AH226)</f>
        <v>0</v>
      </c>
    </row>
    <row r="227" spans="1:35" ht="15.75" customHeight="1">
      <c r="A227" s="272">
        <v>2212009004</v>
      </c>
      <c r="B227" s="195" t="s">
        <v>236</v>
      </c>
      <c r="C227" s="273" t="s">
        <v>6</v>
      </c>
      <c r="D227" s="27">
        <v>0</v>
      </c>
      <c r="E227" s="28">
        <v>0</v>
      </c>
      <c r="F227" s="28">
        <v>0</v>
      </c>
      <c r="G227" s="28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9">
        <v>0</v>
      </c>
      <c r="S227" s="27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67">
        <v>0</v>
      </c>
      <c r="AI227" s="179">
        <f t="shared" si="9"/>
        <v>0</v>
      </c>
    </row>
    <row r="228" spans="1:35" ht="15.75" customHeight="1">
      <c r="A228" s="272">
        <v>2212009005</v>
      </c>
      <c r="B228" s="195" t="s">
        <v>237</v>
      </c>
      <c r="C228" s="273" t="s">
        <v>6</v>
      </c>
      <c r="D228" s="31">
        <v>0</v>
      </c>
      <c r="E228" s="32">
        <v>1</v>
      </c>
      <c r="F228" s="32">
        <v>0</v>
      </c>
      <c r="G228" s="32">
        <v>0</v>
      </c>
      <c r="H228" s="32">
        <v>1</v>
      </c>
      <c r="I228" s="32">
        <v>0</v>
      </c>
      <c r="J228" s="32">
        <v>1</v>
      </c>
      <c r="K228" s="32">
        <v>0</v>
      </c>
      <c r="L228" s="32">
        <v>1</v>
      </c>
      <c r="M228" s="32">
        <v>0</v>
      </c>
      <c r="N228" s="32">
        <v>0</v>
      </c>
      <c r="O228" s="32">
        <v>0</v>
      </c>
      <c r="P228" s="32">
        <v>0</v>
      </c>
      <c r="Q228" s="32">
        <v>1</v>
      </c>
      <c r="R228" s="34">
        <v>0</v>
      </c>
      <c r="S228" s="31">
        <v>1</v>
      </c>
      <c r="T228" s="32">
        <v>0</v>
      </c>
      <c r="U228" s="32">
        <v>0</v>
      </c>
      <c r="V228" s="32">
        <v>1</v>
      </c>
      <c r="W228" s="32">
        <v>0</v>
      </c>
      <c r="X228" s="32">
        <v>1</v>
      </c>
      <c r="Y228" s="32">
        <v>0</v>
      </c>
      <c r="Z228" s="32">
        <v>1</v>
      </c>
      <c r="AA228" s="32">
        <v>0</v>
      </c>
      <c r="AB228" s="32">
        <v>0</v>
      </c>
      <c r="AC228" s="32">
        <v>2</v>
      </c>
      <c r="AD228" s="32">
        <v>0</v>
      </c>
      <c r="AE228" s="32">
        <v>1</v>
      </c>
      <c r="AF228" s="32">
        <v>0</v>
      </c>
      <c r="AG228" s="32">
        <v>1</v>
      </c>
      <c r="AH228" s="68">
        <v>0</v>
      </c>
      <c r="AI228" s="179">
        <f t="shared" si="9"/>
        <v>13</v>
      </c>
    </row>
    <row r="229" spans="1:35" ht="15.75" customHeight="1">
      <c r="A229" s="272">
        <v>2212009006</v>
      </c>
      <c r="B229" s="195" t="s">
        <v>238</v>
      </c>
      <c r="C229" s="273" t="s">
        <v>6</v>
      </c>
      <c r="D229" s="27">
        <v>0</v>
      </c>
      <c r="E229" s="28">
        <v>0</v>
      </c>
      <c r="F229" s="28">
        <v>0</v>
      </c>
      <c r="G229" s="28">
        <v>0</v>
      </c>
      <c r="H229" s="28">
        <v>0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9">
        <v>0</v>
      </c>
      <c r="S229" s="27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67">
        <v>0</v>
      </c>
      <c r="AI229" s="179">
        <f t="shared" si="9"/>
        <v>0</v>
      </c>
    </row>
    <row r="230" spans="1:35" ht="15.75" customHeight="1">
      <c r="A230" s="272">
        <v>2212009007</v>
      </c>
      <c r="B230" s="195" t="s">
        <v>239</v>
      </c>
      <c r="C230" s="273" t="s">
        <v>6</v>
      </c>
      <c r="D230" s="31">
        <v>0</v>
      </c>
      <c r="E230" s="32">
        <v>0</v>
      </c>
      <c r="F230" s="32">
        <v>0</v>
      </c>
      <c r="G230" s="32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0</v>
      </c>
      <c r="P230" s="32">
        <v>0</v>
      </c>
      <c r="Q230" s="32">
        <v>0</v>
      </c>
      <c r="R230" s="34">
        <v>0</v>
      </c>
      <c r="S230" s="31">
        <v>0</v>
      </c>
      <c r="T230" s="32">
        <v>0</v>
      </c>
      <c r="U230" s="32">
        <v>0</v>
      </c>
      <c r="V230" s="32">
        <v>0</v>
      </c>
      <c r="W230" s="32">
        <v>0</v>
      </c>
      <c r="X230" s="32">
        <v>0</v>
      </c>
      <c r="Y230" s="32">
        <v>0</v>
      </c>
      <c r="Z230" s="32">
        <v>0</v>
      </c>
      <c r="AA230" s="32">
        <v>0</v>
      </c>
      <c r="AB230" s="32">
        <v>0</v>
      </c>
      <c r="AC230" s="32">
        <v>0</v>
      </c>
      <c r="AD230" s="32">
        <v>0</v>
      </c>
      <c r="AE230" s="32">
        <v>0</v>
      </c>
      <c r="AF230" s="32">
        <v>0</v>
      </c>
      <c r="AG230" s="32">
        <v>0</v>
      </c>
      <c r="AH230" s="68">
        <v>0</v>
      </c>
      <c r="AI230" s="179">
        <f t="shared" si="9"/>
        <v>0</v>
      </c>
    </row>
    <row r="231" spans="1:35" ht="15.75" customHeight="1">
      <c r="A231" s="272">
        <v>2212009008</v>
      </c>
      <c r="B231" s="195" t="s">
        <v>240</v>
      </c>
      <c r="C231" s="273" t="s">
        <v>6</v>
      </c>
      <c r="D231" s="27">
        <v>22</v>
      </c>
      <c r="E231" s="28">
        <v>22</v>
      </c>
      <c r="F231" s="28">
        <v>0</v>
      </c>
      <c r="G231" s="28">
        <v>0</v>
      </c>
      <c r="H231" s="28">
        <v>21</v>
      </c>
      <c r="I231" s="28">
        <v>25</v>
      </c>
      <c r="J231" s="28">
        <v>20</v>
      </c>
      <c r="K231" s="28">
        <v>2</v>
      </c>
      <c r="L231" s="28">
        <v>25</v>
      </c>
      <c r="M231" s="28">
        <v>0</v>
      </c>
      <c r="N231" s="28">
        <v>0</v>
      </c>
      <c r="O231" s="28">
        <v>0</v>
      </c>
      <c r="P231" s="28">
        <v>20</v>
      </c>
      <c r="Q231" s="28">
        <v>21</v>
      </c>
      <c r="R231" s="29">
        <v>2</v>
      </c>
      <c r="S231" s="27">
        <v>22</v>
      </c>
      <c r="T231" s="28">
        <v>0</v>
      </c>
      <c r="U231" s="28">
        <v>0</v>
      </c>
      <c r="V231" s="28">
        <v>2</v>
      </c>
      <c r="W231" s="28">
        <v>21</v>
      </c>
      <c r="X231" s="28">
        <v>25</v>
      </c>
      <c r="Y231" s="28">
        <v>20</v>
      </c>
      <c r="Z231" s="28">
        <v>2</v>
      </c>
      <c r="AA231" s="28">
        <v>0</v>
      </c>
      <c r="AB231" s="28">
        <v>0</v>
      </c>
      <c r="AC231" s="28">
        <v>39</v>
      </c>
      <c r="AD231" s="28">
        <v>2</v>
      </c>
      <c r="AE231" s="28">
        <v>20</v>
      </c>
      <c r="AF231" s="28">
        <v>21</v>
      </c>
      <c r="AG231" s="28">
        <v>2</v>
      </c>
      <c r="AH231" s="67">
        <v>0</v>
      </c>
      <c r="AI231" s="179">
        <f t="shared" si="9"/>
        <v>356</v>
      </c>
    </row>
    <row r="232" spans="1:35" ht="15.75" customHeight="1">
      <c r="A232" s="272">
        <v>2212009009</v>
      </c>
      <c r="B232" s="195" t="s">
        <v>241</v>
      </c>
      <c r="C232" s="273" t="s">
        <v>6</v>
      </c>
      <c r="D232" s="31">
        <v>0</v>
      </c>
      <c r="E232" s="32">
        <v>0</v>
      </c>
      <c r="F232" s="32">
        <v>0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2">
        <v>0</v>
      </c>
      <c r="R232" s="34">
        <v>0</v>
      </c>
      <c r="S232" s="31">
        <v>0</v>
      </c>
      <c r="T232" s="32">
        <v>0</v>
      </c>
      <c r="U232" s="32">
        <v>0</v>
      </c>
      <c r="V232" s="32">
        <v>0</v>
      </c>
      <c r="W232" s="32">
        <v>0</v>
      </c>
      <c r="X232" s="32">
        <v>0</v>
      </c>
      <c r="Y232" s="32">
        <v>0</v>
      </c>
      <c r="Z232" s="32">
        <v>0</v>
      </c>
      <c r="AA232" s="32">
        <v>0</v>
      </c>
      <c r="AB232" s="32">
        <v>0</v>
      </c>
      <c r="AC232" s="32">
        <v>0</v>
      </c>
      <c r="AD232" s="32">
        <v>0</v>
      </c>
      <c r="AE232" s="32">
        <v>0</v>
      </c>
      <c r="AF232" s="32">
        <v>0</v>
      </c>
      <c r="AG232" s="32">
        <v>0</v>
      </c>
      <c r="AH232" s="68">
        <v>0</v>
      </c>
      <c r="AI232" s="179">
        <f t="shared" si="9"/>
        <v>0</v>
      </c>
    </row>
    <row r="233" spans="1:35" ht="15.75" customHeight="1">
      <c r="A233" s="272">
        <v>2212009010</v>
      </c>
      <c r="B233" s="195" t="s">
        <v>242</v>
      </c>
      <c r="C233" s="273" t="s">
        <v>6</v>
      </c>
      <c r="D233" s="27">
        <v>1</v>
      </c>
      <c r="E233" s="28">
        <v>0</v>
      </c>
      <c r="F233" s="28">
        <v>0</v>
      </c>
      <c r="G233" s="28">
        <v>0</v>
      </c>
      <c r="H233" s="28">
        <v>1</v>
      </c>
      <c r="I233" s="28">
        <v>0</v>
      </c>
      <c r="J233" s="28">
        <v>1</v>
      </c>
      <c r="K233" s="28">
        <v>0</v>
      </c>
      <c r="L233" s="28">
        <v>1</v>
      </c>
      <c r="M233" s="28">
        <v>0</v>
      </c>
      <c r="N233" s="28">
        <v>0</v>
      </c>
      <c r="O233" s="28">
        <v>0</v>
      </c>
      <c r="P233" s="28">
        <v>1</v>
      </c>
      <c r="Q233" s="28">
        <v>0</v>
      </c>
      <c r="R233" s="29">
        <v>1</v>
      </c>
      <c r="S233" s="27">
        <v>1</v>
      </c>
      <c r="T233" s="28">
        <v>0</v>
      </c>
      <c r="U233" s="28">
        <v>0</v>
      </c>
      <c r="V233" s="28">
        <v>0</v>
      </c>
      <c r="W233" s="28">
        <v>1</v>
      </c>
      <c r="X233" s="28">
        <v>0</v>
      </c>
      <c r="Y233" s="28">
        <v>1</v>
      </c>
      <c r="Z233" s="28">
        <v>0</v>
      </c>
      <c r="AA233" s="28">
        <v>0</v>
      </c>
      <c r="AB233" s="28">
        <v>0</v>
      </c>
      <c r="AC233" s="28">
        <v>1</v>
      </c>
      <c r="AD233" s="28">
        <v>0</v>
      </c>
      <c r="AE233" s="28">
        <v>1</v>
      </c>
      <c r="AF233" s="28">
        <v>0</v>
      </c>
      <c r="AG233" s="28">
        <v>1</v>
      </c>
      <c r="AH233" s="67">
        <v>0</v>
      </c>
      <c r="AI233" s="179">
        <f t="shared" si="9"/>
        <v>12</v>
      </c>
    </row>
    <row r="234" spans="1:35" ht="15.75" customHeight="1">
      <c r="A234" s="272">
        <v>2212009011</v>
      </c>
      <c r="B234" s="195" t="s">
        <v>243</v>
      </c>
      <c r="C234" s="273" t="s">
        <v>6</v>
      </c>
      <c r="D234" s="31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2">
        <v>0</v>
      </c>
      <c r="R234" s="34">
        <v>0</v>
      </c>
      <c r="S234" s="31">
        <v>0</v>
      </c>
      <c r="T234" s="32">
        <v>0</v>
      </c>
      <c r="U234" s="32">
        <v>0</v>
      </c>
      <c r="V234" s="32">
        <v>0</v>
      </c>
      <c r="W234" s="32">
        <v>0</v>
      </c>
      <c r="X234" s="32">
        <v>0</v>
      </c>
      <c r="Y234" s="32">
        <v>0</v>
      </c>
      <c r="Z234" s="32">
        <v>0</v>
      </c>
      <c r="AA234" s="32">
        <v>0</v>
      </c>
      <c r="AB234" s="32">
        <v>0</v>
      </c>
      <c r="AC234" s="32">
        <v>0</v>
      </c>
      <c r="AD234" s="32">
        <v>0</v>
      </c>
      <c r="AE234" s="32">
        <v>0</v>
      </c>
      <c r="AF234" s="32">
        <v>0</v>
      </c>
      <c r="AG234" s="32">
        <v>0</v>
      </c>
      <c r="AH234" s="68">
        <v>0</v>
      </c>
      <c r="AI234" s="179">
        <f t="shared" si="9"/>
        <v>0</v>
      </c>
    </row>
    <row r="235" spans="1:35" ht="15.75" customHeight="1">
      <c r="A235" s="272">
        <v>2212009012</v>
      </c>
      <c r="B235" s="195" t="s">
        <v>244</v>
      </c>
      <c r="C235" s="273" t="s">
        <v>6</v>
      </c>
      <c r="D235" s="27">
        <v>0</v>
      </c>
      <c r="E235" s="28">
        <v>0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9">
        <v>0</v>
      </c>
      <c r="S235" s="27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67">
        <v>0</v>
      </c>
      <c r="AI235" s="179">
        <f t="shared" si="9"/>
        <v>0</v>
      </c>
    </row>
    <row r="236" spans="1:35" ht="15.75" customHeight="1">
      <c r="A236" s="272">
        <v>2212009013</v>
      </c>
      <c r="B236" s="195" t="s">
        <v>245</v>
      </c>
      <c r="C236" s="273" t="s">
        <v>6</v>
      </c>
      <c r="D236" s="31">
        <v>0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</v>
      </c>
      <c r="Q236" s="32">
        <v>0</v>
      </c>
      <c r="R236" s="34">
        <v>0</v>
      </c>
      <c r="S236" s="31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0</v>
      </c>
      <c r="Y236" s="32">
        <v>0</v>
      </c>
      <c r="Z236" s="32">
        <v>0</v>
      </c>
      <c r="AA236" s="32">
        <v>0</v>
      </c>
      <c r="AB236" s="32">
        <v>0</v>
      </c>
      <c r="AC236" s="32">
        <v>0</v>
      </c>
      <c r="AD236" s="32">
        <v>0</v>
      </c>
      <c r="AE236" s="32">
        <v>0</v>
      </c>
      <c r="AF236" s="32">
        <v>0</v>
      </c>
      <c r="AG236" s="32">
        <v>0</v>
      </c>
      <c r="AH236" s="68">
        <v>0</v>
      </c>
      <c r="AI236" s="179">
        <f t="shared" si="9"/>
        <v>0</v>
      </c>
    </row>
    <row r="237" spans="1:35" ht="15.75" customHeight="1">
      <c r="A237" s="272">
        <v>2212009014</v>
      </c>
      <c r="B237" s="195" t="s">
        <v>246</v>
      </c>
      <c r="C237" s="273" t="s">
        <v>6</v>
      </c>
      <c r="D237" s="27">
        <v>0</v>
      </c>
      <c r="E237" s="28">
        <v>0</v>
      </c>
      <c r="F237" s="28">
        <v>0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9">
        <v>0</v>
      </c>
      <c r="S237" s="27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67">
        <v>0</v>
      </c>
      <c r="AI237" s="179">
        <f t="shared" si="9"/>
        <v>0</v>
      </c>
    </row>
    <row r="238" spans="1:35" ht="15.75" customHeight="1">
      <c r="A238" s="272">
        <v>2212009015</v>
      </c>
      <c r="B238" s="195" t="s">
        <v>247</v>
      </c>
      <c r="C238" s="273" t="s">
        <v>6</v>
      </c>
      <c r="D238" s="31">
        <v>0</v>
      </c>
      <c r="E238" s="32">
        <v>0</v>
      </c>
      <c r="F238" s="32">
        <v>0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0</v>
      </c>
      <c r="Q238" s="32">
        <v>0</v>
      </c>
      <c r="R238" s="34">
        <v>0</v>
      </c>
      <c r="S238" s="31">
        <v>0</v>
      </c>
      <c r="T238" s="32">
        <v>0</v>
      </c>
      <c r="U238" s="32">
        <v>0</v>
      </c>
      <c r="V238" s="32">
        <v>0</v>
      </c>
      <c r="W238" s="32">
        <v>0</v>
      </c>
      <c r="X238" s="32">
        <v>0</v>
      </c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68">
        <v>0</v>
      </c>
      <c r="AI238" s="179">
        <f t="shared" si="9"/>
        <v>0</v>
      </c>
    </row>
    <row r="239" spans="1:35" ht="15.75" customHeight="1">
      <c r="A239" s="272">
        <v>2212009016</v>
      </c>
      <c r="B239" s="195" t="s">
        <v>248</v>
      </c>
      <c r="C239" s="273" t="s">
        <v>6</v>
      </c>
      <c r="D239" s="27">
        <v>0</v>
      </c>
      <c r="E239" s="28">
        <v>0</v>
      </c>
      <c r="F239" s="28">
        <v>0</v>
      </c>
      <c r="G239" s="28">
        <v>0</v>
      </c>
      <c r="H239" s="28">
        <v>0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9">
        <v>0</v>
      </c>
      <c r="S239" s="27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67">
        <v>0</v>
      </c>
      <c r="AI239" s="179">
        <f t="shared" si="9"/>
        <v>0</v>
      </c>
    </row>
    <row r="240" spans="1:35" ht="15.75" customHeight="1">
      <c r="A240" s="272">
        <v>2212009017</v>
      </c>
      <c r="B240" s="195" t="s">
        <v>249</v>
      </c>
      <c r="C240" s="273" t="s">
        <v>6</v>
      </c>
      <c r="D240" s="31">
        <v>0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</v>
      </c>
      <c r="Q240" s="32">
        <v>0</v>
      </c>
      <c r="R240" s="34">
        <v>0</v>
      </c>
      <c r="S240" s="31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0</v>
      </c>
      <c r="Y240" s="32">
        <v>0</v>
      </c>
      <c r="Z240" s="32">
        <v>0</v>
      </c>
      <c r="AA240" s="32">
        <v>0</v>
      </c>
      <c r="AB240" s="32">
        <v>0</v>
      </c>
      <c r="AC240" s="32">
        <v>0</v>
      </c>
      <c r="AD240" s="32">
        <v>0</v>
      </c>
      <c r="AE240" s="32">
        <v>0</v>
      </c>
      <c r="AF240" s="32">
        <v>0</v>
      </c>
      <c r="AG240" s="32">
        <v>0</v>
      </c>
      <c r="AH240" s="68">
        <v>0</v>
      </c>
      <c r="AI240" s="179">
        <f t="shared" si="9"/>
        <v>0</v>
      </c>
    </row>
    <row r="241" spans="1:35" ht="15.75" customHeight="1">
      <c r="A241" s="272">
        <v>2212009018</v>
      </c>
      <c r="B241" s="195" t="s">
        <v>250</v>
      </c>
      <c r="C241" s="273" t="s">
        <v>6</v>
      </c>
      <c r="D241" s="27">
        <v>0</v>
      </c>
      <c r="E241" s="28">
        <v>0</v>
      </c>
      <c r="F241" s="28">
        <v>0</v>
      </c>
      <c r="G241" s="28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9">
        <v>0</v>
      </c>
      <c r="S241" s="27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0</v>
      </c>
      <c r="AG241" s="28">
        <v>0</v>
      </c>
      <c r="AH241" s="67">
        <v>0</v>
      </c>
      <c r="AI241" s="179">
        <f t="shared" si="9"/>
        <v>0</v>
      </c>
    </row>
    <row r="242" spans="1:35" ht="15.75" customHeight="1">
      <c r="A242" s="272">
        <v>2212009019</v>
      </c>
      <c r="B242" s="195" t="s">
        <v>251</v>
      </c>
      <c r="C242" s="273" t="s">
        <v>6</v>
      </c>
      <c r="D242" s="31">
        <v>0</v>
      </c>
      <c r="E242" s="32">
        <v>0</v>
      </c>
      <c r="F242" s="32">
        <v>0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>
        <v>0</v>
      </c>
      <c r="P242" s="32">
        <v>0</v>
      </c>
      <c r="Q242" s="32">
        <v>0</v>
      </c>
      <c r="R242" s="34">
        <v>0</v>
      </c>
      <c r="S242" s="31">
        <v>0</v>
      </c>
      <c r="T242" s="32">
        <v>0</v>
      </c>
      <c r="U242" s="32">
        <v>0</v>
      </c>
      <c r="V242" s="32">
        <v>0</v>
      </c>
      <c r="W242" s="32">
        <v>0</v>
      </c>
      <c r="X242" s="32">
        <v>0</v>
      </c>
      <c r="Y242" s="32">
        <v>0</v>
      </c>
      <c r="Z242" s="32">
        <v>0</v>
      </c>
      <c r="AA242" s="32">
        <v>0</v>
      </c>
      <c r="AB242" s="32">
        <v>0</v>
      </c>
      <c r="AC242" s="32">
        <v>0</v>
      </c>
      <c r="AD242" s="32">
        <v>0</v>
      </c>
      <c r="AE242" s="32">
        <v>0</v>
      </c>
      <c r="AF242" s="32">
        <v>0</v>
      </c>
      <c r="AG242" s="32">
        <v>0</v>
      </c>
      <c r="AH242" s="68">
        <v>0</v>
      </c>
      <c r="AI242" s="179">
        <f t="shared" si="9"/>
        <v>0</v>
      </c>
    </row>
    <row r="243" spans="1:35" ht="15.75" customHeight="1">
      <c r="A243" s="272">
        <v>2212009020</v>
      </c>
      <c r="B243" s="195" t="s">
        <v>252</v>
      </c>
      <c r="C243" s="273" t="s">
        <v>6</v>
      </c>
      <c r="D243" s="27">
        <v>0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9">
        <v>0</v>
      </c>
      <c r="S243" s="27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67">
        <v>0</v>
      </c>
      <c r="AI243" s="179">
        <f t="shared" si="9"/>
        <v>0</v>
      </c>
    </row>
    <row r="244" spans="1:35" ht="15.75" customHeight="1">
      <c r="A244" s="272">
        <v>2212009021</v>
      </c>
      <c r="B244" s="195" t="s">
        <v>253</v>
      </c>
      <c r="C244" s="273" t="s">
        <v>6</v>
      </c>
      <c r="D244" s="31">
        <v>20</v>
      </c>
      <c r="E244" s="32">
        <v>20</v>
      </c>
      <c r="F244" s="32">
        <v>0</v>
      </c>
      <c r="G244" s="32">
        <v>0</v>
      </c>
      <c r="H244" s="32">
        <v>0</v>
      </c>
      <c r="I244" s="32">
        <v>20</v>
      </c>
      <c r="J244" s="32">
        <v>20</v>
      </c>
      <c r="K244" s="32">
        <v>20</v>
      </c>
      <c r="L244" s="32">
        <v>20</v>
      </c>
      <c r="M244" s="32">
        <v>0</v>
      </c>
      <c r="N244" s="32">
        <v>0</v>
      </c>
      <c r="O244" s="32">
        <v>0</v>
      </c>
      <c r="P244" s="32">
        <v>20</v>
      </c>
      <c r="Q244" s="32">
        <v>20</v>
      </c>
      <c r="R244" s="34">
        <v>0</v>
      </c>
      <c r="S244" s="31">
        <v>20</v>
      </c>
      <c r="T244" s="32">
        <v>0</v>
      </c>
      <c r="U244" s="32">
        <v>0</v>
      </c>
      <c r="V244" s="32">
        <v>20</v>
      </c>
      <c r="W244" s="32">
        <v>0</v>
      </c>
      <c r="X244" s="32">
        <v>20</v>
      </c>
      <c r="Y244" s="32">
        <v>20</v>
      </c>
      <c r="Z244" s="32">
        <v>20</v>
      </c>
      <c r="AA244" s="32">
        <v>0</v>
      </c>
      <c r="AB244" s="32">
        <v>0</v>
      </c>
      <c r="AC244" s="32">
        <v>20</v>
      </c>
      <c r="AD244" s="32">
        <v>20</v>
      </c>
      <c r="AE244" s="32">
        <v>20</v>
      </c>
      <c r="AF244" s="32">
        <v>20</v>
      </c>
      <c r="AG244" s="32">
        <v>0</v>
      </c>
      <c r="AH244" s="68">
        <v>0</v>
      </c>
      <c r="AI244" s="179">
        <f t="shared" si="9"/>
        <v>340</v>
      </c>
    </row>
    <row r="245" spans="1:35" ht="15.75" customHeight="1">
      <c r="A245" s="272">
        <v>2212009022</v>
      </c>
      <c r="B245" s="195" t="s">
        <v>254</v>
      </c>
      <c r="C245" s="273" t="s">
        <v>6</v>
      </c>
      <c r="D245" s="27">
        <v>0</v>
      </c>
      <c r="E245" s="28">
        <v>0</v>
      </c>
      <c r="F245" s="28">
        <v>0</v>
      </c>
      <c r="G245" s="28">
        <v>0</v>
      </c>
      <c r="H245" s="28">
        <v>0</v>
      </c>
      <c r="I245" s="28">
        <v>0</v>
      </c>
      <c r="J245" s="28">
        <v>0</v>
      </c>
      <c r="K245" s="28">
        <v>16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9">
        <v>16</v>
      </c>
      <c r="S245" s="27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16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16</v>
      </c>
      <c r="AH245" s="67">
        <v>0</v>
      </c>
      <c r="AI245" s="179">
        <f t="shared" si="9"/>
        <v>64</v>
      </c>
    </row>
    <row r="246" spans="1:35" ht="15.75" customHeight="1">
      <c r="A246" s="272">
        <v>2212009023</v>
      </c>
      <c r="B246" s="195" t="s">
        <v>255</v>
      </c>
      <c r="C246" s="273" t="s">
        <v>6</v>
      </c>
      <c r="D246" s="31">
        <v>0</v>
      </c>
      <c r="E246" s="32">
        <v>0</v>
      </c>
      <c r="F246" s="32">
        <v>0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2">
        <v>0</v>
      </c>
      <c r="R246" s="34">
        <v>0</v>
      </c>
      <c r="S246" s="31">
        <v>0</v>
      </c>
      <c r="T246" s="32">
        <v>0</v>
      </c>
      <c r="U246" s="32">
        <v>0</v>
      </c>
      <c r="V246" s="32">
        <v>0</v>
      </c>
      <c r="W246" s="32">
        <v>0</v>
      </c>
      <c r="X246" s="32">
        <v>0</v>
      </c>
      <c r="Y246" s="32">
        <v>0</v>
      </c>
      <c r="Z246" s="32">
        <v>0</v>
      </c>
      <c r="AA246" s="32">
        <v>0</v>
      </c>
      <c r="AB246" s="32">
        <v>0</v>
      </c>
      <c r="AC246" s="32">
        <v>0</v>
      </c>
      <c r="AD246" s="32">
        <v>0</v>
      </c>
      <c r="AE246" s="32">
        <v>0</v>
      </c>
      <c r="AF246" s="32">
        <v>0</v>
      </c>
      <c r="AG246" s="32">
        <v>0</v>
      </c>
      <c r="AH246" s="68">
        <v>0</v>
      </c>
      <c r="AI246" s="179">
        <f t="shared" si="9"/>
        <v>0</v>
      </c>
    </row>
    <row r="247" spans="1:35" ht="15.75" customHeight="1">
      <c r="A247" s="272">
        <v>2212009024</v>
      </c>
      <c r="B247" s="195" t="s">
        <v>256</v>
      </c>
      <c r="C247" s="273" t="s">
        <v>6</v>
      </c>
      <c r="D247" s="27">
        <v>0</v>
      </c>
      <c r="E247" s="28">
        <v>0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9">
        <v>0</v>
      </c>
      <c r="S247" s="27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67">
        <v>0</v>
      </c>
      <c r="AI247" s="179">
        <f t="shared" si="9"/>
        <v>0</v>
      </c>
    </row>
    <row r="248" spans="1:35" ht="15.75" customHeight="1">
      <c r="A248" s="272">
        <v>2212009025</v>
      </c>
      <c r="B248" s="195" t="s">
        <v>257</v>
      </c>
      <c r="C248" s="273" t="s">
        <v>6</v>
      </c>
      <c r="D248" s="31">
        <v>0</v>
      </c>
      <c r="E248" s="32">
        <v>0</v>
      </c>
      <c r="F248" s="32">
        <v>0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</v>
      </c>
      <c r="Q248" s="32">
        <v>0</v>
      </c>
      <c r="R248" s="34">
        <v>0</v>
      </c>
      <c r="S248" s="31">
        <v>0</v>
      </c>
      <c r="T248" s="32">
        <v>0</v>
      </c>
      <c r="U248" s="32">
        <v>0</v>
      </c>
      <c r="V248" s="32">
        <v>0</v>
      </c>
      <c r="W248" s="32">
        <v>0</v>
      </c>
      <c r="X248" s="32">
        <v>0</v>
      </c>
      <c r="Y248" s="32">
        <v>0</v>
      </c>
      <c r="Z248" s="32">
        <v>0</v>
      </c>
      <c r="AA248" s="32">
        <v>0</v>
      </c>
      <c r="AB248" s="32">
        <v>0</v>
      </c>
      <c r="AC248" s="32">
        <v>0</v>
      </c>
      <c r="AD248" s="32">
        <v>0</v>
      </c>
      <c r="AE248" s="32">
        <v>0</v>
      </c>
      <c r="AF248" s="32">
        <v>0</v>
      </c>
      <c r="AG248" s="32">
        <v>0</v>
      </c>
      <c r="AH248" s="68">
        <v>0</v>
      </c>
      <c r="AI248" s="179">
        <f t="shared" si="9"/>
        <v>0</v>
      </c>
    </row>
    <row r="249" spans="1:35" ht="15.75" customHeight="1">
      <c r="A249" s="272">
        <v>2212009026</v>
      </c>
      <c r="B249" s="195" t="s">
        <v>258</v>
      </c>
      <c r="C249" s="273" t="s">
        <v>6</v>
      </c>
      <c r="D249" s="27">
        <v>0</v>
      </c>
      <c r="E249" s="28">
        <v>0</v>
      </c>
      <c r="F249" s="28">
        <v>0</v>
      </c>
      <c r="G249" s="28">
        <v>0</v>
      </c>
      <c r="H249" s="28">
        <v>4</v>
      </c>
      <c r="I249" s="28">
        <v>0</v>
      </c>
      <c r="J249" s="28">
        <v>0</v>
      </c>
      <c r="K249" s="28">
        <v>4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9">
        <v>0</v>
      </c>
      <c r="S249" s="27">
        <v>0</v>
      </c>
      <c r="T249" s="28">
        <v>0</v>
      </c>
      <c r="U249" s="28">
        <v>0</v>
      </c>
      <c r="V249" s="28">
        <v>0</v>
      </c>
      <c r="W249" s="28">
        <v>4</v>
      </c>
      <c r="X249" s="28">
        <v>0</v>
      </c>
      <c r="Y249" s="28">
        <v>0</v>
      </c>
      <c r="Z249" s="28">
        <v>4</v>
      </c>
      <c r="AA249" s="28">
        <v>0</v>
      </c>
      <c r="AB249" s="28">
        <v>0</v>
      </c>
      <c r="AC249" s="28">
        <v>0</v>
      </c>
      <c r="AD249" s="28">
        <v>4</v>
      </c>
      <c r="AE249" s="28">
        <v>0</v>
      </c>
      <c r="AF249" s="28">
        <v>0</v>
      </c>
      <c r="AG249" s="28">
        <v>0</v>
      </c>
      <c r="AH249" s="67">
        <v>0</v>
      </c>
      <c r="AI249" s="179">
        <f t="shared" si="9"/>
        <v>20</v>
      </c>
    </row>
    <row r="250" spans="1:35" ht="15.75" customHeight="1">
      <c r="A250" s="272">
        <v>2212009028</v>
      </c>
      <c r="B250" s="195" t="s">
        <v>259</v>
      </c>
      <c r="C250" s="273" t="s">
        <v>6</v>
      </c>
      <c r="D250" s="31">
        <v>0</v>
      </c>
      <c r="E250" s="32">
        <v>0</v>
      </c>
      <c r="F250" s="32">
        <v>0</v>
      </c>
      <c r="G250" s="32">
        <v>0</v>
      </c>
      <c r="H250" s="32">
        <v>16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>
        <v>0</v>
      </c>
      <c r="O250" s="32">
        <v>0</v>
      </c>
      <c r="P250" s="32">
        <v>0</v>
      </c>
      <c r="Q250" s="32">
        <v>16</v>
      </c>
      <c r="R250" s="34">
        <v>0</v>
      </c>
      <c r="S250" s="31">
        <v>0</v>
      </c>
      <c r="T250" s="32">
        <v>0</v>
      </c>
      <c r="U250" s="32">
        <v>0</v>
      </c>
      <c r="V250" s="32">
        <v>0</v>
      </c>
      <c r="W250" s="32">
        <v>16</v>
      </c>
      <c r="X250" s="32">
        <v>0</v>
      </c>
      <c r="Y250" s="32">
        <v>0</v>
      </c>
      <c r="Z250" s="32">
        <v>0</v>
      </c>
      <c r="AA250" s="32">
        <v>0</v>
      </c>
      <c r="AB250" s="32">
        <v>0</v>
      </c>
      <c r="AC250" s="32">
        <v>0</v>
      </c>
      <c r="AD250" s="32">
        <v>0</v>
      </c>
      <c r="AE250" s="32">
        <v>0</v>
      </c>
      <c r="AF250" s="32">
        <v>16</v>
      </c>
      <c r="AG250" s="32">
        <v>0</v>
      </c>
      <c r="AH250" s="68">
        <v>0</v>
      </c>
      <c r="AI250" s="179">
        <f t="shared" si="9"/>
        <v>64</v>
      </c>
    </row>
    <row r="251" spans="1:35" ht="15.75" customHeight="1">
      <c r="A251" s="272">
        <v>2212009029</v>
      </c>
      <c r="B251" s="195" t="s">
        <v>260</v>
      </c>
      <c r="C251" s="273" t="s">
        <v>6</v>
      </c>
      <c r="D251" s="27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9">
        <v>0</v>
      </c>
      <c r="S251" s="27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67">
        <v>0</v>
      </c>
      <c r="AI251" s="179">
        <f t="shared" si="9"/>
        <v>0</v>
      </c>
    </row>
    <row r="252" spans="1:35" ht="15.75" customHeight="1">
      <c r="A252" s="272">
        <v>2212009030</v>
      </c>
      <c r="B252" s="195" t="s">
        <v>261</v>
      </c>
      <c r="C252" s="273" t="s">
        <v>6</v>
      </c>
      <c r="D252" s="31">
        <v>0</v>
      </c>
      <c r="E252" s="32">
        <v>0</v>
      </c>
      <c r="F252" s="32">
        <v>0</v>
      </c>
      <c r="G252" s="32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32">
        <v>0</v>
      </c>
      <c r="O252" s="32">
        <v>0</v>
      </c>
      <c r="P252" s="32">
        <v>0</v>
      </c>
      <c r="Q252" s="32">
        <v>0</v>
      </c>
      <c r="R252" s="34">
        <v>0</v>
      </c>
      <c r="S252" s="31">
        <v>0</v>
      </c>
      <c r="T252" s="32">
        <v>0</v>
      </c>
      <c r="U252" s="32">
        <v>0</v>
      </c>
      <c r="V252" s="32">
        <v>0</v>
      </c>
      <c r="W252" s="32">
        <v>0</v>
      </c>
      <c r="X252" s="32">
        <v>0</v>
      </c>
      <c r="Y252" s="32">
        <v>0</v>
      </c>
      <c r="Z252" s="32">
        <v>0</v>
      </c>
      <c r="AA252" s="32">
        <v>0</v>
      </c>
      <c r="AB252" s="32">
        <v>0</v>
      </c>
      <c r="AC252" s="32">
        <v>0</v>
      </c>
      <c r="AD252" s="32">
        <v>0</v>
      </c>
      <c r="AE252" s="32">
        <v>0</v>
      </c>
      <c r="AF252" s="32">
        <v>0</v>
      </c>
      <c r="AG252" s="32">
        <v>0</v>
      </c>
      <c r="AH252" s="68">
        <v>0</v>
      </c>
      <c r="AI252" s="179">
        <f t="shared" si="9"/>
        <v>0</v>
      </c>
    </row>
    <row r="253" spans="1:35" ht="15.75" customHeight="1">
      <c r="A253" s="272">
        <v>2212009031</v>
      </c>
      <c r="B253" s="195" t="s">
        <v>262</v>
      </c>
      <c r="C253" s="273" t="s">
        <v>6</v>
      </c>
      <c r="D253" s="27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9">
        <v>0</v>
      </c>
      <c r="S253" s="27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67">
        <v>0</v>
      </c>
      <c r="AI253" s="179">
        <f t="shared" si="9"/>
        <v>0</v>
      </c>
    </row>
    <row r="254" spans="1:35" ht="15.75" customHeight="1">
      <c r="A254" s="272">
        <v>2212009032</v>
      </c>
      <c r="B254" s="195" t="s">
        <v>263</v>
      </c>
      <c r="C254" s="273" t="s">
        <v>6</v>
      </c>
      <c r="D254" s="31">
        <v>0</v>
      </c>
      <c r="E254" s="32">
        <v>0</v>
      </c>
      <c r="F254" s="32">
        <v>0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2">
        <v>0</v>
      </c>
      <c r="R254" s="34">
        <v>0</v>
      </c>
      <c r="S254" s="31">
        <v>0</v>
      </c>
      <c r="T254" s="32">
        <v>0</v>
      </c>
      <c r="U254" s="32">
        <v>0</v>
      </c>
      <c r="V254" s="32">
        <v>0</v>
      </c>
      <c r="W254" s="32">
        <v>0</v>
      </c>
      <c r="X254" s="32">
        <v>0</v>
      </c>
      <c r="Y254" s="32">
        <v>0</v>
      </c>
      <c r="Z254" s="32">
        <v>0</v>
      </c>
      <c r="AA254" s="32">
        <v>0</v>
      </c>
      <c r="AB254" s="32">
        <v>0</v>
      </c>
      <c r="AC254" s="32">
        <v>0</v>
      </c>
      <c r="AD254" s="32">
        <v>0</v>
      </c>
      <c r="AE254" s="32">
        <v>0</v>
      </c>
      <c r="AF254" s="32">
        <v>0</v>
      </c>
      <c r="AG254" s="32">
        <v>0</v>
      </c>
      <c r="AH254" s="68">
        <v>0</v>
      </c>
      <c r="AI254" s="179">
        <f t="shared" si="9"/>
        <v>0</v>
      </c>
    </row>
    <row r="255" spans="1:35" ht="15.75" customHeight="1">
      <c r="A255" s="272">
        <v>2212009033</v>
      </c>
      <c r="B255" s="195" t="s">
        <v>264</v>
      </c>
      <c r="C255" s="273" t="s">
        <v>6</v>
      </c>
      <c r="D255" s="27">
        <v>0</v>
      </c>
      <c r="E255" s="28">
        <v>0</v>
      </c>
      <c r="F255" s="28">
        <v>0</v>
      </c>
      <c r="G255" s="28">
        <v>0</v>
      </c>
      <c r="H255" s="28">
        <v>1</v>
      </c>
      <c r="I255" s="28">
        <v>0</v>
      </c>
      <c r="J255" s="28">
        <v>0</v>
      </c>
      <c r="K255" s="28">
        <v>1</v>
      </c>
      <c r="L255" s="28">
        <v>1</v>
      </c>
      <c r="M255" s="28">
        <v>0</v>
      </c>
      <c r="N255" s="28">
        <v>0</v>
      </c>
      <c r="O255" s="28">
        <v>0</v>
      </c>
      <c r="P255" s="28">
        <v>0</v>
      </c>
      <c r="Q255" s="28">
        <v>1</v>
      </c>
      <c r="R255" s="29">
        <v>1</v>
      </c>
      <c r="S255" s="27">
        <v>0</v>
      </c>
      <c r="T255" s="28">
        <v>0</v>
      </c>
      <c r="U255" s="28">
        <v>0</v>
      </c>
      <c r="V255" s="28">
        <v>1</v>
      </c>
      <c r="W255" s="28">
        <v>1</v>
      </c>
      <c r="X255" s="28">
        <v>0</v>
      </c>
      <c r="Y255" s="28">
        <v>0</v>
      </c>
      <c r="Z255" s="28">
        <v>1</v>
      </c>
      <c r="AA255" s="28">
        <v>0</v>
      </c>
      <c r="AB255" s="28">
        <v>0</v>
      </c>
      <c r="AC255" s="28">
        <v>2</v>
      </c>
      <c r="AD255" s="28">
        <v>1</v>
      </c>
      <c r="AE255" s="28">
        <v>0</v>
      </c>
      <c r="AF255" s="28">
        <v>1</v>
      </c>
      <c r="AG255" s="28">
        <v>1</v>
      </c>
      <c r="AH255" s="67">
        <v>0</v>
      </c>
      <c r="AI255" s="179">
        <f t="shared" si="9"/>
        <v>13</v>
      </c>
    </row>
    <row r="256" spans="1:35" ht="15.75" customHeight="1">
      <c r="A256" s="272">
        <v>2212009034</v>
      </c>
      <c r="B256" s="195" t="s">
        <v>265</v>
      </c>
      <c r="C256" s="273" t="s">
        <v>6</v>
      </c>
      <c r="D256" s="31">
        <v>0</v>
      </c>
      <c r="E256" s="32">
        <v>0</v>
      </c>
      <c r="F256" s="32">
        <v>0</v>
      </c>
      <c r="G256" s="32">
        <v>0</v>
      </c>
      <c r="H256" s="32">
        <v>0</v>
      </c>
      <c r="I256" s="32">
        <v>0</v>
      </c>
      <c r="J256" s="32">
        <v>5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2">
        <v>5</v>
      </c>
      <c r="R256" s="34">
        <v>0</v>
      </c>
      <c r="S256" s="31">
        <v>0</v>
      </c>
      <c r="T256" s="32">
        <v>0</v>
      </c>
      <c r="U256" s="32">
        <v>0</v>
      </c>
      <c r="V256" s="32">
        <v>5</v>
      </c>
      <c r="W256" s="32">
        <v>0</v>
      </c>
      <c r="X256" s="32">
        <v>0</v>
      </c>
      <c r="Y256" s="32">
        <v>5</v>
      </c>
      <c r="Z256" s="32">
        <v>0</v>
      </c>
      <c r="AA256" s="32">
        <v>0</v>
      </c>
      <c r="AB256" s="32">
        <v>0</v>
      </c>
      <c r="AC256" s="32">
        <v>0</v>
      </c>
      <c r="AD256" s="32">
        <v>0</v>
      </c>
      <c r="AE256" s="32">
        <v>0</v>
      </c>
      <c r="AF256" s="32">
        <v>5</v>
      </c>
      <c r="AG256" s="32">
        <v>0</v>
      </c>
      <c r="AH256" s="68">
        <v>0</v>
      </c>
      <c r="AI256" s="179">
        <f t="shared" si="9"/>
        <v>25</v>
      </c>
    </row>
    <row r="257" spans="1:35" ht="15.75" customHeight="1">
      <c r="A257" s="272">
        <v>2212009035</v>
      </c>
      <c r="B257" s="195" t="s">
        <v>266</v>
      </c>
      <c r="C257" s="273" t="s">
        <v>267</v>
      </c>
      <c r="D257" s="27">
        <v>0</v>
      </c>
      <c r="E257" s="28">
        <v>0</v>
      </c>
      <c r="F257" s="28">
        <v>0</v>
      </c>
      <c r="G257" s="28">
        <v>0</v>
      </c>
      <c r="H257" s="28">
        <v>0</v>
      </c>
      <c r="I257" s="28">
        <v>0</v>
      </c>
      <c r="J257" s="28">
        <v>0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9">
        <v>0</v>
      </c>
      <c r="S257" s="27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>
        <v>0</v>
      </c>
      <c r="AG257" s="28">
        <v>0</v>
      </c>
      <c r="AH257" s="67">
        <v>0</v>
      </c>
      <c r="AI257" s="179">
        <f t="shared" si="9"/>
        <v>0</v>
      </c>
    </row>
    <row r="258" spans="1:35" ht="15.75" customHeight="1">
      <c r="A258" s="272">
        <v>2212009036</v>
      </c>
      <c r="B258" s="195" t="s">
        <v>268</v>
      </c>
      <c r="C258" s="273" t="s">
        <v>6</v>
      </c>
      <c r="D258" s="31">
        <v>0</v>
      </c>
      <c r="E258" s="32">
        <v>0</v>
      </c>
      <c r="F258" s="32">
        <v>0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32">
        <v>0</v>
      </c>
      <c r="O258" s="32">
        <v>0</v>
      </c>
      <c r="P258" s="32">
        <v>0</v>
      </c>
      <c r="Q258" s="32">
        <v>0</v>
      </c>
      <c r="R258" s="34">
        <v>0</v>
      </c>
      <c r="S258" s="31">
        <v>0</v>
      </c>
      <c r="T258" s="32">
        <v>0</v>
      </c>
      <c r="U258" s="32">
        <v>0</v>
      </c>
      <c r="V258" s="32">
        <v>0</v>
      </c>
      <c r="W258" s="32">
        <v>0</v>
      </c>
      <c r="X258" s="32">
        <v>0</v>
      </c>
      <c r="Y258" s="32">
        <v>0</v>
      </c>
      <c r="Z258" s="32">
        <v>0</v>
      </c>
      <c r="AA258" s="32">
        <v>0</v>
      </c>
      <c r="AB258" s="32">
        <v>0</v>
      </c>
      <c r="AC258" s="32">
        <v>0</v>
      </c>
      <c r="AD258" s="32">
        <v>0</v>
      </c>
      <c r="AE258" s="32">
        <v>0</v>
      </c>
      <c r="AF258" s="32">
        <v>0</v>
      </c>
      <c r="AG258" s="32">
        <v>0</v>
      </c>
      <c r="AH258" s="68">
        <v>0</v>
      </c>
      <c r="AI258" s="179">
        <f t="shared" si="9"/>
        <v>0</v>
      </c>
    </row>
    <row r="259" spans="1:35" ht="15.75" customHeight="1">
      <c r="A259" s="272">
        <v>2212009037</v>
      </c>
      <c r="B259" s="195" t="s">
        <v>269</v>
      </c>
      <c r="C259" s="273" t="s">
        <v>6</v>
      </c>
      <c r="D259" s="27">
        <v>0</v>
      </c>
      <c r="E259" s="28">
        <v>0</v>
      </c>
      <c r="F259" s="28">
        <v>0</v>
      </c>
      <c r="G259" s="28">
        <v>0</v>
      </c>
      <c r="H259" s="28">
        <v>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9">
        <v>0</v>
      </c>
      <c r="S259" s="27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0</v>
      </c>
      <c r="AG259" s="28">
        <v>0</v>
      </c>
      <c r="AH259" s="67">
        <v>0</v>
      </c>
      <c r="AI259" s="179">
        <f t="shared" si="9"/>
        <v>0</v>
      </c>
    </row>
    <row r="260" spans="1:35" ht="15.75" customHeight="1">
      <c r="A260" s="272">
        <v>2212009038</v>
      </c>
      <c r="B260" s="195" t="s">
        <v>270</v>
      </c>
      <c r="C260" s="273" t="s">
        <v>6</v>
      </c>
      <c r="D260" s="31">
        <v>0</v>
      </c>
      <c r="E260" s="32">
        <v>0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>
        <v>0</v>
      </c>
      <c r="O260" s="32">
        <v>0</v>
      </c>
      <c r="P260" s="32">
        <v>0</v>
      </c>
      <c r="Q260" s="32">
        <v>0</v>
      </c>
      <c r="R260" s="34">
        <v>0</v>
      </c>
      <c r="S260" s="31">
        <v>0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32">
        <v>0</v>
      </c>
      <c r="Z260" s="32">
        <v>0</v>
      </c>
      <c r="AA260" s="32">
        <v>0</v>
      </c>
      <c r="AB260" s="32">
        <v>0</v>
      </c>
      <c r="AC260" s="32">
        <v>0</v>
      </c>
      <c r="AD260" s="32">
        <v>0</v>
      </c>
      <c r="AE260" s="32">
        <v>0</v>
      </c>
      <c r="AF260" s="32">
        <v>0</v>
      </c>
      <c r="AG260" s="32">
        <v>0</v>
      </c>
      <c r="AH260" s="68">
        <v>0</v>
      </c>
      <c r="AI260" s="179">
        <f t="shared" si="9"/>
        <v>0</v>
      </c>
    </row>
    <row r="261" spans="1:35" ht="15.75" customHeight="1">
      <c r="A261" s="303">
        <v>2212009041</v>
      </c>
      <c r="B261" s="210" t="s">
        <v>271</v>
      </c>
      <c r="C261" s="304" t="s">
        <v>86</v>
      </c>
      <c r="D261" s="111">
        <v>0</v>
      </c>
      <c r="E261" s="113">
        <v>0</v>
      </c>
      <c r="F261" s="113">
        <v>0</v>
      </c>
      <c r="G261" s="113">
        <v>0</v>
      </c>
      <c r="H261" s="113">
        <v>0</v>
      </c>
      <c r="I261" s="113">
        <v>0</v>
      </c>
      <c r="J261" s="113">
        <v>0</v>
      </c>
      <c r="K261" s="113"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  <c r="Q261" s="113">
        <v>0</v>
      </c>
      <c r="R261" s="114">
        <v>0</v>
      </c>
      <c r="S261" s="111">
        <v>0</v>
      </c>
      <c r="T261" s="113">
        <v>0</v>
      </c>
      <c r="U261" s="113">
        <v>0</v>
      </c>
      <c r="V261" s="113">
        <v>0</v>
      </c>
      <c r="W261" s="113">
        <v>0</v>
      </c>
      <c r="X261" s="113">
        <v>0</v>
      </c>
      <c r="Y261" s="113">
        <v>0</v>
      </c>
      <c r="Z261" s="113">
        <v>0</v>
      </c>
      <c r="AA261" s="113">
        <v>0</v>
      </c>
      <c r="AB261" s="113">
        <v>0</v>
      </c>
      <c r="AC261" s="113">
        <v>0</v>
      </c>
      <c r="AD261" s="113">
        <v>0</v>
      </c>
      <c r="AE261" s="113">
        <v>0</v>
      </c>
      <c r="AF261" s="113">
        <v>0</v>
      </c>
      <c r="AG261" s="113">
        <v>0</v>
      </c>
      <c r="AH261" s="116">
        <v>0</v>
      </c>
      <c r="AI261" s="179">
        <f t="shared" si="9"/>
        <v>0</v>
      </c>
    </row>
    <row r="262" spans="1:35" ht="18.75" customHeight="1">
      <c r="A262" s="625" t="s">
        <v>272</v>
      </c>
      <c r="B262" s="606"/>
      <c r="C262" s="606"/>
      <c r="D262" s="606"/>
      <c r="E262" s="606"/>
      <c r="F262" s="606"/>
      <c r="G262" s="606"/>
      <c r="H262" s="606"/>
      <c r="I262" s="606"/>
      <c r="J262" s="606"/>
      <c r="K262" s="606"/>
      <c r="L262" s="606"/>
      <c r="M262" s="606"/>
      <c r="N262" s="606"/>
      <c r="O262" s="606"/>
      <c r="P262" s="606"/>
      <c r="Q262" s="606"/>
      <c r="R262" s="606"/>
      <c r="S262" s="606"/>
      <c r="T262" s="606"/>
      <c r="U262" s="606"/>
      <c r="V262" s="606"/>
      <c r="W262" s="606"/>
      <c r="X262" s="606"/>
      <c r="Y262" s="606"/>
      <c r="Z262" s="606"/>
      <c r="AA262" s="606"/>
      <c r="AB262" s="606"/>
      <c r="AC262" s="606"/>
      <c r="AD262" s="606"/>
      <c r="AE262" s="606"/>
      <c r="AF262" s="606"/>
      <c r="AG262" s="606"/>
      <c r="AH262" s="606"/>
      <c r="AI262" s="607"/>
    </row>
    <row r="263" spans="1:35" ht="15.75" customHeight="1">
      <c r="A263" s="306">
        <v>2212011002</v>
      </c>
      <c r="B263" s="301" t="s">
        <v>273</v>
      </c>
      <c r="C263" s="307" t="s">
        <v>86</v>
      </c>
      <c r="D263" s="16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54">
        <v>0</v>
      </c>
      <c r="S263" s="16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8">
        <v>0</v>
      </c>
      <c r="AI263" s="179">
        <f t="shared" ref="AI263:AI280" si="10">SUM(D263:AH263)</f>
        <v>0</v>
      </c>
    </row>
    <row r="264" spans="1:35" ht="15.75" customHeight="1">
      <c r="A264" s="308">
        <v>2212011003</v>
      </c>
      <c r="B264" s="221" t="s">
        <v>274</v>
      </c>
      <c r="C264" s="309" t="s">
        <v>6</v>
      </c>
      <c r="D264" s="31">
        <v>0</v>
      </c>
      <c r="E264" s="32">
        <v>12</v>
      </c>
      <c r="F264" s="32">
        <v>0</v>
      </c>
      <c r="G264" s="32">
        <v>0</v>
      </c>
      <c r="H264" s="32">
        <v>12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2">
        <v>0</v>
      </c>
      <c r="R264" s="34">
        <v>0</v>
      </c>
      <c r="S264" s="31">
        <v>0</v>
      </c>
      <c r="T264" s="32">
        <v>0</v>
      </c>
      <c r="U264" s="32">
        <v>0</v>
      </c>
      <c r="V264" s="32">
        <v>0</v>
      </c>
      <c r="W264" s="32">
        <v>12</v>
      </c>
      <c r="X264" s="32">
        <v>0</v>
      </c>
      <c r="Y264" s="32">
        <v>0</v>
      </c>
      <c r="Z264" s="32">
        <v>0</v>
      </c>
      <c r="AA264" s="32">
        <v>0</v>
      </c>
      <c r="AB264" s="32">
        <v>0</v>
      </c>
      <c r="AC264" s="32">
        <v>0</v>
      </c>
      <c r="AD264" s="32">
        <v>0</v>
      </c>
      <c r="AE264" s="32">
        <v>0</v>
      </c>
      <c r="AF264" s="32">
        <v>0</v>
      </c>
      <c r="AG264" s="32">
        <v>0</v>
      </c>
      <c r="AH264" s="68">
        <v>0</v>
      </c>
      <c r="AI264" s="179">
        <f t="shared" si="10"/>
        <v>36</v>
      </c>
    </row>
    <row r="265" spans="1:35" ht="15.75" customHeight="1">
      <c r="A265" s="308">
        <v>2212011004</v>
      </c>
      <c r="B265" s="221" t="s">
        <v>275</v>
      </c>
      <c r="C265" s="309" t="s">
        <v>6</v>
      </c>
      <c r="D265" s="27">
        <v>0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9">
        <v>0</v>
      </c>
      <c r="S265" s="27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67">
        <v>0</v>
      </c>
      <c r="AI265" s="179">
        <f t="shared" si="10"/>
        <v>0</v>
      </c>
    </row>
    <row r="266" spans="1:35" ht="15.75" customHeight="1">
      <c r="A266" s="308">
        <v>2212011006</v>
      </c>
      <c r="B266" s="221" t="s">
        <v>276</v>
      </c>
      <c r="C266" s="309" t="s">
        <v>6</v>
      </c>
      <c r="D266" s="31">
        <v>0</v>
      </c>
      <c r="E266" s="32">
        <v>0</v>
      </c>
      <c r="F266" s="32">
        <v>0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32">
        <v>0</v>
      </c>
      <c r="O266" s="32">
        <v>0</v>
      </c>
      <c r="P266" s="32">
        <v>0</v>
      </c>
      <c r="Q266" s="32">
        <v>0</v>
      </c>
      <c r="R266" s="34">
        <v>0</v>
      </c>
      <c r="S266" s="31">
        <v>0</v>
      </c>
      <c r="T266" s="32">
        <v>0</v>
      </c>
      <c r="U266" s="32">
        <v>0</v>
      </c>
      <c r="V266" s="32">
        <v>0</v>
      </c>
      <c r="W266" s="32">
        <v>0</v>
      </c>
      <c r="X266" s="32">
        <v>0</v>
      </c>
      <c r="Y266" s="32">
        <v>0</v>
      </c>
      <c r="Z266" s="32">
        <v>0</v>
      </c>
      <c r="AA266" s="32">
        <v>0</v>
      </c>
      <c r="AB266" s="32">
        <v>0</v>
      </c>
      <c r="AC266" s="32">
        <v>0</v>
      </c>
      <c r="AD266" s="32">
        <v>0</v>
      </c>
      <c r="AE266" s="32">
        <v>0</v>
      </c>
      <c r="AF266" s="32">
        <v>0</v>
      </c>
      <c r="AG266" s="32">
        <v>0</v>
      </c>
      <c r="AH266" s="68">
        <v>0</v>
      </c>
      <c r="AI266" s="179">
        <f t="shared" si="10"/>
        <v>0</v>
      </c>
    </row>
    <row r="267" spans="1:35" ht="15.75" customHeight="1">
      <c r="A267" s="308">
        <v>2212011007</v>
      </c>
      <c r="B267" s="221" t="s">
        <v>277</v>
      </c>
      <c r="C267" s="309" t="s">
        <v>6</v>
      </c>
      <c r="D267" s="27">
        <v>0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9">
        <v>0</v>
      </c>
      <c r="S267" s="27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67">
        <v>0</v>
      </c>
      <c r="AI267" s="179">
        <f t="shared" si="10"/>
        <v>0</v>
      </c>
    </row>
    <row r="268" spans="1:35" ht="15.75" customHeight="1">
      <c r="A268" s="308">
        <v>2212011008</v>
      </c>
      <c r="B268" s="221" t="s">
        <v>278</v>
      </c>
      <c r="C268" s="309" t="s">
        <v>6</v>
      </c>
      <c r="D268" s="31">
        <v>0</v>
      </c>
      <c r="E268" s="32">
        <v>0</v>
      </c>
      <c r="F268" s="32">
        <v>0</v>
      </c>
      <c r="G268" s="32">
        <v>0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>
        <v>0</v>
      </c>
      <c r="O268" s="32">
        <v>0</v>
      </c>
      <c r="P268" s="32">
        <v>0</v>
      </c>
      <c r="Q268" s="32">
        <v>0</v>
      </c>
      <c r="R268" s="34">
        <v>0</v>
      </c>
      <c r="S268" s="31">
        <v>0</v>
      </c>
      <c r="T268" s="32">
        <v>0</v>
      </c>
      <c r="U268" s="32">
        <v>0</v>
      </c>
      <c r="V268" s="32">
        <v>0</v>
      </c>
      <c r="W268" s="32">
        <v>0</v>
      </c>
      <c r="X268" s="32">
        <v>0</v>
      </c>
      <c r="Y268" s="32">
        <v>0</v>
      </c>
      <c r="Z268" s="32">
        <v>0</v>
      </c>
      <c r="AA268" s="32">
        <v>0</v>
      </c>
      <c r="AB268" s="32">
        <v>0</v>
      </c>
      <c r="AC268" s="32">
        <v>0</v>
      </c>
      <c r="AD268" s="32">
        <v>30</v>
      </c>
      <c r="AE268" s="32">
        <v>0</v>
      </c>
      <c r="AF268" s="32">
        <v>0</v>
      </c>
      <c r="AG268" s="32">
        <v>0</v>
      </c>
      <c r="AH268" s="68">
        <v>0</v>
      </c>
      <c r="AI268" s="179">
        <f t="shared" si="10"/>
        <v>30</v>
      </c>
    </row>
    <row r="269" spans="1:35" ht="15.75" customHeight="1">
      <c r="A269" s="308">
        <v>2212011009</v>
      </c>
      <c r="B269" s="221" t="s">
        <v>279</v>
      </c>
      <c r="C269" s="309" t="s">
        <v>6</v>
      </c>
      <c r="D269" s="27">
        <v>0</v>
      </c>
      <c r="E269" s="28">
        <v>0</v>
      </c>
      <c r="F269" s="28">
        <v>0</v>
      </c>
      <c r="G269" s="28">
        <v>0</v>
      </c>
      <c r="H269" s="28">
        <v>0</v>
      </c>
      <c r="I269" s="28">
        <v>0</v>
      </c>
      <c r="J269" s="28">
        <v>0</v>
      </c>
      <c r="K269" s="28">
        <v>0</v>
      </c>
      <c r="L269" s="28">
        <v>12</v>
      </c>
      <c r="M269" s="28">
        <v>0</v>
      </c>
      <c r="N269" s="28">
        <v>0</v>
      </c>
      <c r="O269" s="28">
        <v>0</v>
      </c>
      <c r="P269" s="28">
        <v>0</v>
      </c>
      <c r="Q269" s="28">
        <v>12</v>
      </c>
      <c r="R269" s="29">
        <v>0</v>
      </c>
      <c r="S269" s="27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12</v>
      </c>
      <c r="AG269" s="28">
        <v>0</v>
      </c>
      <c r="AH269" s="67">
        <v>0</v>
      </c>
      <c r="AI269" s="179">
        <f t="shared" si="10"/>
        <v>36</v>
      </c>
    </row>
    <row r="270" spans="1:35" ht="15.75" customHeight="1">
      <c r="A270" s="308">
        <v>2212011010</v>
      </c>
      <c r="B270" s="221" t="s">
        <v>280</v>
      </c>
      <c r="C270" s="309" t="s">
        <v>6</v>
      </c>
      <c r="D270" s="31">
        <v>0</v>
      </c>
      <c r="E270" s="32">
        <v>0</v>
      </c>
      <c r="F270" s="32">
        <v>0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0</v>
      </c>
      <c r="M270" s="32">
        <v>0</v>
      </c>
      <c r="N270" s="32">
        <v>0</v>
      </c>
      <c r="O270" s="32">
        <v>0</v>
      </c>
      <c r="P270" s="32">
        <v>0</v>
      </c>
      <c r="Q270" s="32">
        <v>0</v>
      </c>
      <c r="R270" s="34">
        <v>0</v>
      </c>
      <c r="S270" s="31">
        <v>0</v>
      </c>
      <c r="T270" s="32">
        <v>0</v>
      </c>
      <c r="U270" s="32">
        <v>0</v>
      </c>
      <c r="V270" s="32">
        <v>0</v>
      </c>
      <c r="W270" s="32">
        <v>0</v>
      </c>
      <c r="X270" s="32">
        <v>0</v>
      </c>
      <c r="Y270" s="32">
        <v>0</v>
      </c>
      <c r="Z270" s="32">
        <v>0</v>
      </c>
      <c r="AA270" s="32">
        <v>0</v>
      </c>
      <c r="AB270" s="32">
        <v>0</v>
      </c>
      <c r="AC270" s="32">
        <v>0</v>
      </c>
      <c r="AD270" s="32">
        <v>0</v>
      </c>
      <c r="AE270" s="32">
        <v>0</v>
      </c>
      <c r="AF270" s="32">
        <v>0</v>
      </c>
      <c r="AG270" s="32">
        <v>0</v>
      </c>
      <c r="AH270" s="68">
        <v>0</v>
      </c>
      <c r="AI270" s="179">
        <f t="shared" si="10"/>
        <v>0</v>
      </c>
    </row>
    <row r="271" spans="1:35" ht="15.75" customHeight="1">
      <c r="A271" s="308">
        <v>2212011011</v>
      </c>
      <c r="B271" s="221" t="s">
        <v>281</v>
      </c>
      <c r="C271" s="309" t="s">
        <v>6</v>
      </c>
      <c r="D271" s="27">
        <v>0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9">
        <v>0</v>
      </c>
      <c r="S271" s="27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67">
        <v>0</v>
      </c>
      <c r="AI271" s="179">
        <f t="shared" si="10"/>
        <v>0</v>
      </c>
    </row>
    <row r="272" spans="1:35" ht="15.75" customHeight="1">
      <c r="A272" s="308">
        <v>2212011012</v>
      </c>
      <c r="B272" s="221" t="s">
        <v>282</v>
      </c>
      <c r="C272" s="309" t="s">
        <v>6</v>
      </c>
      <c r="D272" s="31">
        <v>0</v>
      </c>
      <c r="E272" s="32">
        <v>0</v>
      </c>
      <c r="F272" s="32">
        <v>0</v>
      </c>
      <c r="G272" s="32">
        <v>0</v>
      </c>
      <c r="H272" s="32">
        <v>14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2">
        <v>0</v>
      </c>
      <c r="P272" s="32">
        <v>14</v>
      </c>
      <c r="Q272" s="32">
        <v>0</v>
      </c>
      <c r="R272" s="34">
        <v>0</v>
      </c>
      <c r="S272" s="31">
        <v>0</v>
      </c>
      <c r="T272" s="32">
        <v>0</v>
      </c>
      <c r="U272" s="32">
        <v>0</v>
      </c>
      <c r="V272" s="32">
        <v>0</v>
      </c>
      <c r="W272" s="32">
        <v>14</v>
      </c>
      <c r="X272" s="32">
        <v>0</v>
      </c>
      <c r="Y272" s="32">
        <v>0</v>
      </c>
      <c r="Z272" s="32">
        <v>0</v>
      </c>
      <c r="AA272" s="32">
        <v>0</v>
      </c>
      <c r="AB272" s="32">
        <v>0</v>
      </c>
      <c r="AC272" s="32">
        <v>0</v>
      </c>
      <c r="AD272" s="32">
        <v>0</v>
      </c>
      <c r="AE272" s="32">
        <v>14</v>
      </c>
      <c r="AF272" s="32">
        <v>0</v>
      </c>
      <c r="AG272" s="32">
        <v>0</v>
      </c>
      <c r="AH272" s="68">
        <v>0</v>
      </c>
      <c r="AI272" s="179">
        <f t="shared" si="10"/>
        <v>56</v>
      </c>
    </row>
    <row r="273" spans="1:35" ht="15.75" customHeight="1">
      <c r="A273" s="308">
        <v>2212011013</v>
      </c>
      <c r="B273" s="221" t="s">
        <v>283</v>
      </c>
      <c r="C273" s="309" t="s">
        <v>6</v>
      </c>
      <c r="D273" s="27">
        <v>14</v>
      </c>
      <c r="E273" s="28">
        <v>0</v>
      </c>
      <c r="F273" s="28">
        <v>0</v>
      </c>
      <c r="G273" s="28">
        <v>0</v>
      </c>
      <c r="H273" s="28">
        <v>0</v>
      </c>
      <c r="I273" s="28">
        <v>14</v>
      </c>
      <c r="J273" s="28">
        <v>0</v>
      </c>
      <c r="K273" s="28">
        <v>0</v>
      </c>
      <c r="L273" s="28">
        <v>14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9">
        <v>0</v>
      </c>
      <c r="S273" s="27">
        <v>14</v>
      </c>
      <c r="T273" s="28">
        <v>0</v>
      </c>
      <c r="U273" s="28">
        <v>0</v>
      </c>
      <c r="V273" s="28">
        <v>0</v>
      </c>
      <c r="W273" s="28">
        <v>0</v>
      </c>
      <c r="X273" s="28">
        <v>14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67">
        <v>0</v>
      </c>
      <c r="AI273" s="179">
        <f t="shared" si="10"/>
        <v>70</v>
      </c>
    </row>
    <row r="274" spans="1:35" ht="15.75" customHeight="1">
      <c r="A274" s="308">
        <v>2212011014</v>
      </c>
      <c r="B274" s="221" t="s">
        <v>284</v>
      </c>
      <c r="C274" s="309" t="s">
        <v>6</v>
      </c>
      <c r="D274" s="31">
        <v>0</v>
      </c>
      <c r="E274" s="32">
        <v>0</v>
      </c>
      <c r="F274" s="32">
        <v>0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>
        <v>0</v>
      </c>
      <c r="O274" s="32">
        <v>0</v>
      </c>
      <c r="P274" s="32">
        <v>0</v>
      </c>
      <c r="Q274" s="32">
        <v>0</v>
      </c>
      <c r="R274" s="34">
        <v>0</v>
      </c>
      <c r="S274" s="31">
        <v>0</v>
      </c>
      <c r="T274" s="32">
        <v>0</v>
      </c>
      <c r="U274" s="32">
        <v>0</v>
      </c>
      <c r="V274" s="32">
        <v>0</v>
      </c>
      <c r="W274" s="32">
        <v>0</v>
      </c>
      <c r="X274" s="32">
        <v>0</v>
      </c>
      <c r="Y274" s="32">
        <v>0</v>
      </c>
      <c r="Z274" s="32">
        <v>0</v>
      </c>
      <c r="AA274" s="32">
        <v>0</v>
      </c>
      <c r="AB274" s="32">
        <v>0</v>
      </c>
      <c r="AC274" s="32">
        <v>0</v>
      </c>
      <c r="AD274" s="32">
        <v>0</v>
      </c>
      <c r="AE274" s="32">
        <v>0</v>
      </c>
      <c r="AF274" s="32">
        <v>0</v>
      </c>
      <c r="AG274" s="32">
        <v>0</v>
      </c>
      <c r="AH274" s="68">
        <v>0</v>
      </c>
      <c r="AI274" s="179">
        <f t="shared" si="10"/>
        <v>0</v>
      </c>
    </row>
    <row r="275" spans="1:35" ht="15.75" customHeight="1">
      <c r="A275" s="308">
        <v>2212011015</v>
      </c>
      <c r="B275" s="221" t="s">
        <v>285</v>
      </c>
      <c r="C275" s="309" t="s">
        <v>6</v>
      </c>
      <c r="D275" s="27">
        <v>0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9">
        <v>0</v>
      </c>
      <c r="S275" s="27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67">
        <v>0</v>
      </c>
      <c r="AI275" s="179">
        <f t="shared" si="10"/>
        <v>0</v>
      </c>
    </row>
    <row r="276" spans="1:35" ht="15.75" customHeight="1">
      <c r="A276" s="308">
        <v>2212011016</v>
      </c>
      <c r="B276" s="221" t="s">
        <v>286</v>
      </c>
      <c r="C276" s="309" t="s">
        <v>6</v>
      </c>
      <c r="D276" s="31">
        <v>0</v>
      </c>
      <c r="E276" s="32">
        <v>10</v>
      </c>
      <c r="F276" s="32">
        <v>0</v>
      </c>
      <c r="G276" s="32">
        <v>0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</v>
      </c>
      <c r="Q276" s="32">
        <v>0</v>
      </c>
      <c r="R276" s="34">
        <v>0</v>
      </c>
      <c r="S276" s="31">
        <v>0</v>
      </c>
      <c r="T276" s="32">
        <v>0</v>
      </c>
      <c r="U276" s="32">
        <v>0</v>
      </c>
      <c r="V276" s="32">
        <v>0</v>
      </c>
      <c r="W276" s="32">
        <v>0</v>
      </c>
      <c r="X276" s="32">
        <v>0</v>
      </c>
      <c r="Y276" s="32">
        <v>0</v>
      </c>
      <c r="Z276" s="32">
        <v>0</v>
      </c>
      <c r="AA276" s="32">
        <v>0</v>
      </c>
      <c r="AB276" s="32">
        <v>0</v>
      </c>
      <c r="AC276" s="32">
        <v>0</v>
      </c>
      <c r="AD276" s="32">
        <v>0</v>
      </c>
      <c r="AE276" s="32">
        <v>0</v>
      </c>
      <c r="AF276" s="32">
        <v>0</v>
      </c>
      <c r="AG276" s="32">
        <v>0</v>
      </c>
      <c r="AH276" s="68">
        <v>0</v>
      </c>
      <c r="AI276" s="179">
        <f t="shared" si="10"/>
        <v>10</v>
      </c>
    </row>
    <row r="277" spans="1:35" ht="15.75" customHeight="1">
      <c r="A277" s="308">
        <v>2212011017</v>
      </c>
      <c r="B277" s="221" t="s">
        <v>287</v>
      </c>
      <c r="C277" s="309" t="s">
        <v>6</v>
      </c>
      <c r="D277" s="27">
        <v>0</v>
      </c>
      <c r="E277" s="28">
        <v>0</v>
      </c>
      <c r="F277" s="28">
        <v>0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9">
        <v>0</v>
      </c>
      <c r="S277" s="27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67">
        <v>0</v>
      </c>
      <c r="AI277" s="179">
        <f t="shared" si="10"/>
        <v>0</v>
      </c>
    </row>
    <row r="278" spans="1:35" ht="15.75" customHeight="1">
      <c r="A278" s="308">
        <v>2212011018</v>
      </c>
      <c r="B278" s="221" t="s">
        <v>288</v>
      </c>
      <c r="C278" s="309" t="s">
        <v>6</v>
      </c>
      <c r="D278" s="31">
        <v>0</v>
      </c>
      <c r="E278" s="32">
        <v>0</v>
      </c>
      <c r="F278" s="32">
        <v>0</v>
      </c>
      <c r="G278" s="32">
        <v>0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2">
        <v>0</v>
      </c>
      <c r="R278" s="34">
        <v>0</v>
      </c>
      <c r="S278" s="31">
        <v>0</v>
      </c>
      <c r="T278" s="32">
        <v>0</v>
      </c>
      <c r="U278" s="32">
        <v>0</v>
      </c>
      <c r="V278" s="32">
        <v>0</v>
      </c>
      <c r="W278" s="32">
        <v>0</v>
      </c>
      <c r="X278" s="32">
        <v>0</v>
      </c>
      <c r="Y278" s="32">
        <v>0</v>
      </c>
      <c r="Z278" s="32">
        <v>0</v>
      </c>
      <c r="AA278" s="32">
        <v>0</v>
      </c>
      <c r="AB278" s="32">
        <v>0</v>
      </c>
      <c r="AC278" s="32">
        <v>0</v>
      </c>
      <c r="AD278" s="32">
        <v>0</v>
      </c>
      <c r="AE278" s="32">
        <v>0</v>
      </c>
      <c r="AF278" s="32">
        <v>0</v>
      </c>
      <c r="AG278" s="32">
        <v>0</v>
      </c>
      <c r="AH278" s="68">
        <v>0</v>
      </c>
      <c r="AI278" s="179">
        <f t="shared" si="10"/>
        <v>0</v>
      </c>
    </row>
    <row r="279" spans="1:35" ht="15.75" customHeight="1">
      <c r="A279" s="308">
        <v>2212011019</v>
      </c>
      <c r="B279" s="221" t="s">
        <v>289</v>
      </c>
      <c r="C279" s="309" t="s">
        <v>6</v>
      </c>
      <c r="D279" s="27">
        <v>0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9">
        <v>0</v>
      </c>
      <c r="S279" s="27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67">
        <v>0</v>
      </c>
      <c r="AI279" s="179">
        <f t="shared" si="10"/>
        <v>0</v>
      </c>
    </row>
    <row r="280" spans="1:35" ht="15.75" customHeight="1">
      <c r="A280" s="311">
        <v>2212011026</v>
      </c>
      <c r="B280" s="227" t="s">
        <v>290</v>
      </c>
      <c r="C280" s="312" t="s">
        <v>86</v>
      </c>
      <c r="D280" s="205">
        <v>0</v>
      </c>
      <c r="E280" s="206">
        <v>0</v>
      </c>
      <c r="F280" s="206">
        <v>0</v>
      </c>
      <c r="G280" s="206">
        <v>0</v>
      </c>
      <c r="H280" s="206">
        <v>0</v>
      </c>
      <c r="I280" s="206">
        <v>0</v>
      </c>
      <c r="J280" s="206">
        <v>0</v>
      </c>
      <c r="K280" s="206">
        <v>0</v>
      </c>
      <c r="L280" s="206">
        <v>0</v>
      </c>
      <c r="M280" s="206">
        <v>0</v>
      </c>
      <c r="N280" s="206">
        <v>0</v>
      </c>
      <c r="O280" s="206">
        <v>0</v>
      </c>
      <c r="P280" s="206">
        <v>0</v>
      </c>
      <c r="Q280" s="206">
        <v>0</v>
      </c>
      <c r="R280" s="207">
        <v>0</v>
      </c>
      <c r="S280" s="205">
        <v>0</v>
      </c>
      <c r="T280" s="206">
        <v>0</v>
      </c>
      <c r="U280" s="206">
        <v>0</v>
      </c>
      <c r="V280" s="206">
        <v>0</v>
      </c>
      <c r="W280" s="206">
        <v>0</v>
      </c>
      <c r="X280" s="206">
        <v>0</v>
      </c>
      <c r="Y280" s="206">
        <v>0</v>
      </c>
      <c r="Z280" s="206">
        <v>0</v>
      </c>
      <c r="AA280" s="206">
        <v>0</v>
      </c>
      <c r="AB280" s="206">
        <v>0</v>
      </c>
      <c r="AC280" s="206">
        <v>0</v>
      </c>
      <c r="AD280" s="206">
        <v>12</v>
      </c>
      <c r="AE280" s="206">
        <v>0</v>
      </c>
      <c r="AF280" s="206">
        <v>0</v>
      </c>
      <c r="AG280" s="206">
        <v>0</v>
      </c>
      <c r="AH280" s="208">
        <v>0</v>
      </c>
      <c r="AI280" s="179">
        <f t="shared" si="10"/>
        <v>12</v>
      </c>
    </row>
    <row r="281" spans="1:35" ht="18.75" customHeight="1">
      <c r="A281" s="626" t="s">
        <v>291</v>
      </c>
      <c r="B281" s="606"/>
      <c r="C281" s="606"/>
      <c r="D281" s="606"/>
      <c r="E281" s="606"/>
      <c r="F281" s="606"/>
      <c r="G281" s="606"/>
      <c r="H281" s="606"/>
      <c r="I281" s="606"/>
      <c r="J281" s="606"/>
      <c r="K281" s="606"/>
      <c r="L281" s="606"/>
      <c r="M281" s="606"/>
      <c r="N281" s="606"/>
      <c r="O281" s="606"/>
      <c r="P281" s="606"/>
      <c r="Q281" s="606"/>
      <c r="R281" s="606"/>
      <c r="S281" s="606"/>
      <c r="T281" s="606"/>
      <c r="U281" s="606"/>
      <c r="V281" s="606"/>
      <c r="W281" s="606"/>
      <c r="X281" s="606"/>
      <c r="Y281" s="606"/>
      <c r="Z281" s="606"/>
      <c r="AA281" s="606"/>
      <c r="AB281" s="606"/>
      <c r="AC281" s="606"/>
      <c r="AD281" s="606"/>
      <c r="AE281" s="606"/>
      <c r="AF281" s="606"/>
      <c r="AG281" s="606"/>
      <c r="AH281" s="606"/>
      <c r="AI281" s="607"/>
    </row>
    <row r="282" spans="1:35" ht="15.75" customHeight="1">
      <c r="A282" s="315">
        <v>2212001001</v>
      </c>
      <c r="B282" s="313" t="s">
        <v>292</v>
      </c>
      <c r="C282" s="314" t="s">
        <v>293</v>
      </c>
      <c r="D282" s="216">
        <v>0</v>
      </c>
      <c r="E282" s="218">
        <v>1</v>
      </c>
      <c r="F282" s="218">
        <v>0</v>
      </c>
      <c r="G282" s="218">
        <v>0</v>
      </c>
      <c r="H282" s="218">
        <v>1</v>
      </c>
      <c r="I282" s="218">
        <v>0</v>
      </c>
      <c r="J282" s="218">
        <v>1</v>
      </c>
      <c r="K282" s="218">
        <v>0</v>
      </c>
      <c r="L282" s="218">
        <v>1</v>
      </c>
      <c r="M282" s="218">
        <v>0</v>
      </c>
      <c r="N282" s="218">
        <v>0</v>
      </c>
      <c r="O282" s="218">
        <v>0</v>
      </c>
      <c r="P282" s="218">
        <v>0</v>
      </c>
      <c r="Q282" s="218">
        <v>1</v>
      </c>
      <c r="R282" s="219">
        <v>0</v>
      </c>
      <c r="S282" s="216">
        <v>1</v>
      </c>
      <c r="T282" s="218">
        <v>0</v>
      </c>
      <c r="U282" s="218">
        <v>0</v>
      </c>
      <c r="V282" s="218">
        <v>1</v>
      </c>
      <c r="W282" s="218">
        <v>0</v>
      </c>
      <c r="X282" s="218">
        <v>1</v>
      </c>
      <c r="Y282" s="218">
        <v>0</v>
      </c>
      <c r="Z282" s="218">
        <v>1</v>
      </c>
      <c r="AA282" s="218">
        <v>0</v>
      </c>
      <c r="AB282" s="218">
        <v>0</v>
      </c>
      <c r="AC282" s="218">
        <v>1</v>
      </c>
      <c r="AD282" s="218">
        <v>0</v>
      </c>
      <c r="AE282" s="218">
        <v>1</v>
      </c>
      <c r="AF282" s="218">
        <v>0</v>
      </c>
      <c r="AG282" s="218">
        <v>1</v>
      </c>
      <c r="AH282" s="222">
        <v>0</v>
      </c>
      <c r="AI282" s="179">
        <f t="shared" ref="AI282:AI384" si="11">SUM(D282:AH282)</f>
        <v>12</v>
      </c>
    </row>
    <row r="283" spans="1:35" ht="15.75" customHeight="1">
      <c r="A283" s="317">
        <v>2212001002</v>
      </c>
      <c r="B283" s="239" t="s">
        <v>294</v>
      </c>
      <c r="C283" s="316" t="s">
        <v>175</v>
      </c>
      <c r="D283" s="27">
        <v>0</v>
      </c>
      <c r="E283" s="28">
        <v>0</v>
      </c>
      <c r="F283" s="28">
        <v>0</v>
      </c>
      <c r="G283" s="28">
        <v>0</v>
      </c>
      <c r="H283" s="28">
        <v>0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9">
        <v>0</v>
      </c>
      <c r="S283" s="27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67">
        <v>0</v>
      </c>
      <c r="AI283" s="179">
        <f t="shared" si="11"/>
        <v>0</v>
      </c>
    </row>
    <row r="284" spans="1:35" ht="15.75" customHeight="1">
      <c r="A284" s="317">
        <v>2212001006</v>
      </c>
      <c r="B284" s="239" t="s">
        <v>295</v>
      </c>
      <c r="C284" s="316" t="s">
        <v>296</v>
      </c>
      <c r="D284" s="31">
        <v>0</v>
      </c>
      <c r="E284" s="32">
        <v>0</v>
      </c>
      <c r="F284" s="32">
        <v>0</v>
      </c>
      <c r="G284" s="32">
        <v>0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</v>
      </c>
      <c r="N284" s="32">
        <v>0</v>
      </c>
      <c r="O284" s="32">
        <v>0</v>
      </c>
      <c r="P284" s="32">
        <v>0</v>
      </c>
      <c r="Q284" s="32">
        <v>0</v>
      </c>
      <c r="R284" s="34">
        <v>0</v>
      </c>
      <c r="S284" s="31">
        <v>0</v>
      </c>
      <c r="T284" s="32">
        <v>0</v>
      </c>
      <c r="U284" s="32">
        <v>0</v>
      </c>
      <c r="V284" s="32">
        <v>0</v>
      </c>
      <c r="W284" s="32">
        <v>0</v>
      </c>
      <c r="X284" s="32">
        <v>0</v>
      </c>
      <c r="Y284" s="32">
        <v>0</v>
      </c>
      <c r="Z284" s="32">
        <v>0</v>
      </c>
      <c r="AA284" s="32">
        <v>0</v>
      </c>
      <c r="AB284" s="32">
        <v>0</v>
      </c>
      <c r="AC284" s="32">
        <v>0</v>
      </c>
      <c r="AD284" s="32">
        <v>0</v>
      </c>
      <c r="AE284" s="32">
        <v>0</v>
      </c>
      <c r="AF284" s="32">
        <v>0</v>
      </c>
      <c r="AG284" s="32">
        <v>0</v>
      </c>
      <c r="AH284" s="68">
        <v>0</v>
      </c>
      <c r="AI284" s="179">
        <f t="shared" si="11"/>
        <v>0</v>
      </c>
    </row>
    <row r="285" spans="1:35" ht="15.75" customHeight="1">
      <c r="A285" s="317">
        <v>2212001007</v>
      </c>
      <c r="B285" s="239" t="s">
        <v>297</v>
      </c>
      <c r="C285" s="316" t="s">
        <v>6</v>
      </c>
      <c r="D285" s="27">
        <v>15</v>
      </c>
      <c r="E285" s="28">
        <v>15</v>
      </c>
      <c r="F285" s="28">
        <v>0</v>
      </c>
      <c r="G285" s="28">
        <v>0</v>
      </c>
      <c r="H285" s="28">
        <v>17</v>
      </c>
      <c r="I285" s="28">
        <v>15</v>
      </c>
      <c r="J285" s="28">
        <v>15</v>
      </c>
      <c r="K285" s="28">
        <v>17</v>
      </c>
      <c r="L285" s="28">
        <v>17</v>
      </c>
      <c r="M285" s="28">
        <v>0</v>
      </c>
      <c r="N285" s="28">
        <v>0</v>
      </c>
      <c r="O285" s="28">
        <v>0</v>
      </c>
      <c r="P285" s="28">
        <v>15</v>
      </c>
      <c r="Q285" s="28">
        <v>17</v>
      </c>
      <c r="R285" s="29">
        <v>17</v>
      </c>
      <c r="S285" s="27">
        <v>15</v>
      </c>
      <c r="T285" s="28">
        <v>0</v>
      </c>
      <c r="U285" s="28">
        <v>0</v>
      </c>
      <c r="V285" s="28">
        <v>17</v>
      </c>
      <c r="W285" s="28">
        <v>17</v>
      </c>
      <c r="X285" s="28">
        <v>15</v>
      </c>
      <c r="Y285" s="28">
        <v>15</v>
      </c>
      <c r="Z285" s="28">
        <v>17</v>
      </c>
      <c r="AA285" s="28">
        <v>0</v>
      </c>
      <c r="AB285" s="28">
        <v>0</v>
      </c>
      <c r="AC285" s="28">
        <v>19</v>
      </c>
      <c r="AD285" s="28">
        <v>17</v>
      </c>
      <c r="AE285" s="28">
        <v>15</v>
      </c>
      <c r="AF285" s="28">
        <v>17</v>
      </c>
      <c r="AG285" s="28">
        <v>17</v>
      </c>
      <c r="AH285" s="67">
        <v>0</v>
      </c>
      <c r="AI285" s="179">
        <f t="shared" si="11"/>
        <v>341</v>
      </c>
    </row>
    <row r="286" spans="1:35" ht="15.75" customHeight="1">
      <c r="A286" s="241">
        <v>2212007011</v>
      </c>
      <c r="B286" s="242" t="s">
        <v>298</v>
      </c>
      <c r="C286" s="241" t="s">
        <v>86</v>
      </c>
      <c r="D286" s="31">
        <v>0</v>
      </c>
      <c r="E286" s="32">
        <v>0</v>
      </c>
      <c r="F286" s="32">
        <v>0</v>
      </c>
      <c r="G286" s="32">
        <v>0</v>
      </c>
      <c r="H286" s="32">
        <v>0</v>
      </c>
      <c r="I286" s="32">
        <v>0</v>
      </c>
      <c r="J286" s="32">
        <v>0</v>
      </c>
      <c r="K286" s="32">
        <v>0</v>
      </c>
      <c r="L286" s="32">
        <v>0</v>
      </c>
      <c r="M286" s="32">
        <v>0</v>
      </c>
      <c r="N286" s="32">
        <v>0</v>
      </c>
      <c r="O286" s="32">
        <v>0</v>
      </c>
      <c r="P286" s="32">
        <v>0</v>
      </c>
      <c r="Q286" s="32">
        <v>0</v>
      </c>
      <c r="R286" s="34">
        <v>0</v>
      </c>
      <c r="S286" s="31">
        <v>0</v>
      </c>
      <c r="T286" s="32">
        <v>0</v>
      </c>
      <c r="U286" s="32">
        <v>0</v>
      </c>
      <c r="V286" s="32">
        <v>0</v>
      </c>
      <c r="W286" s="32">
        <v>0</v>
      </c>
      <c r="X286" s="32">
        <v>0</v>
      </c>
      <c r="Y286" s="32">
        <v>0</v>
      </c>
      <c r="Z286" s="32">
        <v>0</v>
      </c>
      <c r="AA286" s="32">
        <v>0</v>
      </c>
      <c r="AB286" s="32">
        <v>0</v>
      </c>
      <c r="AC286" s="32">
        <v>0</v>
      </c>
      <c r="AD286" s="32">
        <v>0</v>
      </c>
      <c r="AE286" s="32">
        <v>0</v>
      </c>
      <c r="AF286" s="32">
        <v>0</v>
      </c>
      <c r="AG286" s="32">
        <v>0</v>
      </c>
      <c r="AH286" s="68">
        <v>0</v>
      </c>
      <c r="AI286" s="179">
        <f t="shared" si="11"/>
        <v>0</v>
      </c>
    </row>
    <row r="287" spans="1:35" ht="15.75" customHeight="1">
      <c r="A287" s="317">
        <v>2212001010</v>
      </c>
      <c r="B287" s="239" t="s">
        <v>299</v>
      </c>
      <c r="C287" s="316" t="s">
        <v>267</v>
      </c>
      <c r="D287" s="27">
        <v>0</v>
      </c>
      <c r="E287" s="28">
        <v>0</v>
      </c>
      <c r="F287" s="28">
        <v>0</v>
      </c>
      <c r="G287" s="28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9">
        <v>0</v>
      </c>
      <c r="S287" s="27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8">
        <v>0</v>
      </c>
      <c r="AG287" s="28">
        <v>0</v>
      </c>
      <c r="AH287" s="67">
        <v>0</v>
      </c>
      <c r="AI287" s="179">
        <f t="shared" si="11"/>
        <v>0</v>
      </c>
    </row>
    <row r="288" spans="1:35" ht="15.75" customHeight="1">
      <c r="A288" s="317">
        <v>2212001013</v>
      </c>
      <c r="B288" s="239" t="s">
        <v>300</v>
      </c>
      <c r="C288" s="316" t="s">
        <v>86</v>
      </c>
      <c r="D288" s="31">
        <v>0</v>
      </c>
      <c r="E288" s="32">
        <v>0</v>
      </c>
      <c r="F288" s="32">
        <v>0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>
        <v>0</v>
      </c>
      <c r="O288" s="32">
        <v>0</v>
      </c>
      <c r="P288" s="32">
        <v>0</v>
      </c>
      <c r="Q288" s="32">
        <v>0</v>
      </c>
      <c r="R288" s="34">
        <v>0</v>
      </c>
      <c r="S288" s="31">
        <v>0</v>
      </c>
      <c r="T288" s="32">
        <v>0</v>
      </c>
      <c r="U288" s="32">
        <v>0</v>
      </c>
      <c r="V288" s="32">
        <v>0</v>
      </c>
      <c r="W288" s="32">
        <v>0</v>
      </c>
      <c r="X288" s="32">
        <v>0</v>
      </c>
      <c r="Y288" s="32">
        <v>0</v>
      </c>
      <c r="Z288" s="32">
        <v>0</v>
      </c>
      <c r="AA288" s="32">
        <v>0</v>
      </c>
      <c r="AB288" s="32">
        <v>0</v>
      </c>
      <c r="AC288" s="32">
        <v>0</v>
      </c>
      <c r="AD288" s="32">
        <v>0</v>
      </c>
      <c r="AE288" s="32">
        <v>0</v>
      </c>
      <c r="AF288" s="32">
        <v>0</v>
      </c>
      <c r="AG288" s="32">
        <v>0</v>
      </c>
      <c r="AH288" s="68">
        <v>0</v>
      </c>
      <c r="AI288" s="179">
        <f t="shared" si="11"/>
        <v>0</v>
      </c>
    </row>
    <row r="289" spans="1:35" ht="15.75" customHeight="1">
      <c r="A289" s="317">
        <v>2212001014</v>
      </c>
      <c r="B289" s="239" t="s">
        <v>301</v>
      </c>
      <c r="C289" s="316" t="s">
        <v>86</v>
      </c>
      <c r="D289" s="27">
        <v>0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9">
        <v>0</v>
      </c>
      <c r="S289" s="27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67">
        <v>0</v>
      </c>
      <c r="AI289" s="179">
        <f t="shared" si="11"/>
        <v>0</v>
      </c>
    </row>
    <row r="290" spans="1:35" ht="15.75" customHeight="1">
      <c r="A290" s="317">
        <v>2212001015</v>
      </c>
      <c r="B290" s="239" t="s">
        <v>302</v>
      </c>
      <c r="C290" s="316" t="s">
        <v>86</v>
      </c>
      <c r="D290" s="31">
        <v>0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</v>
      </c>
      <c r="Q290" s="32">
        <v>0</v>
      </c>
      <c r="R290" s="34">
        <v>0</v>
      </c>
      <c r="S290" s="31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2">
        <v>0</v>
      </c>
      <c r="Z290" s="32">
        <v>0</v>
      </c>
      <c r="AA290" s="32">
        <v>0</v>
      </c>
      <c r="AB290" s="32">
        <v>0</v>
      </c>
      <c r="AC290" s="32">
        <v>0</v>
      </c>
      <c r="AD290" s="32">
        <v>0</v>
      </c>
      <c r="AE290" s="32">
        <v>0</v>
      </c>
      <c r="AF290" s="32">
        <v>0</v>
      </c>
      <c r="AG290" s="32">
        <v>0</v>
      </c>
      <c r="AH290" s="68">
        <v>0</v>
      </c>
      <c r="AI290" s="179">
        <f t="shared" si="11"/>
        <v>0</v>
      </c>
    </row>
    <row r="291" spans="1:35" ht="15.75" customHeight="1">
      <c r="A291" s="317">
        <v>2212001016</v>
      </c>
      <c r="B291" s="239" t="s">
        <v>303</v>
      </c>
      <c r="C291" s="316" t="s">
        <v>296</v>
      </c>
      <c r="D291" s="27">
        <v>0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9">
        <v>0</v>
      </c>
      <c r="S291" s="27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1</v>
      </c>
      <c r="AE291" s="28">
        <v>0</v>
      </c>
      <c r="AF291" s="28">
        <v>0</v>
      </c>
      <c r="AG291" s="28">
        <v>0</v>
      </c>
      <c r="AH291" s="67">
        <v>0</v>
      </c>
      <c r="AI291" s="179">
        <f t="shared" si="11"/>
        <v>1</v>
      </c>
    </row>
    <row r="292" spans="1:35" ht="15.75" customHeight="1">
      <c r="A292" s="317">
        <v>2212001018</v>
      </c>
      <c r="B292" s="239" t="s">
        <v>304</v>
      </c>
      <c r="C292" s="316" t="s">
        <v>296</v>
      </c>
      <c r="D292" s="31">
        <v>0</v>
      </c>
      <c r="E292" s="32">
        <v>0</v>
      </c>
      <c r="F292" s="32">
        <v>0</v>
      </c>
      <c r="G292" s="32">
        <v>0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>
        <v>0</v>
      </c>
      <c r="P292" s="32">
        <v>0</v>
      </c>
      <c r="Q292" s="32">
        <v>0</v>
      </c>
      <c r="R292" s="34">
        <v>0</v>
      </c>
      <c r="S292" s="31">
        <v>0</v>
      </c>
      <c r="T292" s="32">
        <v>0</v>
      </c>
      <c r="U292" s="32">
        <v>0</v>
      </c>
      <c r="V292" s="32">
        <v>0</v>
      </c>
      <c r="W292" s="32">
        <v>0</v>
      </c>
      <c r="X292" s="32">
        <v>0</v>
      </c>
      <c r="Y292" s="32">
        <v>0</v>
      </c>
      <c r="Z292" s="32">
        <v>0</v>
      </c>
      <c r="AA292" s="32">
        <v>0</v>
      </c>
      <c r="AB292" s="32">
        <v>0</v>
      </c>
      <c r="AC292" s="32">
        <v>0</v>
      </c>
      <c r="AD292" s="32">
        <v>0</v>
      </c>
      <c r="AE292" s="32">
        <v>0</v>
      </c>
      <c r="AF292" s="32">
        <v>0</v>
      </c>
      <c r="AG292" s="32">
        <v>0</v>
      </c>
      <c r="AH292" s="68">
        <v>0</v>
      </c>
      <c r="AI292" s="179">
        <f t="shared" si="11"/>
        <v>0</v>
      </c>
    </row>
    <row r="293" spans="1:35" ht="15.75" customHeight="1">
      <c r="A293" s="317">
        <v>2212001020</v>
      </c>
      <c r="B293" s="239" t="s">
        <v>305</v>
      </c>
      <c r="C293" s="316" t="s">
        <v>6</v>
      </c>
      <c r="D293" s="27">
        <v>0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9">
        <v>0</v>
      </c>
      <c r="S293" s="27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67">
        <v>0</v>
      </c>
      <c r="AI293" s="179">
        <f t="shared" si="11"/>
        <v>0</v>
      </c>
    </row>
    <row r="294" spans="1:35" ht="15.75" customHeight="1">
      <c r="A294" s="317">
        <v>2212001022</v>
      </c>
      <c r="B294" s="239" t="s">
        <v>306</v>
      </c>
      <c r="C294" s="316" t="s">
        <v>307</v>
      </c>
      <c r="D294" s="31">
        <v>0</v>
      </c>
      <c r="E294" s="32">
        <v>0</v>
      </c>
      <c r="F294" s="32">
        <v>0</v>
      </c>
      <c r="G294" s="32">
        <v>0</v>
      </c>
      <c r="H294" s="32">
        <v>0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>
        <v>0</v>
      </c>
      <c r="O294" s="32">
        <v>0</v>
      </c>
      <c r="P294" s="32">
        <v>0</v>
      </c>
      <c r="Q294" s="32">
        <v>0</v>
      </c>
      <c r="R294" s="34">
        <v>0</v>
      </c>
      <c r="S294" s="31">
        <v>0</v>
      </c>
      <c r="T294" s="32">
        <v>0</v>
      </c>
      <c r="U294" s="32">
        <v>0</v>
      </c>
      <c r="V294" s="32">
        <v>0</v>
      </c>
      <c r="W294" s="32">
        <v>0</v>
      </c>
      <c r="X294" s="32">
        <v>0</v>
      </c>
      <c r="Y294" s="32">
        <v>0</v>
      </c>
      <c r="Z294" s="32">
        <v>0</v>
      </c>
      <c r="AA294" s="32">
        <v>0</v>
      </c>
      <c r="AB294" s="32">
        <v>0</v>
      </c>
      <c r="AC294" s="32">
        <v>0</v>
      </c>
      <c r="AD294" s="32">
        <v>0</v>
      </c>
      <c r="AE294" s="32">
        <v>0</v>
      </c>
      <c r="AF294" s="32">
        <v>0</v>
      </c>
      <c r="AG294" s="32">
        <v>0</v>
      </c>
      <c r="AH294" s="68">
        <v>0</v>
      </c>
      <c r="AI294" s="179">
        <f t="shared" si="11"/>
        <v>0</v>
      </c>
    </row>
    <row r="295" spans="1:35" ht="15.75" customHeight="1">
      <c r="A295" s="241">
        <v>2212007018</v>
      </c>
      <c r="B295" s="242" t="s">
        <v>308</v>
      </c>
      <c r="C295" s="241" t="s">
        <v>86</v>
      </c>
      <c r="D295" s="27">
        <v>0</v>
      </c>
      <c r="E295" s="28">
        <v>0</v>
      </c>
      <c r="F295" s="28">
        <v>0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9">
        <v>2</v>
      </c>
      <c r="S295" s="27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2</v>
      </c>
      <c r="AH295" s="67">
        <v>0</v>
      </c>
      <c r="AI295" s="179">
        <f t="shared" si="11"/>
        <v>4</v>
      </c>
    </row>
    <row r="296" spans="1:35" ht="15.75" customHeight="1">
      <c r="A296" s="317">
        <v>2212001026</v>
      </c>
      <c r="B296" s="239" t="s">
        <v>309</v>
      </c>
      <c r="C296" s="316" t="s">
        <v>6</v>
      </c>
      <c r="D296" s="31">
        <v>1</v>
      </c>
      <c r="E296" s="32">
        <v>1</v>
      </c>
      <c r="F296" s="32">
        <v>0</v>
      </c>
      <c r="G296" s="32">
        <v>0</v>
      </c>
      <c r="H296" s="32">
        <v>2</v>
      </c>
      <c r="I296" s="32">
        <v>0</v>
      </c>
      <c r="J296" s="32">
        <v>2</v>
      </c>
      <c r="K296" s="32">
        <v>0</v>
      </c>
      <c r="L296" s="32">
        <v>0</v>
      </c>
      <c r="M296" s="32">
        <v>0</v>
      </c>
      <c r="N296" s="32">
        <v>0</v>
      </c>
      <c r="O296" s="32">
        <v>0</v>
      </c>
      <c r="P296" s="32">
        <v>0</v>
      </c>
      <c r="Q296" s="32">
        <v>2</v>
      </c>
      <c r="R296" s="34">
        <v>0</v>
      </c>
      <c r="S296" s="31">
        <v>1</v>
      </c>
      <c r="T296" s="32">
        <v>0</v>
      </c>
      <c r="U296" s="32">
        <v>0</v>
      </c>
      <c r="V296" s="32">
        <v>0</v>
      </c>
      <c r="W296" s="32">
        <v>2</v>
      </c>
      <c r="X296" s="32">
        <v>0</v>
      </c>
      <c r="Y296" s="32">
        <v>2</v>
      </c>
      <c r="Z296" s="32">
        <v>0</v>
      </c>
      <c r="AA296" s="32">
        <v>0</v>
      </c>
      <c r="AB296" s="32">
        <v>0</v>
      </c>
      <c r="AC296" s="32">
        <v>1</v>
      </c>
      <c r="AD296" s="32">
        <v>1</v>
      </c>
      <c r="AE296" s="32">
        <v>0</v>
      </c>
      <c r="AF296" s="32">
        <v>0</v>
      </c>
      <c r="AG296" s="32">
        <v>2</v>
      </c>
      <c r="AH296" s="68">
        <v>0</v>
      </c>
      <c r="AI296" s="179">
        <f t="shared" si="11"/>
        <v>17</v>
      </c>
    </row>
    <row r="297" spans="1:35" ht="15.75" customHeight="1">
      <c r="A297" s="317">
        <v>2212001027</v>
      </c>
      <c r="B297" s="239" t="s">
        <v>310</v>
      </c>
      <c r="C297" s="316" t="s">
        <v>171</v>
      </c>
      <c r="D297" s="27">
        <v>0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0</v>
      </c>
      <c r="L297" s="28">
        <v>2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9">
        <v>0</v>
      </c>
      <c r="S297" s="27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0</v>
      </c>
      <c r="AG297" s="28">
        <v>0</v>
      </c>
      <c r="AH297" s="67">
        <v>0</v>
      </c>
      <c r="AI297" s="179">
        <f t="shared" si="11"/>
        <v>2</v>
      </c>
    </row>
    <row r="298" spans="1:35" ht="15.75" customHeight="1">
      <c r="A298" s="317">
        <v>2212001028</v>
      </c>
      <c r="B298" s="239" t="s">
        <v>311</v>
      </c>
      <c r="C298" s="316" t="s">
        <v>296</v>
      </c>
      <c r="D298" s="31">
        <v>24</v>
      </c>
      <c r="E298" s="32">
        <v>0</v>
      </c>
      <c r="F298" s="32">
        <v>0</v>
      </c>
      <c r="G298" s="32">
        <v>0</v>
      </c>
      <c r="H298" s="32">
        <v>0</v>
      </c>
      <c r="I298" s="32">
        <v>24</v>
      </c>
      <c r="J298" s="32">
        <v>24</v>
      </c>
      <c r="K298" s="32">
        <v>0</v>
      </c>
      <c r="L298" s="32">
        <v>0</v>
      </c>
      <c r="M298" s="32">
        <v>0</v>
      </c>
      <c r="N298" s="32">
        <v>0</v>
      </c>
      <c r="O298" s="32">
        <v>0</v>
      </c>
      <c r="P298" s="32">
        <v>0</v>
      </c>
      <c r="Q298" s="32">
        <v>0</v>
      </c>
      <c r="R298" s="34">
        <v>0</v>
      </c>
      <c r="S298" s="31">
        <v>24</v>
      </c>
      <c r="T298" s="32">
        <v>0</v>
      </c>
      <c r="U298" s="32">
        <v>0</v>
      </c>
      <c r="V298" s="32">
        <v>0</v>
      </c>
      <c r="W298" s="32">
        <v>0</v>
      </c>
      <c r="X298" s="32">
        <v>24</v>
      </c>
      <c r="Y298" s="32">
        <v>24</v>
      </c>
      <c r="Z298" s="32">
        <v>0</v>
      </c>
      <c r="AA298" s="32">
        <v>0</v>
      </c>
      <c r="AB298" s="32">
        <v>0</v>
      </c>
      <c r="AC298" s="32">
        <v>0</v>
      </c>
      <c r="AD298" s="32">
        <v>0</v>
      </c>
      <c r="AE298" s="32">
        <v>0</v>
      </c>
      <c r="AF298" s="32">
        <v>0</v>
      </c>
      <c r="AG298" s="32">
        <v>0</v>
      </c>
      <c r="AH298" s="68">
        <v>0</v>
      </c>
      <c r="AI298" s="179">
        <f t="shared" si="11"/>
        <v>144</v>
      </c>
    </row>
    <row r="299" spans="1:35" ht="15.75" customHeight="1">
      <c r="A299" s="317">
        <v>2212001029</v>
      </c>
      <c r="B299" s="243" t="s">
        <v>312</v>
      </c>
      <c r="C299" s="316" t="s">
        <v>313</v>
      </c>
      <c r="D299" s="27">
        <v>0</v>
      </c>
      <c r="E299" s="28">
        <v>0</v>
      </c>
      <c r="F299" s="28">
        <v>0</v>
      </c>
      <c r="G299" s="28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9">
        <v>0</v>
      </c>
      <c r="S299" s="27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0</v>
      </c>
      <c r="AH299" s="67">
        <v>0</v>
      </c>
      <c r="AI299" s="179">
        <f t="shared" si="11"/>
        <v>0</v>
      </c>
    </row>
    <row r="300" spans="1:35" ht="15.75" customHeight="1">
      <c r="A300" s="317">
        <v>2212001030</v>
      </c>
      <c r="B300" s="239" t="s">
        <v>314</v>
      </c>
      <c r="C300" s="316" t="s">
        <v>86</v>
      </c>
      <c r="D300" s="31">
        <v>0</v>
      </c>
      <c r="E300" s="32">
        <v>0</v>
      </c>
      <c r="F300" s="32">
        <v>0</v>
      </c>
      <c r="G300" s="32">
        <v>0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</v>
      </c>
      <c r="Q300" s="32">
        <v>0</v>
      </c>
      <c r="R300" s="34">
        <v>0</v>
      </c>
      <c r="S300" s="31">
        <v>0</v>
      </c>
      <c r="T300" s="32">
        <v>0</v>
      </c>
      <c r="U300" s="32">
        <v>0</v>
      </c>
      <c r="V300" s="32">
        <v>0</v>
      </c>
      <c r="W300" s="32">
        <v>0</v>
      </c>
      <c r="X300" s="32">
        <v>0</v>
      </c>
      <c r="Y300" s="32">
        <v>0</v>
      </c>
      <c r="Z300" s="32">
        <v>0</v>
      </c>
      <c r="AA300" s="32">
        <v>0</v>
      </c>
      <c r="AB300" s="32">
        <v>0</v>
      </c>
      <c r="AC300" s="32">
        <v>0</v>
      </c>
      <c r="AD300" s="32">
        <v>0</v>
      </c>
      <c r="AE300" s="32">
        <v>0</v>
      </c>
      <c r="AF300" s="32">
        <v>0</v>
      </c>
      <c r="AG300" s="32">
        <v>0</v>
      </c>
      <c r="AH300" s="68">
        <v>0</v>
      </c>
      <c r="AI300" s="179">
        <f t="shared" si="11"/>
        <v>0</v>
      </c>
    </row>
    <row r="301" spans="1:35" ht="15.75" customHeight="1">
      <c r="A301" s="317">
        <v>2212001031</v>
      </c>
      <c r="B301" s="239" t="s">
        <v>315</v>
      </c>
      <c r="C301" s="316" t="s">
        <v>6</v>
      </c>
      <c r="D301" s="27">
        <v>0</v>
      </c>
      <c r="E301" s="28">
        <v>0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9">
        <v>0</v>
      </c>
      <c r="S301" s="27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67">
        <v>0</v>
      </c>
      <c r="AI301" s="179">
        <f t="shared" si="11"/>
        <v>0</v>
      </c>
    </row>
    <row r="302" spans="1:35" ht="15.75" customHeight="1">
      <c r="A302" s="317">
        <v>2212001032</v>
      </c>
      <c r="B302" s="239" t="s">
        <v>316</v>
      </c>
      <c r="C302" s="316" t="s">
        <v>86</v>
      </c>
      <c r="D302" s="31">
        <v>0</v>
      </c>
      <c r="E302" s="32">
        <v>0</v>
      </c>
      <c r="F302" s="32">
        <v>0</v>
      </c>
      <c r="G302" s="32">
        <v>0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2">
        <v>0</v>
      </c>
      <c r="R302" s="34">
        <v>0</v>
      </c>
      <c r="S302" s="31">
        <v>0</v>
      </c>
      <c r="T302" s="32">
        <v>0</v>
      </c>
      <c r="U302" s="32">
        <v>0</v>
      </c>
      <c r="V302" s="32">
        <v>0</v>
      </c>
      <c r="W302" s="32">
        <v>0</v>
      </c>
      <c r="X302" s="32">
        <v>0</v>
      </c>
      <c r="Y302" s="32">
        <v>0</v>
      </c>
      <c r="Z302" s="32">
        <v>0</v>
      </c>
      <c r="AA302" s="32">
        <v>0</v>
      </c>
      <c r="AB302" s="32">
        <v>0</v>
      </c>
      <c r="AC302" s="32">
        <v>0</v>
      </c>
      <c r="AD302" s="32">
        <v>0</v>
      </c>
      <c r="AE302" s="32">
        <v>0</v>
      </c>
      <c r="AF302" s="32">
        <v>0</v>
      </c>
      <c r="AG302" s="32">
        <v>0</v>
      </c>
      <c r="AH302" s="68">
        <v>0</v>
      </c>
      <c r="AI302" s="179">
        <f t="shared" si="11"/>
        <v>0</v>
      </c>
    </row>
    <row r="303" spans="1:35" ht="15.75" customHeight="1">
      <c r="A303" s="317">
        <v>2212001033</v>
      </c>
      <c r="B303" s="239" t="s">
        <v>317</v>
      </c>
      <c r="C303" s="316" t="s">
        <v>86</v>
      </c>
      <c r="D303" s="27">
        <v>0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9">
        <v>0</v>
      </c>
      <c r="S303" s="27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8">
        <v>0</v>
      </c>
      <c r="AG303" s="28">
        <v>0</v>
      </c>
      <c r="AH303" s="67">
        <v>0</v>
      </c>
      <c r="AI303" s="179">
        <f t="shared" si="11"/>
        <v>0</v>
      </c>
    </row>
    <row r="304" spans="1:35" ht="15.75" customHeight="1">
      <c r="A304" s="317">
        <v>2212001034</v>
      </c>
      <c r="B304" s="239" t="s">
        <v>318</v>
      </c>
      <c r="C304" s="316" t="s">
        <v>6</v>
      </c>
      <c r="D304" s="31">
        <v>2</v>
      </c>
      <c r="E304" s="32">
        <v>0</v>
      </c>
      <c r="F304" s="32">
        <v>0</v>
      </c>
      <c r="G304" s="32">
        <v>0</v>
      </c>
      <c r="H304" s="32">
        <v>2</v>
      </c>
      <c r="I304" s="32">
        <v>0</v>
      </c>
      <c r="J304" s="32">
        <v>2</v>
      </c>
      <c r="K304" s="32">
        <v>0</v>
      </c>
      <c r="L304" s="32">
        <v>2</v>
      </c>
      <c r="M304" s="32">
        <v>0</v>
      </c>
      <c r="N304" s="32">
        <v>0</v>
      </c>
      <c r="O304" s="32">
        <v>0</v>
      </c>
      <c r="P304" s="32">
        <v>0</v>
      </c>
      <c r="Q304" s="32">
        <v>2</v>
      </c>
      <c r="R304" s="34">
        <v>0</v>
      </c>
      <c r="S304" s="31">
        <v>2</v>
      </c>
      <c r="T304" s="32">
        <v>0</v>
      </c>
      <c r="U304" s="32">
        <v>0</v>
      </c>
      <c r="V304" s="32">
        <v>0</v>
      </c>
      <c r="W304" s="32">
        <v>2</v>
      </c>
      <c r="X304" s="32">
        <v>0</v>
      </c>
      <c r="Y304" s="32">
        <v>2</v>
      </c>
      <c r="Z304" s="32">
        <v>0</v>
      </c>
      <c r="AA304" s="32">
        <v>0</v>
      </c>
      <c r="AB304" s="32">
        <v>0</v>
      </c>
      <c r="AC304" s="32">
        <v>0</v>
      </c>
      <c r="AD304" s="32">
        <v>0</v>
      </c>
      <c r="AE304" s="32">
        <v>0</v>
      </c>
      <c r="AF304" s="32">
        <v>2</v>
      </c>
      <c r="AG304" s="32">
        <v>0</v>
      </c>
      <c r="AH304" s="68">
        <v>0</v>
      </c>
      <c r="AI304" s="179">
        <f t="shared" si="11"/>
        <v>18</v>
      </c>
    </row>
    <row r="305" spans="1:35" ht="15.75" customHeight="1">
      <c r="A305" s="317">
        <v>2212001035</v>
      </c>
      <c r="B305" s="239" t="s">
        <v>319</v>
      </c>
      <c r="C305" s="316" t="s">
        <v>313</v>
      </c>
      <c r="D305" s="27">
        <v>0</v>
      </c>
      <c r="E305" s="28">
        <v>0</v>
      </c>
      <c r="F305" s="28">
        <v>0</v>
      </c>
      <c r="G305" s="28">
        <v>0</v>
      </c>
      <c r="H305" s="28">
        <v>0</v>
      </c>
      <c r="I305" s="28">
        <v>0</v>
      </c>
      <c r="J305" s="28">
        <v>0</v>
      </c>
      <c r="K305" s="28">
        <v>0</v>
      </c>
      <c r="L305" s="28">
        <v>3</v>
      </c>
      <c r="M305" s="28">
        <v>0</v>
      </c>
      <c r="N305" s="28">
        <v>0</v>
      </c>
      <c r="O305" s="28">
        <v>0</v>
      </c>
      <c r="P305" s="28">
        <v>0</v>
      </c>
      <c r="Q305" s="28">
        <v>3</v>
      </c>
      <c r="R305" s="29">
        <v>0</v>
      </c>
      <c r="S305" s="27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28">
        <v>3</v>
      </c>
      <c r="AG305" s="28">
        <v>0</v>
      </c>
      <c r="AH305" s="67">
        <v>0</v>
      </c>
      <c r="AI305" s="179">
        <f t="shared" si="11"/>
        <v>9</v>
      </c>
    </row>
    <row r="306" spans="1:35" ht="15.75" customHeight="1">
      <c r="A306" s="317">
        <v>2212001036</v>
      </c>
      <c r="B306" s="239" t="s">
        <v>320</v>
      </c>
      <c r="C306" s="316" t="s">
        <v>6</v>
      </c>
      <c r="D306" s="31">
        <v>0</v>
      </c>
      <c r="E306" s="32">
        <v>0</v>
      </c>
      <c r="F306" s="32">
        <v>0</v>
      </c>
      <c r="G306" s="32">
        <v>0</v>
      </c>
      <c r="H306" s="32">
        <v>0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0</v>
      </c>
      <c r="Q306" s="32">
        <v>0</v>
      </c>
      <c r="R306" s="34">
        <v>0</v>
      </c>
      <c r="S306" s="31">
        <v>0</v>
      </c>
      <c r="T306" s="32">
        <v>0</v>
      </c>
      <c r="U306" s="32">
        <v>0</v>
      </c>
      <c r="V306" s="32">
        <v>0</v>
      </c>
      <c r="W306" s="32">
        <v>0</v>
      </c>
      <c r="X306" s="32">
        <v>0</v>
      </c>
      <c r="Y306" s="32">
        <v>0</v>
      </c>
      <c r="Z306" s="32">
        <v>0</v>
      </c>
      <c r="AA306" s="32">
        <v>0</v>
      </c>
      <c r="AB306" s="32">
        <v>0</v>
      </c>
      <c r="AC306" s="32">
        <v>0</v>
      </c>
      <c r="AD306" s="32">
        <v>0</v>
      </c>
      <c r="AE306" s="32">
        <v>0</v>
      </c>
      <c r="AF306" s="32">
        <v>0</v>
      </c>
      <c r="AG306" s="32">
        <v>0</v>
      </c>
      <c r="AH306" s="68">
        <v>0</v>
      </c>
      <c r="AI306" s="179">
        <f t="shared" si="11"/>
        <v>0</v>
      </c>
    </row>
    <row r="307" spans="1:35" ht="15.75" customHeight="1">
      <c r="A307" s="317">
        <v>2212001037</v>
      </c>
      <c r="B307" s="239" t="s">
        <v>321</v>
      </c>
      <c r="C307" s="316" t="s">
        <v>6</v>
      </c>
      <c r="D307" s="27">
        <v>0</v>
      </c>
      <c r="E307" s="28">
        <v>0</v>
      </c>
      <c r="F307" s="28">
        <v>0</v>
      </c>
      <c r="G307" s="28">
        <v>0</v>
      </c>
      <c r="H307" s="28">
        <v>0</v>
      </c>
      <c r="I307" s="28">
        <v>0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9">
        <v>0</v>
      </c>
      <c r="S307" s="27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8">
        <v>0</v>
      </c>
      <c r="AG307" s="28">
        <v>0</v>
      </c>
      <c r="AH307" s="67">
        <v>0</v>
      </c>
      <c r="AI307" s="179">
        <f t="shared" si="11"/>
        <v>0</v>
      </c>
    </row>
    <row r="308" spans="1:35" ht="15.75" customHeight="1">
      <c r="A308" s="317">
        <v>2212001038</v>
      </c>
      <c r="B308" s="239" t="s">
        <v>322</v>
      </c>
      <c r="C308" s="316" t="s">
        <v>86</v>
      </c>
      <c r="D308" s="31">
        <v>0</v>
      </c>
      <c r="E308" s="32">
        <v>0</v>
      </c>
      <c r="F308" s="32">
        <v>0</v>
      </c>
      <c r="G308" s="32">
        <v>0</v>
      </c>
      <c r="H308" s="32">
        <v>0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>
        <v>0</v>
      </c>
      <c r="O308" s="32">
        <v>0</v>
      </c>
      <c r="P308" s="32">
        <v>0</v>
      </c>
      <c r="Q308" s="32">
        <v>0</v>
      </c>
      <c r="R308" s="34">
        <v>0</v>
      </c>
      <c r="S308" s="31">
        <v>0</v>
      </c>
      <c r="T308" s="32">
        <v>0</v>
      </c>
      <c r="U308" s="32">
        <v>0</v>
      </c>
      <c r="V308" s="32">
        <v>0</v>
      </c>
      <c r="W308" s="32">
        <v>0</v>
      </c>
      <c r="X308" s="32">
        <v>0</v>
      </c>
      <c r="Y308" s="32">
        <v>0</v>
      </c>
      <c r="Z308" s="32">
        <v>0</v>
      </c>
      <c r="AA308" s="32">
        <v>0</v>
      </c>
      <c r="AB308" s="32">
        <v>0</v>
      </c>
      <c r="AC308" s="32">
        <v>0</v>
      </c>
      <c r="AD308" s="32">
        <v>0</v>
      </c>
      <c r="AE308" s="32">
        <v>0</v>
      </c>
      <c r="AF308" s="32">
        <v>0</v>
      </c>
      <c r="AG308" s="32">
        <v>0</v>
      </c>
      <c r="AH308" s="68">
        <v>0</v>
      </c>
      <c r="AI308" s="179">
        <f t="shared" si="11"/>
        <v>0</v>
      </c>
    </row>
    <row r="309" spans="1:35" ht="15.75" customHeight="1">
      <c r="A309" s="317">
        <v>2212001040</v>
      </c>
      <c r="B309" s="239" t="s">
        <v>323</v>
      </c>
      <c r="C309" s="316" t="s">
        <v>6</v>
      </c>
      <c r="D309" s="31">
        <v>0</v>
      </c>
      <c r="E309" s="32">
        <v>0</v>
      </c>
      <c r="F309" s="32">
        <v>0</v>
      </c>
      <c r="G309" s="32">
        <v>0</v>
      </c>
      <c r="H309" s="32">
        <v>1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0</v>
      </c>
      <c r="P309" s="32">
        <v>0</v>
      </c>
      <c r="Q309" s="32">
        <v>0</v>
      </c>
      <c r="R309" s="34">
        <v>0</v>
      </c>
      <c r="S309" s="31">
        <v>0</v>
      </c>
      <c r="T309" s="32">
        <v>0</v>
      </c>
      <c r="U309" s="32">
        <v>0</v>
      </c>
      <c r="V309" s="32">
        <v>0</v>
      </c>
      <c r="W309" s="32">
        <v>1</v>
      </c>
      <c r="X309" s="32">
        <v>0</v>
      </c>
      <c r="Y309" s="32">
        <v>0</v>
      </c>
      <c r="Z309" s="32">
        <v>0</v>
      </c>
      <c r="AA309" s="32">
        <v>0</v>
      </c>
      <c r="AB309" s="32">
        <v>0</v>
      </c>
      <c r="AC309" s="32">
        <v>0</v>
      </c>
      <c r="AD309" s="32">
        <v>0</v>
      </c>
      <c r="AE309" s="32">
        <v>0</v>
      </c>
      <c r="AF309" s="32">
        <v>0</v>
      </c>
      <c r="AG309" s="32">
        <v>0</v>
      </c>
      <c r="AH309" s="68">
        <v>0</v>
      </c>
      <c r="AI309" s="179">
        <f t="shared" si="11"/>
        <v>2</v>
      </c>
    </row>
    <row r="310" spans="1:35" ht="15.75" customHeight="1">
      <c r="A310" s="317">
        <v>2212001041</v>
      </c>
      <c r="B310" s="239" t="s">
        <v>324</v>
      </c>
      <c r="C310" s="316" t="s">
        <v>6</v>
      </c>
      <c r="D310" s="27">
        <v>0</v>
      </c>
      <c r="E310" s="28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9">
        <v>0</v>
      </c>
      <c r="S310" s="27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8">
        <v>0</v>
      </c>
      <c r="AH310" s="67">
        <v>0</v>
      </c>
      <c r="AI310" s="179">
        <f t="shared" si="11"/>
        <v>0</v>
      </c>
    </row>
    <row r="311" spans="1:35" ht="15.75" customHeight="1">
      <c r="A311" s="317">
        <v>2212001042</v>
      </c>
      <c r="B311" s="239" t="s">
        <v>325</v>
      </c>
      <c r="C311" s="316" t="s">
        <v>313</v>
      </c>
      <c r="D311" s="31">
        <v>0</v>
      </c>
      <c r="E311" s="32">
        <v>0</v>
      </c>
      <c r="F311" s="32">
        <v>0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>
        <v>0</v>
      </c>
      <c r="O311" s="32">
        <v>0</v>
      </c>
      <c r="P311" s="32">
        <v>0</v>
      </c>
      <c r="Q311" s="32">
        <v>0</v>
      </c>
      <c r="R311" s="34">
        <v>0</v>
      </c>
      <c r="S311" s="31">
        <v>0</v>
      </c>
      <c r="T311" s="32">
        <v>0</v>
      </c>
      <c r="U311" s="32">
        <v>0</v>
      </c>
      <c r="V311" s="32">
        <v>0</v>
      </c>
      <c r="W311" s="32">
        <v>0</v>
      </c>
      <c r="X311" s="32">
        <v>0</v>
      </c>
      <c r="Y311" s="32">
        <v>0</v>
      </c>
      <c r="Z311" s="32">
        <v>0</v>
      </c>
      <c r="AA311" s="32">
        <v>0</v>
      </c>
      <c r="AB311" s="32">
        <v>0</v>
      </c>
      <c r="AC311" s="32">
        <v>0</v>
      </c>
      <c r="AD311" s="32">
        <v>0</v>
      </c>
      <c r="AE311" s="32">
        <v>0</v>
      </c>
      <c r="AF311" s="32">
        <v>0</v>
      </c>
      <c r="AG311" s="32">
        <v>0</v>
      </c>
      <c r="AH311" s="68">
        <v>0</v>
      </c>
      <c r="AI311" s="179">
        <f t="shared" si="11"/>
        <v>0</v>
      </c>
    </row>
    <row r="312" spans="1:35" ht="15.75" customHeight="1">
      <c r="A312" s="317">
        <v>2212001044</v>
      </c>
      <c r="B312" s="239" t="s">
        <v>326</v>
      </c>
      <c r="C312" s="316" t="s">
        <v>8</v>
      </c>
      <c r="D312" s="27">
        <v>130</v>
      </c>
      <c r="E312" s="28">
        <v>130</v>
      </c>
      <c r="F312" s="28">
        <v>0</v>
      </c>
      <c r="G312" s="28">
        <v>0</v>
      </c>
      <c r="H312" s="28">
        <v>130</v>
      </c>
      <c r="I312" s="28">
        <v>130</v>
      </c>
      <c r="J312" s="28">
        <v>130</v>
      </c>
      <c r="K312" s="28">
        <v>130</v>
      </c>
      <c r="L312" s="28">
        <v>130</v>
      </c>
      <c r="M312" s="28">
        <v>0</v>
      </c>
      <c r="N312" s="28">
        <v>0</v>
      </c>
      <c r="O312" s="28">
        <v>0</v>
      </c>
      <c r="P312" s="28">
        <v>130</v>
      </c>
      <c r="Q312" s="28">
        <v>130</v>
      </c>
      <c r="R312" s="29">
        <v>130</v>
      </c>
      <c r="S312" s="27">
        <v>130</v>
      </c>
      <c r="T312" s="28">
        <v>0</v>
      </c>
      <c r="U312" s="28">
        <v>0</v>
      </c>
      <c r="V312" s="28">
        <v>130</v>
      </c>
      <c r="W312" s="28">
        <v>130</v>
      </c>
      <c r="X312" s="28">
        <v>130</v>
      </c>
      <c r="Y312" s="28">
        <v>130</v>
      </c>
      <c r="Z312" s="28">
        <v>130</v>
      </c>
      <c r="AA312" s="28">
        <v>0</v>
      </c>
      <c r="AB312" s="28">
        <v>0</v>
      </c>
      <c r="AC312" s="28">
        <v>130</v>
      </c>
      <c r="AD312" s="28">
        <v>130</v>
      </c>
      <c r="AE312" s="28">
        <v>130</v>
      </c>
      <c r="AF312" s="28">
        <v>130</v>
      </c>
      <c r="AG312" s="28">
        <v>130</v>
      </c>
      <c r="AH312" s="67">
        <v>0</v>
      </c>
      <c r="AI312" s="179">
        <f t="shared" si="11"/>
        <v>2730</v>
      </c>
    </row>
    <row r="313" spans="1:35" ht="15.75" customHeight="1">
      <c r="A313" s="317">
        <v>2212001045</v>
      </c>
      <c r="B313" s="239" t="s">
        <v>327</v>
      </c>
      <c r="C313" s="316" t="s">
        <v>296</v>
      </c>
      <c r="D313" s="31">
        <v>0</v>
      </c>
      <c r="E313" s="32">
        <v>0</v>
      </c>
      <c r="F313" s="32">
        <v>0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>
        <v>0</v>
      </c>
      <c r="P313" s="32">
        <v>0</v>
      </c>
      <c r="Q313" s="32">
        <v>0</v>
      </c>
      <c r="R313" s="34">
        <v>0</v>
      </c>
      <c r="S313" s="31">
        <v>0</v>
      </c>
      <c r="T313" s="32">
        <v>0</v>
      </c>
      <c r="U313" s="32">
        <v>0</v>
      </c>
      <c r="V313" s="32">
        <v>0</v>
      </c>
      <c r="W313" s="32">
        <v>0</v>
      </c>
      <c r="X313" s="32">
        <v>0</v>
      </c>
      <c r="Y313" s="32">
        <v>0</v>
      </c>
      <c r="Z313" s="32">
        <v>0</v>
      </c>
      <c r="AA313" s="32">
        <v>0</v>
      </c>
      <c r="AB313" s="32">
        <v>0</v>
      </c>
      <c r="AC313" s="32">
        <v>0</v>
      </c>
      <c r="AD313" s="32">
        <v>0</v>
      </c>
      <c r="AE313" s="32">
        <v>0</v>
      </c>
      <c r="AF313" s="32">
        <v>0</v>
      </c>
      <c r="AG313" s="32">
        <v>0</v>
      </c>
      <c r="AH313" s="68">
        <v>0</v>
      </c>
      <c r="AI313" s="179">
        <f t="shared" si="11"/>
        <v>0</v>
      </c>
    </row>
    <row r="314" spans="1:35" ht="15.75" customHeight="1">
      <c r="A314" s="317">
        <v>2212001046</v>
      </c>
      <c r="B314" s="239" t="s">
        <v>328</v>
      </c>
      <c r="C314" s="316" t="s">
        <v>267</v>
      </c>
      <c r="D314" s="27">
        <v>0</v>
      </c>
      <c r="E314" s="28">
        <v>0</v>
      </c>
      <c r="F314" s="28">
        <v>0</v>
      </c>
      <c r="G314" s="28">
        <v>0</v>
      </c>
      <c r="H314" s="28">
        <v>0</v>
      </c>
      <c r="I314" s="28">
        <v>1</v>
      </c>
      <c r="J314" s="28">
        <v>0</v>
      </c>
      <c r="K314" s="28">
        <v>0</v>
      </c>
      <c r="L314" s="28">
        <v>2</v>
      </c>
      <c r="M314" s="28">
        <v>0</v>
      </c>
      <c r="N314" s="28">
        <v>0</v>
      </c>
      <c r="O314" s="28">
        <v>0</v>
      </c>
      <c r="P314" s="28">
        <v>0</v>
      </c>
      <c r="Q314" s="28">
        <v>2</v>
      </c>
      <c r="R314" s="29">
        <v>0</v>
      </c>
      <c r="S314" s="27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1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2</v>
      </c>
      <c r="AG314" s="28">
        <v>0</v>
      </c>
      <c r="AH314" s="67">
        <v>0</v>
      </c>
      <c r="AI314" s="179">
        <f t="shared" si="11"/>
        <v>8</v>
      </c>
    </row>
    <row r="315" spans="1:35" ht="15.75" customHeight="1">
      <c r="A315" s="317">
        <v>2212001047</v>
      </c>
      <c r="B315" s="239" t="s">
        <v>329</v>
      </c>
      <c r="C315" s="316" t="s">
        <v>8</v>
      </c>
      <c r="D315" s="31">
        <v>0</v>
      </c>
      <c r="E315" s="32">
        <v>0</v>
      </c>
      <c r="F315" s="32">
        <v>0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>
        <v>0</v>
      </c>
      <c r="O315" s="32">
        <v>0</v>
      </c>
      <c r="P315" s="32">
        <v>0</v>
      </c>
      <c r="Q315" s="32">
        <v>0</v>
      </c>
      <c r="R315" s="34">
        <v>0</v>
      </c>
      <c r="S315" s="31">
        <v>0</v>
      </c>
      <c r="T315" s="32">
        <v>0</v>
      </c>
      <c r="U315" s="32">
        <v>0</v>
      </c>
      <c r="V315" s="32">
        <v>0</v>
      </c>
      <c r="W315" s="32">
        <v>0</v>
      </c>
      <c r="X315" s="32">
        <v>0</v>
      </c>
      <c r="Y315" s="32">
        <v>0</v>
      </c>
      <c r="Z315" s="32">
        <v>0</v>
      </c>
      <c r="AA315" s="32">
        <v>0</v>
      </c>
      <c r="AB315" s="32">
        <v>0</v>
      </c>
      <c r="AC315" s="32">
        <v>0</v>
      </c>
      <c r="AD315" s="32">
        <v>0</v>
      </c>
      <c r="AE315" s="32">
        <v>0</v>
      </c>
      <c r="AF315" s="32">
        <v>0</v>
      </c>
      <c r="AG315" s="32">
        <v>0</v>
      </c>
      <c r="AH315" s="68">
        <v>0</v>
      </c>
      <c r="AI315" s="179">
        <f t="shared" si="11"/>
        <v>0</v>
      </c>
    </row>
    <row r="316" spans="1:35" ht="15.75" customHeight="1">
      <c r="A316" s="317">
        <v>2212001049</v>
      </c>
      <c r="B316" s="239" t="s">
        <v>330</v>
      </c>
      <c r="C316" s="316" t="s">
        <v>296</v>
      </c>
      <c r="D316" s="27">
        <v>0</v>
      </c>
      <c r="E316" s="28">
        <v>0</v>
      </c>
      <c r="F316" s="28">
        <v>0</v>
      </c>
      <c r="G316" s="28">
        <v>0</v>
      </c>
      <c r="H316" s="28">
        <v>0</v>
      </c>
      <c r="I316" s="28">
        <v>0</v>
      </c>
      <c r="J316" s="28">
        <v>3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9">
        <v>0</v>
      </c>
      <c r="S316" s="27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3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8">
        <v>0</v>
      </c>
      <c r="AH316" s="67">
        <v>0</v>
      </c>
      <c r="AI316" s="179">
        <f t="shared" si="11"/>
        <v>6</v>
      </c>
    </row>
    <row r="317" spans="1:35" ht="15.75" customHeight="1">
      <c r="A317" s="317">
        <v>2212001050</v>
      </c>
      <c r="B317" s="239" t="s">
        <v>331</v>
      </c>
      <c r="C317" s="316" t="s">
        <v>267</v>
      </c>
      <c r="D317" s="31">
        <v>0</v>
      </c>
      <c r="E317" s="32">
        <v>0</v>
      </c>
      <c r="F317" s="32">
        <v>0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>
        <v>0</v>
      </c>
      <c r="Q317" s="32">
        <v>0</v>
      </c>
      <c r="R317" s="34">
        <v>0</v>
      </c>
      <c r="S317" s="31">
        <v>0</v>
      </c>
      <c r="T317" s="32">
        <v>0</v>
      </c>
      <c r="U317" s="32">
        <v>0</v>
      </c>
      <c r="V317" s="32">
        <v>0</v>
      </c>
      <c r="W317" s="32">
        <v>0</v>
      </c>
      <c r="X317" s="32">
        <v>0</v>
      </c>
      <c r="Y317" s="32">
        <v>0</v>
      </c>
      <c r="Z317" s="32">
        <v>0</v>
      </c>
      <c r="AA317" s="32">
        <v>0</v>
      </c>
      <c r="AB317" s="32">
        <v>0</v>
      </c>
      <c r="AC317" s="32">
        <v>0</v>
      </c>
      <c r="AD317" s="32">
        <v>0</v>
      </c>
      <c r="AE317" s="32">
        <v>0</v>
      </c>
      <c r="AF317" s="32">
        <v>0</v>
      </c>
      <c r="AG317" s="32">
        <v>0</v>
      </c>
      <c r="AH317" s="68">
        <v>0</v>
      </c>
      <c r="AI317" s="179">
        <f t="shared" si="11"/>
        <v>0</v>
      </c>
    </row>
    <row r="318" spans="1:35" ht="15.75" customHeight="1">
      <c r="A318" s="317">
        <v>2212001051</v>
      </c>
      <c r="B318" s="239" t="s">
        <v>332</v>
      </c>
      <c r="C318" s="316" t="s">
        <v>175</v>
      </c>
      <c r="D318" s="27">
        <v>0</v>
      </c>
      <c r="E318" s="28">
        <v>0</v>
      </c>
      <c r="F318" s="28">
        <v>0</v>
      </c>
      <c r="G318" s="28">
        <v>0</v>
      </c>
      <c r="H318" s="28">
        <v>0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9">
        <v>0</v>
      </c>
      <c r="S318" s="27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67">
        <v>0</v>
      </c>
      <c r="AI318" s="179">
        <f t="shared" si="11"/>
        <v>0</v>
      </c>
    </row>
    <row r="319" spans="1:35" ht="15.75" customHeight="1">
      <c r="A319" s="317">
        <v>2212001053</v>
      </c>
      <c r="B319" s="239" t="s">
        <v>333</v>
      </c>
      <c r="C319" s="316" t="s">
        <v>313</v>
      </c>
      <c r="D319" s="31">
        <v>0</v>
      </c>
      <c r="E319" s="32">
        <v>0</v>
      </c>
      <c r="F319" s="32">
        <v>0</v>
      </c>
      <c r="G319" s="32">
        <v>0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32">
        <v>0</v>
      </c>
      <c r="R319" s="34">
        <v>0</v>
      </c>
      <c r="S319" s="31">
        <v>0</v>
      </c>
      <c r="T319" s="32">
        <v>0</v>
      </c>
      <c r="U319" s="32">
        <v>0</v>
      </c>
      <c r="V319" s="32">
        <v>0</v>
      </c>
      <c r="W319" s="32">
        <v>0</v>
      </c>
      <c r="X319" s="32">
        <v>0</v>
      </c>
      <c r="Y319" s="32">
        <v>0</v>
      </c>
      <c r="Z319" s="32">
        <v>0</v>
      </c>
      <c r="AA319" s="32">
        <v>0</v>
      </c>
      <c r="AB319" s="32">
        <v>0</v>
      </c>
      <c r="AC319" s="32">
        <v>0</v>
      </c>
      <c r="AD319" s="32">
        <v>0</v>
      </c>
      <c r="AE319" s="32">
        <v>0</v>
      </c>
      <c r="AF319" s="32">
        <v>0</v>
      </c>
      <c r="AG319" s="32">
        <v>0</v>
      </c>
      <c r="AH319" s="68">
        <v>0</v>
      </c>
      <c r="AI319" s="179">
        <f t="shared" si="11"/>
        <v>0</v>
      </c>
    </row>
    <row r="320" spans="1:35" ht="15.75" customHeight="1">
      <c r="A320" s="317">
        <v>2212001054</v>
      </c>
      <c r="B320" s="239" t="s">
        <v>334</v>
      </c>
      <c r="C320" s="316" t="s">
        <v>313</v>
      </c>
      <c r="D320" s="27">
        <v>0</v>
      </c>
      <c r="E320" s="28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3</v>
      </c>
      <c r="K320" s="28">
        <v>3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9">
        <v>0</v>
      </c>
      <c r="S320" s="27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3</v>
      </c>
      <c r="Z320" s="28">
        <v>3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8">
        <v>0</v>
      </c>
      <c r="AH320" s="67">
        <v>0</v>
      </c>
      <c r="AI320" s="179">
        <f t="shared" si="11"/>
        <v>12</v>
      </c>
    </row>
    <row r="321" spans="1:35" ht="15.75" customHeight="1">
      <c r="A321" s="317">
        <v>2212001055</v>
      </c>
      <c r="B321" s="239" t="s">
        <v>335</v>
      </c>
      <c r="C321" s="316" t="s">
        <v>313</v>
      </c>
      <c r="D321" s="31">
        <v>0</v>
      </c>
      <c r="E321" s="32">
        <v>3</v>
      </c>
      <c r="F321" s="32">
        <v>0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>
        <v>0</v>
      </c>
      <c r="O321" s="32">
        <v>0</v>
      </c>
      <c r="P321" s="32">
        <v>0</v>
      </c>
      <c r="Q321" s="32">
        <v>0</v>
      </c>
      <c r="R321" s="34">
        <v>0</v>
      </c>
      <c r="S321" s="31">
        <v>0</v>
      </c>
      <c r="T321" s="32">
        <v>0</v>
      </c>
      <c r="U321" s="32">
        <v>0</v>
      </c>
      <c r="V321" s="32">
        <v>0</v>
      </c>
      <c r="W321" s="32">
        <v>0</v>
      </c>
      <c r="X321" s="32">
        <v>0</v>
      </c>
      <c r="Y321" s="32">
        <v>0</v>
      </c>
      <c r="Z321" s="32">
        <v>0</v>
      </c>
      <c r="AA321" s="32">
        <v>0</v>
      </c>
      <c r="AB321" s="32">
        <v>0</v>
      </c>
      <c r="AC321" s="32">
        <v>0</v>
      </c>
      <c r="AD321" s="32">
        <v>0</v>
      </c>
      <c r="AE321" s="32">
        <v>0</v>
      </c>
      <c r="AF321" s="32">
        <v>0</v>
      </c>
      <c r="AG321" s="32">
        <v>0</v>
      </c>
      <c r="AH321" s="68">
        <v>0</v>
      </c>
      <c r="AI321" s="179">
        <f t="shared" si="11"/>
        <v>3</v>
      </c>
    </row>
    <row r="322" spans="1:35" ht="15.75" customHeight="1">
      <c r="A322" s="317">
        <v>2212001057</v>
      </c>
      <c r="B322" s="239" t="s">
        <v>336</v>
      </c>
      <c r="C322" s="316" t="s">
        <v>296</v>
      </c>
      <c r="D322" s="27">
        <v>0</v>
      </c>
      <c r="E322" s="28">
        <v>0</v>
      </c>
      <c r="F322" s="28">
        <v>0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9">
        <v>0</v>
      </c>
      <c r="S322" s="27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8">
        <v>0</v>
      </c>
      <c r="AH322" s="67">
        <v>0</v>
      </c>
      <c r="AI322" s="179">
        <f t="shared" si="11"/>
        <v>0</v>
      </c>
    </row>
    <row r="323" spans="1:35" ht="15.75" customHeight="1">
      <c r="A323" s="317">
        <v>2212001058</v>
      </c>
      <c r="B323" s="239" t="s">
        <v>337</v>
      </c>
      <c r="C323" s="316" t="s">
        <v>296</v>
      </c>
      <c r="D323" s="31">
        <v>0</v>
      </c>
      <c r="E323" s="32">
        <v>0</v>
      </c>
      <c r="F323" s="32">
        <v>0</v>
      </c>
      <c r="G323" s="32">
        <v>0</v>
      </c>
      <c r="H323" s="32">
        <v>0</v>
      </c>
      <c r="I323" s="32">
        <v>0</v>
      </c>
      <c r="J323" s="32">
        <v>0</v>
      </c>
      <c r="K323" s="32">
        <v>0</v>
      </c>
      <c r="L323" s="32">
        <v>0</v>
      </c>
      <c r="M323" s="32">
        <v>0</v>
      </c>
      <c r="N323" s="32">
        <v>0</v>
      </c>
      <c r="O323" s="32">
        <v>0</v>
      </c>
      <c r="P323" s="32">
        <v>0</v>
      </c>
      <c r="Q323" s="32">
        <v>0</v>
      </c>
      <c r="R323" s="34">
        <v>0</v>
      </c>
      <c r="S323" s="31">
        <v>0</v>
      </c>
      <c r="T323" s="32">
        <v>0</v>
      </c>
      <c r="U323" s="32">
        <v>0</v>
      </c>
      <c r="V323" s="32">
        <v>0</v>
      </c>
      <c r="W323" s="32">
        <v>0</v>
      </c>
      <c r="X323" s="32">
        <v>0</v>
      </c>
      <c r="Y323" s="32">
        <v>0</v>
      </c>
      <c r="Z323" s="32">
        <v>0</v>
      </c>
      <c r="AA323" s="32">
        <v>0</v>
      </c>
      <c r="AB323" s="32">
        <v>0</v>
      </c>
      <c r="AC323" s="32">
        <v>0</v>
      </c>
      <c r="AD323" s="32">
        <v>0</v>
      </c>
      <c r="AE323" s="32">
        <v>0</v>
      </c>
      <c r="AF323" s="32">
        <v>0</v>
      </c>
      <c r="AG323" s="32">
        <v>0</v>
      </c>
      <c r="AH323" s="68">
        <v>0</v>
      </c>
      <c r="AI323" s="179">
        <f t="shared" si="11"/>
        <v>0</v>
      </c>
    </row>
    <row r="324" spans="1:35" ht="15.75" customHeight="1">
      <c r="A324" s="317">
        <v>2212001060</v>
      </c>
      <c r="B324" s="239" t="s">
        <v>338</v>
      </c>
      <c r="C324" s="316" t="s">
        <v>296</v>
      </c>
      <c r="D324" s="27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9">
        <v>0</v>
      </c>
      <c r="S324" s="27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0</v>
      </c>
      <c r="AG324" s="28">
        <v>0</v>
      </c>
      <c r="AH324" s="67">
        <v>0</v>
      </c>
      <c r="AI324" s="179">
        <f t="shared" si="11"/>
        <v>0</v>
      </c>
    </row>
    <row r="325" spans="1:35" ht="15.75" customHeight="1">
      <c r="A325" s="317">
        <v>2212001062</v>
      </c>
      <c r="B325" s="239" t="s">
        <v>339</v>
      </c>
      <c r="C325" s="316" t="s">
        <v>6</v>
      </c>
      <c r="D325" s="31">
        <v>3</v>
      </c>
      <c r="E325" s="32">
        <v>3</v>
      </c>
      <c r="F325" s="32">
        <v>0</v>
      </c>
      <c r="G325" s="32">
        <v>0</v>
      </c>
      <c r="H325" s="32">
        <v>3</v>
      </c>
      <c r="I325" s="32">
        <v>3</v>
      </c>
      <c r="J325" s="32">
        <v>3</v>
      </c>
      <c r="K325" s="32">
        <v>3</v>
      </c>
      <c r="L325" s="32">
        <v>3</v>
      </c>
      <c r="M325" s="32">
        <v>0</v>
      </c>
      <c r="N325" s="32">
        <v>0</v>
      </c>
      <c r="O325" s="32">
        <v>0</v>
      </c>
      <c r="P325" s="32">
        <v>3</v>
      </c>
      <c r="Q325" s="32">
        <v>3</v>
      </c>
      <c r="R325" s="34">
        <v>3</v>
      </c>
      <c r="S325" s="31">
        <v>3</v>
      </c>
      <c r="T325" s="32">
        <v>0</v>
      </c>
      <c r="U325" s="32">
        <v>0</v>
      </c>
      <c r="V325" s="32">
        <v>3</v>
      </c>
      <c r="W325" s="32">
        <v>3</v>
      </c>
      <c r="X325" s="32">
        <v>3</v>
      </c>
      <c r="Y325" s="32">
        <v>3</v>
      </c>
      <c r="Z325" s="32">
        <v>3</v>
      </c>
      <c r="AA325" s="32">
        <v>0</v>
      </c>
      <c r="AB325" s="32">
        <v>0</v>
      </c>
      <c r="AC325" s="32">
        <v>3</v>
      </c>
      <c r="AD325" s="32">
        <v>3</v>
      </c>
      <c r="AE325" s="32">
        <v>3</v>
      </c>
      <c r="AF325" s="32">
        <v>3</v>
      </c>
      <c r="AG325" s="32">
        <v>3</v>
      </c>
      <c r="AH325" s="68">
        <v>0</v>
      </c>
      <c r="AI325" s="179">
        <f t="shared" si="11"/>
        <v>63</v>
      </c>
    </row>
    <row r="326" spans="1:35" ht="15.75" customHeight="1">
      <c r="A326" s="317">
        <v>2212001063</v>
      </c>
      <c r="B326" s="239" t="s">
        <v>340</v>
      </c>
      <c r="C326" s="316" t="s">
        <v>6</v>
      </c>
      <c r="D326" s="27">
        <v>0</v>
      </c>
      <c r="E326" s="28">
        <v>0</v>
      </c>
      <c r="F326" s="28">
        <v>0</v>
      </c>
      <c r="G326" s="28">
        <v>0</v>
      </c>
      <c r="H326" s="28">
        <v>0</v>
      </c>
      <c r="I326" s="28">
        <v>0</v>
      </c>
      <c r="J326" s="28">
        <v>0</v>
      </c>
      <c r="K326" s="28">
        <v>0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9">
        <v>0</v>
      </c>
      <c r="S326" s="27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28">
        <v>0</v>
      </c>
      <c r="AH326" s="67">
        <v>0</v>
      </c>
      <c r="AI326" s="179">
        <f t="shared" si="11"/>
        <v>0</v>
      </c>
    </row>
    <row r="327" spans="1:35" ht="15.75" customHeight="1">
      <c r="A327" s="317">
        <v>2212001065</v>
      </c>
      <c r="B327" s="239" t="s">
        <v>341</v>
      </c>
      <c r="C327" s="316" t="s">
        <v>8</v>
      </c>
      <c r="D327" s="31">
        <v>0</v>
      </c>
      <c r="E327" s="32">
        <v>0</v>
      </c>
      <c r="F327" s="32">
        <v>0</v>
      </c>
      <c r="G327" s="32">
        <v>0</v>
      </c>
      <c r="H327" s="32">
        <v>0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2">
        <v>0</v>
      </c>
      <c r="R327" s="34">
        <v>0</v>
      </c>
      <c r="S327" s="31">
        <v>0</v>
      </c>
      <c r="T327" s="32">
        <v>0</v>
      </c>
      <c r="U327" s="32">
        <v>0</v>
      </c>
      <c r="V327" s="32">
        <v>0</v>
      </c>
      <c r="W327" s="32">
        <v>0</v>
      </c>
      <c r="X327" s="32">
        <v>0</v>
      </c>
      <c r="Y327" s="32">
        <v>0</v>
      </c>
      <c r="Z327" s="32">
        <v>0</v>
      </c>
      <c r="AA327" s="32">
        <v>0</v>
      </c>
      <c r="AB327" s="32">
        <v>0</v>
      </c>
      <c r="AC327" s="32">
        <v>0</v>
      </c>
      <c r="AD327" s="32">
        <v>0</v>
      </c>
      <c r="AE327" s="32">
        <v>0</v>
      </c>
      <c r="AF327" s="32">
        <v>0</v>
      </c>
      <c r="AG327" s="32">
        <v>0</v>
      </c>
      <c r="AH327" s="68">
        <v>0</v>
      </c>
      <c r="AI327" s="179">
        <f t="shared" si="11"/>
        <v>0</v>
      </c>
    </row>
    <row r="328" spans="1:35" ht="15.75" customHeight="1">
      <c r="A328" s="317">
        <v>2212001066</v>
      </c>
      <c r="B328" s="239" t="s">
        <v>342</v>
      </c>
      <c r="C328" s="316" t="s">
        <v>171</v>
      </c>
      <c r="D328" s="27">
        <v>0</v>
      </c>
      <c r="E328" s="28">
        <v>0</v>
      </c>
      <c r="F328" s="28">
        <v>0</v>
      </c>
      <c r="G328" s="28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1</v>
      </c>
      <c r="Q328" s="28">
        <v>0</v>
      </c>
      <c r="R328" s="29">
        <v>0</v>
      </c>
      <c r="S328" s="27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1</v>
      </c>
      <c r="AF328" s="28">
        <v>0</v>
      </c>
      <c r="AG328" s="28">
        <v>0</v>
      </c>
      <c r="AH328" s="67">
        <v>0</v>
      </c>
      <c r="AI328" s="179">
        <f t="shared" si="11"/>
        <v>2</v>
      </c>
    </row>
    <row r="329" spans="1:35" ht="15.75" customHeight="1">
      <c r="A329" s="317">
        <v>2212001067</v>
      </c>
      <c r="B329" s="239" t="s">
        <v>343</v>
      </c>
      <c r="C329" s="316" t="s">
        <v>267</v>
      </c>
      <c r="D329" s="31">
        <v>0</v>
      </c>
      <c r="E329" s="32">
        <v>0</v>
      </c>
      <c r="F329" s="32">
        <v>0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0</v>
      </c>
      <c r="P329" s="32">
        <v>1</v>
      </c>
      <c r="Q329" s="32">
        <v>0</v>
      </c>
      <c r="R329" s="34">
        <v>0</v>
      </c>
      <c r="S329" s="31">
        <v>0</v>
      </c>
      <c r="T329" s="32">
        <v>0</v>
      </c>
      <c r="U329" s="32">
        <v>0</v>
      </c>
      <c r="V329" s="32">
        <v>0</v>
      </c>
      <c r="W329" s="32">
        <v>0</v>
      </c>
      <c r="X329" s="32">
        <v>0</v>
      </c>
      <c r="Y329" s="32">
        <v>0</v>
      </c>
      <c r="Z329" s="32">
        <v>0</v>
      </c>
      <c r="AA329" s="32">
        <v>0</v>
      </c>
      <c r="AB329" s="32">
        <v>0</v>
      </c>
      <c r="AC329" s="32">
        <v>0</v>
      </c>
      <c r="AD329" s="32">
        <v>0</v>
      </c>
      <c r="AE329" s="32">
        <v>1</v>
      </c>
      <c r="AF329" s="32">
        <v>0</v>
      </c>
      <c r="AG329" s="32">
        <v>0</v>
      </c>
      <c r="AH329" s="68">
        <v>0</v>
      </c>
      <c r="AI329" s="179">
        <f t="shared" si="11"/>
        <v>2</v>
      </c>
    </row>
    <row r="330" spans="1:35" ht="15.75" customHeight="1">
      <c r="A330" s="241">
        <v>2212007013</v>
      </c>
      <c r="B330" s="242" t="s">
        <v>344</v>
      </c>
      <c r="C330" s="241" t="s">
        <v>313</v>
      </c>
      <c r="D330" s="27">
        <v>0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9">
        <v>0</v>
      </c>
      <c r="S330" s="27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  <c r="AF330" s="28">
        <v>0</v>
      </c>
      <c r="AG330" s="28">
        <v>0</v>
      </c>
      <c r="AH330" s="67">
        <v>0</v>
      </c>
      <c r="AI330" s="179">
        <f t="shared" si="11"/>
        <v>0</v>
      </c>
    </row>
    <row r="331" spans="1:35" ht="15.75" customHeight="1">
      <c r="A331" s="241">
        <v>2212007014</v>
      </c>
      <c r="B331" s="242" t="s">
        <v>345</v>
      </c>
      <c r="C331" s="241" t="s">
        <v>313</v>
      </c>
      <c r="D331" s="31">
        <v>0</v>
      </c>
      <c r="E331" s="32">
        <v>0</v>
      </c>
      <c r="F331" s="32">
        <v>0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0</v>
      </c>
      <c r="N331" s="32">
        <v>0</v>
      </c>
      <c r="O331" s="32">
        <v>0</v>
      </c>
      <c r="P331" s="32">
        <v>0</v>
      </c>
      <c r="Q331" s="32">
        <v>0</v>
      </c>
      <c r="R331" s="34">
        <v>0</v>
      </c>
      <c r="S331" s="31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2">
        <v>0</v>
      </c>
      <c r="Z331" s="32">
        <v>0</v>
      </c>
      <c r="AA331" s="32">
        <v>0</v>
      </c>
      <c r="AB331" s="32">
        <v>0</v>
      </c>
      <c r="AC331" s="32">
        <v>0</v>
      </c>
      <c r="AD331" s="32">
        <v>0</v>
      </c>
      <c r="AE331" s="32">
        <v>0</v>
      </c>
      <c r="AF331" s="32">
        <v>0</v>
      </c>
      <c r="AG331" s="32">
        <v>0</v>
      </c>
      <c r="AH331" s="68">
        <v>0</v>
      </c>
      <c r="AI331" s="179">
        <f t="shared" si="11"/>
        <v>0</v>
      </c>
    </row>
    <row r="332" spans="1:35" ht="15.75" customHeight="1">
      <c r="A332" s="241">
        <v>2212007015</v>
      </c>
      <c r="B332" s="252" t="s">
        <v>346</v>
      </c>
      <c r="C332" s="253" t="s">
        <v>313</v>
      </c>
      <c r="D332" s="27">
        <v>0</v>
      </c>
      <c r="E332" s="28">
        <v>0</v>
      </c>
      <c r="F332" s="28">
        <v>0</v>
      </c>
      <c r="G332" s="28">
        <v>0</v>
      </c>
      <c r="H332" s="28">
        <v>0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9">
        <v>0</v>
      </c>
      <c r="S332" s="27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28">
        <v>0</v>
      </c>
      <c r="AG332" s="28">
        <v>0</v>
      </c>
      <c r="AH332" s="67">
        <v>0</v>
      </c>
      <c r="AI332" s="179">
        <f t="shared" si="11"/>
        <v>0</v>
      </c>
    </row>
    <row r="333" spans="1:35" ht="15.75" customHeight="1">
      <c r="A333" s="241">
        <v>2212007016</v>
      </c>
      <c r="B333" s="242" t="s">
        <v>347</v>
      </c>
      <c r="C333" s="241" t="s">
        <v>313</v>
      </c>
      <c r="D333" s="31">
        <v>0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2">
        <v>0</v>
      </c>
      <c r="R333" s="34">
        <v>0</v>
      </c>
      <c r="S333" s="31">
        <v>0</v>
      </c>
      <c r="T333" s="32">
        <v>0</v>
      </c>
      <c r="U333" s="32">
        <v>0</v>
      </c>
      <c r="V333" s="32">
        <v>0</v>
      </c>
      <c r="W333" s="32">
        <v>0</v>
      </c>
      <c r="X333" s="32">
        <v>0</v>
      </c>
      <c r="Y333" s="32">
        <v>0</v>
      </c>
      <c r="Z333" s="32">
        <v>0</v>
      </c>
      <c r="AA333" s="32">
        <v>0</v>
      </c>
      <c r="AB333" s="32">
        <v>0</v>
      </c>
      <c r="AC333" s="32">
        <v>0</v>
      </c>
      <c r="AD333" s="32">
        <v>0</v>
      </c>
      <c r="AE333" s="32">
        <v>0</v>
      </c>
      <c r="AF333" s="32">
        <v>0</v>
      </c>
      <c r="AG333" s="32">
        <v>0</v>
      </c>
      <c r="AH333" s="68">
        <v>0</v>
      </c>
      <c r="AI333" s="179">
        <f t="shared" si="11"/>
        <v>0</v>
      </c>
    </row>
    <row r="334" spans="1:35" ht="15.75" customHeight="1">
      <c r="A334" s="241">
        <v>2212007017</v>
      </c>
      <c r="B334" s="242" t="s">
        <v>348</v>
      </c>
      <c r="C334" s="241" t="s">
        <v>313</v>
      </c>
      <c r="D334" s="27">
        <v>0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9">
        <v>0</v>
      </c>
      <c r="S334" s="27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</v>
      </c>
      <c r="AG334" s="28">
        <v>0</v>
      </c>
      <c r="AH334" s="67">
        <v>0</v>
      </c>
      <c r="AI334" s="179">
        <f t="shared" si="11"/>
        <v>0</v>
      </c>
    </row>
    <row r="335" spans="1:35" ht="15.75" customHeight="1">
      <c r="A335" s="317">
        <v>2212001071</v>
      </c>
      <c r="B335" s="239" t="s">
        <v>349</v>
      </c>
      <c r="C335" s="316" t="s">
        <v>171</v>
      </c>
      <c r="D335" s="31">
        <v>0</v>
      </c>
      <c r="E335" s="32">
        <v>0</v>
      </c>
      <c r="F335" s="32">
        <v>0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2">
        <v>0</v>
      </c>
      <c r="R335" s="34">
        <v>0</v>
      </c>
      <c r="S335" s="31">
        <v>0</v>
      </c>
      <c r="T335" s="32">
        <v>0</v>
      </c>
      <c r="U335" s="32">
        <v>0</v>
      </c>
      <c r="V335" s="32">
        <v>0</v>
      </c>
      <c r="W335" s="32">
        <v>0</v>
      </c>
      <c r="X335" s="32">
        <v>0</v>
      </c>
      <c r="Y335" s="32">
        <v>0</v>
      </c>
      <c r="Z335" s="32">
        <v>0</v>
      </c>
      <c r="AA335" s="32">
        <v>0</v>
      </c>
      <c r="AB335" s="32">
        <v>0</v>
      </c>
      <c r="AC335" s="32">
        <v>1</v>
      </c>
      <c r="AD335" s="32">
        <v>0</v>
      </c>
      <c r="AE335" s="32">
        <v>0</v>
      </c>
      <c r="AF335" s="32">
        <v>0</v>
      </c>
      <c r="AG335" s="32">
        <v>0</v>
      </c>
      <c r="AH335" s="68">
        <v>0</v>
      </c>
      <c r="AI335" s="179">
        <f t="shared" si="11"/>
        <v>1</v>
      </c>
    </row>
    <row r="336" spans="1:35" ht="15.75" customHeight="1">
      <c r="A336" s="317">
        <v>2212001072</v>
      </c>
      <c r="B336" s="239" t="s">
        <v>350</v>
      </c>
      <c r="C336" s="316" t="s">
        <v>307</v>
      </c>
      <c r="D336" s="27">
        <v>0</v>
      </c>
      <c r="E336" s="28">
        <v>0</v>
      </c>
      <c r="F336" s="28">
        <v>0</v>
      </c>
      <c r="G336" s="28">
        <v>0</v>
      </c>
      <c r="H336" s="28">
        <v>0</v>
      </c>
      <c r="I336" s="28">
        <v>0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9">
        <v>0</v>
      </c>
      <c r="S336" s="27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  <c r="AC336" s="28">
        <v>0</v>
      </c>
      <c r="AD336" s="28">
        <v>0</v>
      </c>
      <c r="AE336" s="28">
        <v>0</v>
      </c>
      <c r="AF336" s="28">
        <v>0</v>
      </c>
      <c r="AG336" s="28">
        <v>0</v>
      </c>
      <c r="AH336" s="67">
        <v>0</v>
      </c>
      <c r="AI336" s="179">
        <f t="shared" si="11"/>
        <v>0</v>
      </c>
    </row>
    <row r="337" spans="1:35" ht="15.75" customHeight="1">
      <c r="A337" s="317">
        <v>2212001075</v>
      </c>
      <c r="B337" s="239" t="s">
        <v>351</v>
      </c>
      <c r="C337" s="316" t="s">
        <v>8</v>
      </c>
      <c r="D337" s="31">
        <v>416</v>
      </c>
      <c r="E337" s="32">
        <v>416</v>
      </c>
      <c r="F337" s="32">
        <v>0</v>
      </c>
      <c r="G337" s="32">
        <v>0</v>
      </c>
      <c r="H337" s="32">
        <v>416</v>
      </c>
      <c r="I337" s="32">
        <v>416</v>
      </c>
      <c r="J337" s="32">
        <v>416</v>
      </c>
      <c r="K337" s="32">
        <v>416</v>
      </c>
      <c r="L337" s="32">
        <v>416</v>
      </c>
      <c r="M337" s="32">
        <v>0</v>
      </c>
      <c r="N337" s="32">
        <v>0</v>
      </c>
      <c r="O337" s="32">
        <v>0</v>
      </c>
      <c r="P337" s="32">
        <v>416</v>
      </c>
      <c r="Q337" s="32">
        <v>416</v>
      </c>
      <c r="R337" s="34">
        <v>416</v>
      </c>
      <c r="S337" s="31">
        <v>416</v>
      </c>
      <c r="T337" s="32">
        <v>0</v>
      </c>
      <c r="U337" s="32">
        <v>0</v>
      </c>
      <c r="V337" s="32">
        <v>416</v>
      </c>
      <c r="W337" s="32">
        <v>416</v>
      </c>
      <c r="X337" s="32">
        <v>416</v>
      </c>
      <c r="Y337" s="32">
        <v>416</v>
      </c>
      <c r="Z337" s="32">
        <v>416</v>
      </c>
      <c r="AA337" s="32">
        <v>0</v>
      </c>
      <c r="AB337" s="32">
        <v>0</v>
      </c>
      <c r="AC337" s="32">
        <v>416</v>
      </c>
      <c r="AD337" s="32">
        <v>416</v>
      </c>
      <c r="AE337" s="32">
        <v>416</v>
      </c>
      <c r="AF337" s="32">
        <v>416</v>
      </c>
      <c r="AG337" s="32">
        <v>416</v>
      </c>
      <c r="AH337" s="68">
        <v>0</v>
      </c>
      <c r="AI337" s="179">
        <f t="shared" si="11"/>
        <v>8736</v>
      </c>
    </row>
    <row r="338" spans="1:35" ht="15.75" customHeight="1">
      <c r="A338" s="317">
        <v>2212001079</v>
      </c>
      <c r="B338" s="239" t="s">
        <v>352</v>
      </c>
      <c r="C338" s="316" t="s">
        <v>86</v>
      </c>
      <c r="D338" s="27">
        <v>0</v>
      </c>
      <c r="E338" s="28">
        <v>0</v>
      </c>
      <c r="F338" s="28">
        <v>0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9">
        <v>0</v>
      </c>
      <c r="S338" s="27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  <c r="AF338" s="28">
        <v>0</v>
      </c>
      <c r="AG338" s="28">
        <v>0</v>
      </c>
      <c r="AH338" s="67">
        <v>0</v>
      </c>
      <c r="AI338" s="179">
        <f t="shared" si="11"/>
        <v>0</v>
      </c>
    </row>
    <row r="339" spans="1:35" ht="15.75" customHeight="1">
      <c r="A339" s="317">
        <v>2212001080</v>
      </c>
      <c r="B339" s="239" t="s">
        <v>353</v>
      </c>
      <c r="C339" s="316" t="s">
        <v>86</v>
      </c>
      <c r="D339" s="31">
        <v>0</v>
      </c>
      <c r="E339" s="32">
        <v>0</v>
      </c>
      <c r="F339" s="32">
        <v>0</v>
      </c>
      <c r="G339" s="32">
        <v>0</v>
      </c>
      <c r="H339" s="32">
        <v>0</v>
      </c>
      <c r="I339" s="32">
        <v>0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</v>
      </c>
      <c r="Q339" s="32">
        <v>0</v>
      </c>
      <c r="R339" s="34">
        <v>0</v>
      </c>
      <c r="S339" s="31">
        <v>0</v>
      </c>
      <c r="T339" s="32">
        <v>0</v>
      </c>
      <c r="U339" s="32">
        <v>0</v>
      </c>
      <c r="V339" s="32">
        <v>0</v>
      </c>
      <c r="W339" s="32">
        <v>0</v>
      </c>
      <c r="X339" s="32">
        <v>0</v>
      </c>
      <c r="Y339" s="32">
        <v>0</v>
      </c>
      <c r="Z339" s="32">
        <v>0</v>
      </c>
      <c r="AA339" s="32">
        <v>0</v>
      </c>
      <c r="AB339" s="32">
        <v>0</v>
      </c>
      <c r="AC339" s="32">
        <v>0</v>
      </c>
      <c r="AD339" s="32">
        <v>0</v>
      </c>
      <c r="AE339" s="32">
        <v>0</v>
      </c>
      <c r="AF339" s="32">
        <v>0</v>
      </c>
      <c r="AG339" s="32">
        <v>0</v>
      </c>
      <c r="AH339" s="68">
        <v>0</v>
      </c>
      <c r="AI339" s="179">
        <f t="shared" si="11"/>
        <v>0</v>
      </c>
    </row>
    <row r="340" spans="1:35" ht="15.75" customHeight="1">
      <c r="A340" s="317">
        <v>2212001085</v>
      </c>
      <c r="B340" s="239" t="s">
        <v>354</v>
      </c>
      <c r="C340" s="316" t="s">
        <v>8</v>
      </c>
      <c r="D340" s="27">
        <v>0</v>
      </c>
      <c r="E340" s="28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9">
        <v>0</v>
      </c>
      <c r="S340" s="27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8">
        <v>0</v>
      </c>
      <c r="AG340" s="28">
        <v>0</v>
      </c>
      <c r="AH340" s="67">
        <v>0</v>
      </c>
      <c r="AI340" s="179">
        <f t="shared" si="11"/>
        <v>0</v>
      </c>
    </row>
    <row r="341" spans="1:35" ht="15.75" customHeight="1">
      <c r="A341" s="317">
        <v>2212001086</v>
      </c>
      <c r="B341" s="239" t="s">
        <v>355</v>
      </c>
      <c r="C341" s="316" t="s">
        <v>307</v>
      </c>
      <c r="D341" s="31">
        <v>0</v>
      </c>
      <c r="E341" s="32">
        <v>0</v>
      </c>
      <c r="F341" s="32">
        <v>0</v>
      </c>
      <c r="G341" s="32">
        <v>0</v>
      </c>
      <c r="H341" s="32">
        <v>0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>
        <v>0</v>
      </c>
      <c r="P341" s="32">
        <v>0</v>
      </c>
      <c r="Q341" s="32">
        <v>0</v>
      </c>
      <c r="R341" s="34">
        <v>0</v>
      </c>
      <c r="S341" s="31">
        <v>0</v>
      </c>
      <c r="T341" s="32">
        <v>0</v>
      </c>
      <c r="U341" s="32">
        <v>0</v>
      </c>
      <c r="V341" s="32">
        <v>0</v>
      </c>
      <c r="W341" s="32">
        <v>0</v>
      </c>
      <c r="X341" s="32">
        <v>0</v>
      </c>
      <c r="Y341" s="32">
        <v>0</v>
      </c>
      <c r="Z341" s="32">
        <v>0</v>
      </c>
      <c r="AA341" s="32">
        <v>0</v>
      </c>
      <c r="AB341" s="32">
        <v>0</v>
      </c>
      <c r="AC341" s="32">
        <v>0</v>
      </c>
      <c r="AD341" s="32">
        <v>0</v>
      </c>
      <c r="AE341" s="32">
        <v>0</v>
      </c>
      <c r="AF341" s="32">
        <v>0</v>
      </c>
      <c r="AG341" s="32">
        <v>0</v>
      </c>
      <c r="AH341" s="68">
        <v>0</v>
      </c>
      <c r="AI341" s="179">
        <f t="shared" si="11"/>
        <v>0</v>
      </c>
    </row>
    <row r="342" spans="1:35" ht="15.75" customHeight="1">
      <c r="A342" s="317">
        <v>2212001087</v>
      </c>
      <c r="B342" s="239" t="s">
        <v>356</v>
      </c>
      <c r="C342" s="316" t="s">
        <v>313</v>
      </c>
      <c r="D342" s="27">
        <v>0</v>
      </c>
      <c r="E342" s="28">
        <v>0</v>
      </c>
      <c r="F342" s="28">
        <v>0</v>
      </c>
      <c r="G342" s="28">
        <v>0</v>
      </c>
      <c r="H342" s="28">
        <v>0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9">
        <v>0</v>
      </c>
      <c r="S342" s="27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8">
        <v>0</v>
      </c>
      <c r="AG342" s="28">
        <v>0</v>
      </c>
      <c r="AH342" s="67">
        <v>0</v>
      </c>
      <c r="AI342" s="179">
        <f t="shared" si="11"/>
        <v>0</v>
      </c>
    </row>
    <row r="343" spans="1:35" ht="15.75" customHeight="1">
      <c r="A343" s="317">
        <v>2212001089</v>
      </c>
      <c r="B343" s="239" t="s">
        <v>357</v>
      </c>
      <c r="C343" s="316" t="s">
        <v>296</v>
      </c>
      <c r="D343" s="31">
        <v>0</v>
      </c>
      <c r="E343" s="32">
        <v>0</v>
      </c>
      <c r="F343" s="32">
        <v>0</v>
      </c>
      <c r="G343" s="32">
        <v>0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0</v>
      </c>
      <c r="P343" s="32">
        <v>0</v>
      </c>
      <c r="Q343" s="32">
        <v>0</v>
      </c>
      <c r="R343" s="34">
        <v>0</v>
      </c>
      <c r="S343" s="31">
        <v>0</v>
      </c>
      <c r="T343" s="32">
        <v>0</v>
      </c>
      <c r="U343" s="32">
        <v>0</v>
      </c>
      <c r="V343" s="32">
        <v>0</v>
      </c>
      <c r="W343" s="32">
        <v>0</v>
      </c>
      <c r="X343" s="32">
        <v>0</v>
      </c>
      <c r="Y343" s="32">
        <v>0</v>
      </c>
      <c r="Z343" s="32">
        <v>0</v>
      </c>
      <c r="AA343" s="32">
        <v>0</v>
      </c>
      <c r="AB343" s="32">
        <v>0</v>
      </c>
      <c r="AC343" s="32">
        <v>0</v>
      </c>
      <c r="AD343" s="32">
        <v>0</v>
      </c>
      <c r="AE343" s="32">
        <v>0</v>
      </c>
      <c r="AF343" s="32">
        <v>0</v>
      </c>
      <c r="AG343" s="32">
        <v>0</v>
      </c>
      <c r="AH343" s="68">
        <v>0</v>
      </c>
      <c r="AI343" s="179">
        <f t="shared" si="11"/>
        <v>0</v>
      </c>
    </row>
    <row r="344" spans="1:35" ht="15.75" customHeight="1">
      <c r="A344" s="317">
        <v>2212001100</v>
      </c>
      <c r="B344" s="239" t="s">
        <v>358</v>
      </c>
      <c r="C344" s="316" t="s">
        <v>313</v>
      </c>
      <c r="D344" s="27">
        <v>0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3</v>
      </c>
      <c r="Q344" s="28">
        <v>0</v>
      </c>
      <c r="R344" s="29">
        <v>0</v>
      </c>
      <c r="S344" s="27">
        <v>0</v>
      </c>
      <c r="T344" s="28">
        <v>0</v>
      </c>
      <c r="U344" s="28">
        <v>0</v>
      </c>
      <c r="V344" s="28">
        <v>3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3</v>
      </c>
      <c r="AE344" s="28">
        <v>3</v>
      </c>
      <c r="AF344" s="28">
        <v>0</v>
      </c>
      <c r="AG344" s="28">
        <v>0</v>
      </c>
      <c r="AH344" s="67">
        <v>0</v>
      </c>
      <c r="AI344" s="179">
        <f t="shared" si="11"/>
        <v>12</v>
      </c>
    </row>
    <row r="345" spans="1:35" ht="15.75" customHeight="1">
      <c r="A345" s="317">
        <v>2212001101</v>
      </c>
      <c r="B345" s="239" t="s">
        <v>359</v>
      </c>
      <c r="C345" s="316" t="s">
        <v>313</v>
      </c>
      <c r="D345" s="31">
        <v>0</v>
      </c>
      <c r="E345" s="32">
        <v>0</v>
      </c>
      <c r="F345" s="32">
        <v>0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2</v>
      </c>
      <c r="M345" s="32">
        <v>0</v>
      </c>
      <c r="N345" s="32">
        <v>0</v>
      </c>
      <c r="O345" s="32">
        <v>0</v>
      </c>
      <c r="P345" s="32">
        <v>0</v>
      </c>
      <c r="Q345" s="32">
        <v>2</v>
      </c>
      <c r="R345" s="34">
        <v>0</v>
      </c>
      <c r="S345" s="31">
        <v>0</v>
      </c>
      <c r="T345" s="32">
        <v>0</v>
      </c>
      <c r="U345" s="32">
        <v>0</v>
      </c>
      <c r="V345" s="32">
        <v>0</v>
      </c>
      <c r="W345" s="32">
        <v>0</v>
      </c>
      <c r="X345" s="32">
        <v>0</v>
      </c>
      <c r="Y345" s="32">
        <v>0</v>
      </c>
      <c r="Z345" s="32">
        <v>0</v>
      </c>
      <c r="AA345" s="32">
        <v>0</v>
      </c>
      <c r="AB345" s="32">
        <v>0</v>
      </c>
      <c r="AC345" s="32">
        <v>0</v>
      </c>
      <c r="AD345" s="32">
        <v>0</v>
      </c>
      <c r="AE345" s="32">
        <v>0</v>
      </c>
      <c r="AF345" s="32">
        <v>2</v>
      </c>
      <c r="AG345" s="32">
        <v>0</v>
      </c>
      <c r="AH345" s="68">
        <v>0</v>
      </c>
      <c r="AI345" s="179">
        <f t="shared" si="11"/>
        <v>6</v>
      </c>
    </row>
    <row r="346" spans="1:35" ht="15.75" customHeight="1">
      <c r="A346" s="317">
        <v>2212001102</v>
      </c>
      <c r="B346" s="239" t="s">
        <v>360</v>
      </c>
      <c r="C346" s="316" t="s">
        <v>313</v>
      </c>
      <c r="D346" s="27">
        <v>0</v>
      </c>
      <c r="E346" s="28">
        <v>0</v>
      </c>
      <c r="F346" s="28">
        <v>0</v>
      </c>
      <c r="G346" s="28">
        <v>0</v>
      </c>
      <c r="H346" s="28">
        <v>0</v>
      </c>
      <c r="I346" s="28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9">
        <v>0</v>
      </c>
      <c r="S346" s="27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8">
        <v>0</v>
      </c>
      <c r="AG346" s="28">
        <v>0</v>
      </c>
      <c r="AH346" s="67">
        <v>0</v>
      </c>
      <c r="AI346" s="179">
        <f t="shared" si="11"/>
        <v>0</v>
      </c>
    </row>
    <row r="347" spans="1:35" ht="15.75" customHeight="1">
      <c r="A347" s="317">
        <v>2212001103</v>
      </c>
      <c r="B347" s="239" t="s">
        <v>361</v>
      </c>
      <c r="C347" s="316" t="s">
        <v>313</v>
      </c>
      <c r="D347" s="31">
        <v>0</v>
      </c>
      <c r="E347" s="32">
        <v>0</v>
      </c>
      <c r="F347" s="32">
        <v>0</v>
      </c>
      <c r="G347" s="32">
        <v>0</v>
      </c>
      <c r="H347" s="32">
        <v>0</v>
      </c>
      <c r="I347" s="32">
        <v>0</v>
      </c>
      <c r="J347" s="32">
        <v>0</v>
      </c>
      <c r="K347" s="32">
        <v>0</v>
      </c>
      <c r="L347" s="32">
        <v>0</v>
      </c>
      <c r="M347" s="32">
        <v>0</v>
      </c>
      <c r="N347" s="32">
        <v>0</v>
      </c>
      <c r="O347" s="32">
        <v>0</v>
      </c>
      <c r="P347" s="32">
        <v>0</v>
      </c>
      <c r="Q347" s="32">
        <v>0</v>
      </c>
      <c r="R347" s="34">
        <v>0</v>
      </c>
      <c r="S347" s="31">
        <v>0</v>
      </c>
      <c r="T347" s="32">
        <v>0</v>
      </c>
      <c r="U347" s="32">
        <v>0</v>
      </c>
      <c r="V347" s="32">
        <v>0</v>
      </c>
      <c r="W347" s="32">
        <v>0</v>
      </c>
      <c r="X347" s="32">
        <v>0</v>
      </c>
      <c r="Y347" s="32">
        <v>0</v>
      </c>
      <c r="Z347" s="32">
        <v>0</v>
      </c>
      <c r="AA347" s="32">
        <v>0</v>
      </c>
      <c r="AB347" s="32">
        <v>0</v>
      </c>
      <c r="AC347" s="32">
        <v>0</v>
      </c>
      <c r="AD347" s="32">
        <v>0</v>
      </c>
      <c r="AE347" s="32">
        <v>0</v>
      </c>
      <c r="AF347" s="32">
        <v>0</v>
      </c>
      <c r="AG347" s="32">
        <v>0</v>
      </c>
      <c r="AH347" s="68">
        <v>0</v>
      </c>
      <c r="AI347" s="179">
        <f t="shared" si="11"/>
        <v>0</v>
      </c>
    </row>
    <row r="348" spans="1:35" ht="15.75" customHeight="1">
      <c r="A348" s="329">
        <v>2212001106</v>
      </c>
      <c r="B348" s="257" t="s">
        <v>362</v>
      </c>
      <c r="C348" s="316" t="s">
        <v>171</v>
      </c>
      <c r="D348" s="27">
        <v>0</v>
      </c>
      <c r="E348" s="28">
        <v>0</v>
      </c>
      <c r="F348" s="28">
        <v>0</v>
      </c>
      <c r="G348" s="28">
        <v>0</v>
      </c>
      <c r="H348" s="28">
        <v>0</v>
      </c>
      <c r="I348" s="28">
        <v>0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9">
        <v>0</v>
      </c>
      <c r="S348" s="27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8">
        <v>0</v>
      </c>
      <c r="AG348" s="28">
        <v>0</v>
      </c>
      <c r="AH348" s="67">
        <v>0</v>
      </c>
      <c r="AI348" s="179">
        <f t="shared" si="11"/>
        <v>0</v>
      </c>
    </row>
    <row r="349" spans="1:35" ht="15.75" customHeight="1">
      <c r="A349" s="330">
        <v>2212001107</v>
      </c>
      <c r="B349" s="260" t="s">
        <v>363</v>
      </c>
      <c r="C349" s="333" t="s">
        <v>171</v>
      </c>
      <c r="D349" s="31">
        <v>0</v>
      </c>
      <c r="E349" s="32">
        <v>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2">
        <v>0</v>
      </c>
      <c r="R349" s="34">
        <v>0</v>
      </c>
      <c r="S349" s="31">
        <v>0</v>
      </c>
      <c r="T349" s="32">
        <v>0</v>
      </c>
      <c r="U349" s="32">
        <v>0</v>
      </c>
      <c r="V349" s="32">
        <v>0</v>
      </c>
      <c r="W349" s="32">
        <v>0</v>
      </c>
      <c r="X349" s="32">
        <v>0</v>
      </c>
      <c r="Y349" s="32">
        <v>0</v>
      </c>
      <c r="Z349" s="32">
        <v>0</v>
      </c>
      <c r="AA349" s="32">
        <v>0</v>
      </c>
      <c r="AB349" s="32">
        <v>0</v>
      </c>
      <c r="AC349" s="32">
        <v>0</v>
      </c>
      <c r="AD349" s="32">
        <v>0</v>
      </c>
      <c r="AE349" s="32">
        <v>0</v>
      </c>
      <c r="AF349" s="32">
        <v>0</v>
      </c>
      <c r="AG349" s="32">
        <v>0</v>
      </c>
      <c r="AH349" s="68">
        <v>0</v>
      </c>
      <c r="AI349" s="179">
        <f t="shared" si="11"/>
        <v>0</v>
      </c>
    </row>
    <row r="350" spans="1:35" ht="15.75" customHeight="1">
      <c r="A350" s="317">
        <v>2212001109</v>
      </c>
      <c r="B350" s="239" t="s">
        <v>364</v>
      </c>
      <c r="C350" s="316" t="s">
        <v>6</v>
      </c>
      <c r="D350" s="27">
        <v>0</v>
      </c>
      <c r="E350" s="28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9">
        <v>0</v>
      </c>
      <c r="S350" s="27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8">
        <v>0</v>
      </c>
      <c r="AG350" s="28">
        <v>0</v>
      </c>
      <c r="AH350" s="67">
        <v>0</v>
      </c>
      <c r="AI350" s="179">
        <f t="shared" si="11"/>
        <v>0</v>
      </c>
    </row>
    <row r="351" spans="1:35" ht="15.75" customHeight="1">
      <c r="A351" s="317">
        <v>2212001111</v>
      </c>
      <c r="B351" s="239" t="s">
        <v>365</v>
      </c>
      <c r="C351" s="316" t="s">
        <v>296</v>
      </c>
      <c r="D351" s="31">
        <v>0</v>
      </c>
      <c r="E351" s="32">
        <v>0</v>
      </c>
      <c r="F351" s="32">
        <v>0</v>
      </c>
      <c r="G351" s="32">
        <v>0</v>
      </c>
      <c r="H351" s="32">
        <v>0</v>
      </c>
      <c r="I351" s="32">
        <v>0</v>
      </c>
      <c r="J351" s="32">
        <v>0</v>
      </c>
      <c r="K351" s="32">
        <v>0</v>
      </c>
      <c r="L351" s="32">
        <v>0</v>
      </c>
      <c r="M351" s="32">
        <v>0</v>
      </c>
      <c r="N351" s="32">
        <v>0</v>
      </c>
      <c r="O351" s="32">
        <v>0</v>
      </c>
      <c r="P351" s="32">
        <v>0</v>
      </c>
      <c r="Q351" s="32">
        <v>0</v>
      </c>
      <c r="R351" s="34">
        <v>0</v>
      </c>
      <c r="S351" s="31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32">
        <v>0</v>
      </c>
      <c r="Z351" s="32">
        <v>0</v>
      </c>
      <c r="AA351" s="32">
        <v>0</v>
      </c>
      <c r="AB351" s="32">
        <v>0</v>
      </c>
      <c r="AC351" s="32">
        <v>0</v>
      </c>
      <c r="AD351" s="32">
        <v>0</v>
      </c>
      <c r="AE351" s="32">
        <v>0</v>
      </c>
      <c r="AF351" s="32">
        <v>0</v>
      </c>
      <c r="AG351" s="32">
        <v>0</v>
      </c>
      <c r="AH351" s="68">
        <v>0</v>
      </c>
      <c r="AI351" s="179">
        <f t="shared" si="11"/>
        <v>0</v>
      </c>
    </row>
    <row r="352" spans="1:35" ht="15.75" customHeight="1">
      <c r="A352" s="317">
        <v>2212001114</v>
      </c>
      <c r="B352" s="239" t="s">
        <v>366</v>
      </c>
      <c r="C352" s="316" t="s">
        <v>86</v>
      </c>
      <c r="D352" s="27">
        <v>0</v>
      </c>
      <c r="E352" s="28">
        <v>0</v>
      </c>
      <c r="F352" s="28">
        <v>0</v>
      </c>
      <c r="G352" s="28">
        <v>0</v>
      </c>
      <c r="H352" s="28">
        <v>0</v>
      </c>
      <c r="I352" s="28">
        <v>0</v>
      </c>
      <c r="J352" s="28">
        <v>2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9">
        <v>0</v>
      </c>
      <c r="S352" s="27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2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  <c r="AF352" s="28">
        <v>0</v>
      </c>
      <c r="AG352" s="28">
        <v>0</v>
      </c>
      <c r="AH352" s="67">
        <v>0</v>
      </c>
      <c r="AI352" s="179">
        <f t="shared" si="11"/>
        <v>4</v>
      </c>
    </row>
    <row r="353" spans="1:35" ht="15.75" customHeight="1">
      <c r="A353" s="317">
        <v>2212001121</v>
      </c>
      <c r="B353" s="239" t="s">
        <v>367</v>
      </c>
      <c r="C353" s="316" t="s">
        <v>8</v>
      </c>
      <c r="D353" s="31">
        <v>0</v>
      </c>
      <c r="E353" s="32">
        <v>0</v>
      </c>
      <c r="F353" s="32">
        <v>0</v>
      </c>
      <c r="G353" s="32">
        <v>0</v>
      </c>
      <c r="H353" s="32">
        <v>0</v>
      </c>
      <c r="I353" s="32">
        <v>0</v>
      </c>
      <c r="J353" s="32">
        <v>0</v>
      </c>
      <c r="K353" s="32">
        <v>0</v>
      </c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32">
        <v>0</v>
      </c>
      <c r="R353" s="34">
        <v>0</v>
      </c>
      <c r="S353" s="31">
        <v>0</v>
      </c>
      <c r="T353" s="32">
        <v>0</v>
      </c>
      <c r="U353" s="32">
        <v>0</v>
      </c>
      <c r="V353" s="32">
        <v>0</v>
      </c>
      <c r="W353" s="32">
        <v>0</v>
      </c>
      <c r="X353" s="32">
        <v>0</v>
      </c>
      <c r="Y353" s="32">
        <v>0</v>
      </c>
      <c r="Z353" s="32">
        <v>0</v>
      </c>
      <c r="AA353" s="32">
        <v>0</v>
      </c>
      <c r="AB353" s="32">
        <v>0</v>
      </c>
      <c r="AC353" s="32">
        <v>0</v>
      </c>
      <c r="AD353" s="32">
        <v>0</v>
      </c>
      <c r="AE353" s="32">
        <v>0</v>
      </c>
      <c r="AF353" s="32">
        <v>0</v>
      </c>
      <c r="AG353" s="32">
        <v>0</v>
      </c>
      <c r="AH353" s="68">
        <v>0</v>
      </c>
      <c r="AI353" s="179">
        <f t="shared" si="11"/>
        <v>0</v>
      </c>
    </row>
    <row r="354" spans="1:35" ht="15.75" customHeight="1">
      <c r="A354" s="317">
        <v>2212001122</v>
      </c>
      <c r="B354" s="239" t="s">
        <v>368</v>
      </c>
      <c r="C354" s="316" t="s">
        <v>296</v>
      </c>
      <c r="D354" s="27">
        <v>0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9">
        <v>0</v>
      </c>
      <c r="S354" s="27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6</v>
      </c>
      <c r="AD354" s="28">
        <v>0</v>
      </c>
      <c r="AE354" s="28">
        <v>0</v>
      </c>
      <c r="AF354" s="28">
        <v>0</v>
      </c>
      <c r="AG354" s="28">
        <v>0</v>
      </c>
      <c r="AH354" s="67">
        <v>0</v>
      </c>
      <c r="AI354" s="179">
        <f t="shared" si="11"/>
        <v>6</v>
      </c>
    </row>
    <row r="355" spans="1:35" ht="15.75" customHeight="1">
      <c r="A355" s="317">
        <v>2212001123</v>
      </c>
      <c r="B355" s="239" t="s">
        <v>369</v>
      </c>
      <c r="C355" s="316" t="s">
        <v>171</v>
      </c>
      <c r="D355" s="31">
        <v>0</v>
      </c>
      <c r="E355" s="32">
        <v>0</v>
      </c>
      <c r="F355" s="32">
        <v>0</v>
      </c>
      <c r="G355" s="32">
        <v>0</v>
      </c>
      <c r="H355" s="32">
        <v>8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0</v>
      </c>
      <c r="P355" s="32">
        <v>0</v>
      </c>
      <c r="Q355" s="32">
        <v>0</v>
      </c>
      <c r="R355" s="34">
        <v>3</v>
      </c>
      <c r="S355" s="31">
        <v>0</v>
      </c>
      <c r="T355" s="32">
        <v>0</v>
      </c>
      <c r="U355" s="32">
        <v>0</v>
      </c>
      <c r="V355" s="32">
        <v>0</v>
      </c>
      <c r="W355" s="32">
        <v>8</v>
      </c>
      <c r="X355" s="32">
        <v>0</v>
      </c>
      <c r="Y355" s="32">
        <v>0</v>
      </c>
      <c r="Z355" s="32">
        <v>0</v>
      </c>
      <c r="AA355" s="32">
        <v>0</v>
      </c>
      <c r="AB355" s="32">
        <v>0</v>
      </c>
      <c r="AC355" s="32">
        <v>3</v>
      </c>
      <c r="AD355" s="32">
        <v>0</v>
      </c>
      <c r="AE355" s="32">
        <v>0</v>
      </c>
      <c r="AF355" s="32">
        <v>0</v>
      </c>
      <c r="AG355" s="32">
        <v>3</v>
      </c>
      <c r="AH355" s="68">
        <v>0</v>
      </c>
      <c r="AI355" s="179">
        <f t="shared" si="11"/>
        <v>25</v>
      </c>
    </row>
    <row r="356" spans="1:35" ht="15.75" customHeight="1">
      <c r="A356" s="317">
        <v>2212001125</v>
      </c>
      <c r="B356" s="239" t="s">
        <v>370</v>
      </c>
      <c r="C356" s="316" t="s">
        <v>8</v>
      </c>
      <c r="D356" s="27">
        <v>0</v>
      </c>
      <c r="E356" s="28">
        <v>0</v>
      </c>
      <c r="F356" s="28">
        <v>0</v>
      </c>
      <c r="G356" s="28">
        <v>0</v>
      </c>
      <c r="H356" s="28">
        <v>0</v>
      </c>
      <c r="I356" s="28">
        <v>0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9">
        <v>0</v>
      </c>
      <c r="S356" s="27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8">
        <v>0</v>
      </c>
      <c r="AG356" s="28">
        <v>0</v>
      </c>
      <c r="AH356" s="67">
        <v>0</v>
      </c>
      <c r="AI356" s="179">
        <f t="shared" si="11"/>
        <v>0</v>
      </c>
    </row>
    <row r="357" spans="1:35" ht="15.75" customHeight="1">
      <c r="A357" s="317">
        <v>2212001126</v>
      </c>
      <c r="B357" s="239" t="s">
        <v>371</v>
      </c>
      <c r="C357" s="316" t="s">
        <v>8</v>
      </c>
      <c r="D357" s="31">
        <v>0</v>
      </c>
      <c r="E357" s="32">
        <v>0</v>
      </c>
      <c r="F357" s="32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  <c r="P357" s="32">
        <v>0</v>
      </c>
      <c r="Q357" s="32">
        <v>0</v>
      </c>
      <c r="R357" s="34">
        <v>0</v>
      </c>
      <c r="S357" s="31">
        <v>0</v>
      </c>
      <c r="T357" s="32">
        <v>0</v>
      </c>
      <c r="U357" s="32">
        <v>0</v>
      </c>
      <c r="V357" s="32">
        <v>0</v>
      </c>
      <c r="W357" s="32">
        <v>0</v>
      </c>
      <c r="X357" s="32">
        <v>0</v>
      </c>
      <c r="Y357" s="32">
        <v>0</v>
      </c>
      <c r="Z357" s="32">
        <v>0</v>
      </c>
      <c r="AA357" s="32">
        <v>0</v>
      </c>
      <c r="AB357" s="32">
        <v>0</v>
      </c>
      <c r="AC357" s="32">
        <v>0</v>
      </c>
      <c r="AD357" s="32">
        <v>0</v>
      </c>
      <c r="AE357" s="32">
        <v>0</v>
      </c>
      <c r="AF357" s="32">
        <v>0</v>
      </c>
      <c r="AG357" s="32">
        <v>0</v>
      </c>
      <c r="AH357" s="68">
        <v>0</v>
      </c>
      <c r="AI357" s="179">
        <f t="shared" si="11"/>
        <v>0</v>
      </c>
    </row>
    <row r="358" spans="1:35" ht="15.75" customHeight="1">
      <c r="A358" s="317">
        <v>2212001129</v>
      </c>
      <c r="B358" s="239" t="s">
        <v>372</v>
      </c>
      <c r="C358" s="316" t="s">
        <v>313</v>
      </c>
      <c r="D358" s="27">
        <v>0</v>
      </c>
      <c r="E358" s="28">
        <v>0</v>
      </c>
      <c r="F358" s="28">
        <v>0</v>
      </c>
      <c r="G358" s="28">
        <v>0</v>
      </c>
      <c r="H358" s="28">
        <v>0</v>
      </c>
      <c r="I358" s="28">
        <v>0</v>
      </c>
      <c r="J358" s="28">
        <v>0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9">
        <v>0</v>
      </c>
      <c r="S358" s="27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8">
        <v>0</v>
      </c>
      <c r="AG358" s="28">
        <v>0</v>
      </c>
      <c r="AH358" s="67">
        <v>0</v>
      </c>
      <c r="AI358" s="179">
        <f t="shared" si="11"/>
        <v>0</v>
      </c>
    </row>
    <row r="359" spans="1:35" ht="15.75" customHeight="1">
      <c r="A359" s="317">
        <v>2212001130</v>
      </c>
      <c r="B359" s="239" t="s">
        <v>373</v>
      </c>
      <c r="C359" s="316" t="s">
        <v>171</v>
      </c>
      <c r="D359" s="31">
        <v>0</v>
      </c>
      <c r="E359" s="32">
        <v>0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2">
        <v>0</v>
      </c>
      <c r="R359" s="34">
        <v>0</v>
      </c>
      <c r="S359" s="31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0</v>
      </c>
      <c r="Y359" s="32">
        <v>0</v>
      </c>
      <c r="Z359" s="32">
        <v>0</v>
      </c>
      <c r="AA359" s="32">
        <v>0</v>
      </c>
      <c r="AB359" s="32">
        <v>0</v>
      </c>
      <c r="AC359" s="32">
        <v>0</v>
      </c>
      <c r="AD359" s="32">
        <v>0</v>
      </c>
      <c r="AE359" s="32">
        <v>0</v>
      </c>
      <c r="AF359" s="32">
        <v>0</v>
      </c>
      <c r="AG359" s="32">
        <v>0</v>
      </c>
      <c r="AH359" s="68">
        <v>0</v>
      </c>
      <c r="AI359" s="179">
        <f t="shared" si="11"/>
        <v>0</v>
      </c>
    </row>
    <row r="360" spans="1:35" ht="15.75" customHeight="1">
      <c r="A360" s="317">
        <v>2212001133</v>
      </c>
      <c r="B360" s="239" t="s">
        <v>374</v>
      </c>
      <c r="C360" s="316" t="s">
        <v>267</v>
      </c>
      <c r="D360" s="27">
        <v>0</v>
      </c>
      <c r="E360" s="28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9">
        <v>0</v>
      </c>
      <c r="S360" s="27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8">
        <v>0</v>
      </c>
      <c r="AG360" s="28">
        <v>0</v>
      </c>
      <c r="AH360" s="67">
        <v>0</v>
      </c>
      <c r="AI360" s="179">
        <f t="shared" si="11"/>
        <v>0</v>
      </c>
    </row>
    <row r="361" spans="1:35" ht="15.75" customHeight="1">
      <c r="A361" s="317">
        <v>2212001144</v>
      </c>
      <c r="B361" s="239" t="s">
        <v>375</v>
      </c>
      <c r="C361" s="316" t="s">
        <v>171</v>
      </c>
      <c r="D361" s="31">
        <v>0</v>
      </c>
      <c r="E361" s="32">
        <v>0</v>
      </c>
      <c r="F361" s="32">
        <v>0</v>
      </c>
      <c r="G361" s="32">
        <v>0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0</v>
      </c>
      <c r="N361" s="32">
        <v>0</v>
      </c>
      <c r="O361" s="32">
        <v>0</v>
      </c>
      <c r="P361" s="32">
        <v>0</v>
      </c>
      <c r="Q361" s="32">
        <v>0</v>
      </c>
      <c r="R361" s="34">
        <v>0</v>
      </c>
      <c r="S361" s="31">
        <v>0</v>
      </c>
      <c r="T361" s="32">
        <v>0</v>
      </c>
      <c r="U361" s="32">
        <v>0</v>
      </c>
      <c r="V361" s="32">
        <v>0</v>
      </c>
      <c r="W361" s="32">
        <v>0</v>
      </c>
      <c r="X361" s="32">
        <v>0</v>
      </c>
      <c r="Y361" s="32">
        <v>0</v>
      </c>
      <c r="Z361" s="32">
        <v>0</v>
      </c>
      <c r="AA361" s="32">
        <v>0</v>
      </c>
      <c r="AB361" s="32">
        <v>0</v>
      </c>
      <c r="AC361" s="32">
        <v>0</v>
      </c>
      <c r="AD361" s="32">
        <v>0</v>
      </c>
      <c r="AE361" s="32">
        <v>0</v>
      </c>
      <c r="AF361" s="32">
        <v>0</v>
      </c>
      <c r="AG361" s="32">
        <v>0</v>
      </c>
      <c r="AH361" s="68">
        <v>0</v>
      </c>
      <c r="AI361" s="179">
        <f t="shared" si="11"/>
        <v>0</v>
      </c>
    </row>
    <row r="362" spans="1:35" ht="15.75" customHeight="1">
      <c r="A362" s="340">
        <v>2212001146</v>
      </c>
      <c r="B362" s="263" t="s">
        <v>376</v>
      </c>
      <c r="C362" s="333" t="s">
        <v>296</v>
      </c>
      <c r="D362" s="31">
        <v>0</v>
      </c>
      <c r="E362" s="32">
        <v>0</v>
      </c>
      <c r="F362" s="32">
        <v>0</v>
      </c>
      <c r="G362" s="32">
        <v>0</v>
      </c>
      <c r="H362" s="32">
        <v>0</v>
      </c>
      <c r="I362" s="32">
        <v>0</v>
      </c>
      <c r="J362" s="32">
        <v>0</v>
      </c>
      <c r="K362" s="32">
        <v>0</v>
      </c>
      <c r="L362" s="32">
        <v>0</v>
      </c>
      <c r="M362" s="32">
        <v>0</v>
      </c>
      <c r="N362" s="32">
        <v>0</v>
      </c>
      <c r="O362" s="32">
        <v>0</v>
      </c>
      <c r="P362" s="32">
        <v>0</v>
      </c>
      <c r="Q362" s="32">
        <v>0</v>
      </c>
      <c r="R362" s="34">
        <v>0</v>
      </c>
      <c r="S362" s="31">
        <v>0</v>
      </c>
      <c r="T362" s="32">
        <v>0</v>
      </c>
      <c r="U362" s="32">
        <v>0</v>
      </c>
      <c r="V362" s="32">
        <v>0</v>
      </c>
      <c r="W362" s="32">
        <v>0</v>
      </c>
      <c r="X362" s="32">
        <v>0</v>
      </c>
      <c r="Y362" s="32">
        <v>0</v>
      </c>
      <c r="Z362" s="32">
        <v>0</v>
      </c>
      <c r="AA362" s="32">
        <v>0</v>
      </c>
      <c r="AB362" s="32">
        <v>0</v>
      </c>
      <c r="AC362" s="32">
        <v>0</v>
      </c>
      <c r="AD362" s="32">
        <v>0</v>
      </c>
      <c r="AE362" s="32">
        <v>0</v>
      </c>
      <c r="AF362" s="32">
        <v>0</v>
      </c>
      <c r="AG362" s="32">
        <v>0</v>
      </c>
      <c r="AH362" s="68">
        <v>0</v>
      </c>
      <c r="AI362" s="179">
        <f t="shared" si="11"/>
        <v>0</v>
      </c>
    </row>
    <row r="363" spans="1:35" ht="15.75" customHeight="1">
      <c r="A363" s="317">
        <v>2212001151</v>
      </c>
      <c r="B363" s="239" t="s">
        <v>377</v>
      </c>
      <c r="C363" s="316" t="s">
        <v>267</v>
      </c>
      <c r="D363" s="27">
        <v>0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9">
        <v>0</v>
      </c>
      <c r="S363" s="27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8">
        <v>0</v>
      </c>
      <c r="AG363" s="28">
        <v>0</v>
      </c>
      <c r="AH363" s="67">
        <v>0</v>
      </c>
      <c r="AI363" s="179">
        <f t="shared" si="11"/>
        <v>0</v>
      </c>
    </row>
    <row r="364" spans="1:35" ht="15.75" customHeight="1">
      <c r="A364" s="317">
        <v>2212001152</v>
      </c>
      <c r="B364" s="239" t="s">
        <v>378</v>
      </c>
      <c r="C364" s="316" t="s">
        <v>379</v>
      </c>
      <c r="D364" s="31">
        <v>0</v>
      </c>
      <c r="E364" s="32">
        <v>0</v>
      </c>
      <c r="F364" s="32">
        <v>0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4">
        <v>0</v>
      </c>
      <c r="S364" s="31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68">
        <v>0</v>
      </c>
      <c r="AI364" s="179">
        <f t="shared" si="11"/>
        <v>0</v>
      </c>
    </row>
    <row r="365" spans="1:35" ht="15.75" customHeight="1">
      <c r="A365" s="317">
        <v>2212001155</v>
      </c>
      <c r="B365" s="239" t="s">
        <v>380</v>
      </c>
      <c r="C365" s="316" t="s">
        <v>177</v>
      </c>
      <c r="D365" s="27">
        <v>0</v>
      </c>
      <c r="E365" s="28">
        <v>0</v>
      </c>
      <c r="F365" s="28">
        <v>0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9">
        <v>0</v>
      </c>
      <c r="S365" s="27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8">
        <v>0</v>
      </c>
      <c r="AH365" s="67">
        <v>0</v>
      </c>
      <c r="AI365" s="179">
        <f t="shared" si="11"/>
        <v>0</v>
      </c>
    </row>
    <row r="366" spans="1:35" ht="15.75" customHeight="1">
      <c r="A366" s="317">
        <v>2212001159</v>
      </c>
      <c r="B366" s="239" t="s">
        <v>381</v>
      </c>
      <c r="C366" s="316" t="s">
        <v>175</v>
      </c>
      <c r="D366" s="31">
        <v>0</v>
      </c>
      <c r="E366" s="32">
        <v>0</v>
      </c>
      <c r="F366" s="32">
        <v>0</v>
      </c>
      <c r="G366" s="32">
        <v>0</v>
      </c>
      <c r="H366" s="32">
        <v>0</v>
      </c>
      <c r="I366" s="32">
        <v>0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32">
        <v>0</v>
      </c>
      <c r="R366" s="34">
        <v>0</v>
      </c>
      <c r="S366" s="31">
        <v>0</v>
      </c>
      <c r="T366" s="32">
        <v>0</v>
      </c>
      <c r="U366" s="32">
        <v>0</v>
      </c>
      <c r="V366" s="32">
        <v>0</v>
      </c>
      <c r="W366" s="32">
        <v>0</v>
      </c>
      <c r="X366" s="32">
        <v>0</v>
      </c>
      <c r="Y366" s="32">
        <v>0</v>
      </c>
      <c r="Z366" s="32">
        <v>0</v>
      </c>
      <c r="AA366" s="32">
        <v>0</v>
      </c>
      <c r="AB366" s="32">
        <v>0</v>
      </c>
      <c r="AC366" s="32">
        <v>0</v>
      </c>
      <c r="AD366" s="32">
        <v>0</v>
      </c>
      <c r="AE366" s="32">
        <v>0</v>
      </c>
      <c r="AF366" s="32">
        <v>0</v>
      </c>
      <c r="AG366" s="32">
        <v>0</v>
      </c>
      <c r="AH366" s="68">
        <v>0</v>
      </c>
      <c r="AI366" s="179">
        <f t="shared" si="11"/>
        <v>0</v>
      </c>
    </row>
    <row r="367" spans="1:35" ht="15.75" customHeight="1">
      <c r="A367" s="317">
        <v>2212001162</v>
      </c>
      <c r="B367" s="239" t="s">
        <v>382</v>
      </c>
      <c r="C367" s="316" t="s">
        <v>86</v>
      </c>
      <c r="D367" s="27">
        <v>0</v>
      </c>
      <c r="E367" s="28">
        <v>0</v>
      </c>
      <c r="F367" s="2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9">
        <v>0</v>
      </c>
      <c r="S367" s="27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28">
        <v>0</v>
      </c>
      <c r="AH367" s="67">
        <v>0</v>
      </c>
      <c r="AI367" s="179">
        <f t="shared" si="11"/>
        <v>0</v>
      </c>
    </row>
    <row r="368" spans="1:35" ht="15.75" customHeight="1">
      <c r="A368" s="317">
        <v>2212001163</v>
      </c>
      <c r="B368" s="239" t="s">
        <v>383</v>
      </c>
      <c r="C368" s="316" t="s">
        <v>384</v>
      </c>
      <c r="D368" s="31">
        <v>0</v>
      </c>
      <c r="E368" s="32">
        <v>0</v>
      </c>
      <c r="F368" s="32">
        <v>0</v>
      </c>
      <c r="G368" s="32">
        <v>0</v>
      </c>
      <c r="H368" s="32">
        <v>0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0</v>
      </c>
      <c r="Q368" s="32">
        <v>0</v>
      </c>
      <c r="R368" s="34">
        <v>0</v>
      </c>
      <c r="S368" s="31">
        <v>0</v>
      </c>
      <c r="T368" s="32">
        <v>0</v>
      </c>
      <c r="U368" s="32">
        <v>0</v>
      </c>
      <c r="V368" s="32">
        <v>0</v>
      </c>
      <c r="W368" s="32">
        <v>0</v>
      </c>
      <c r="X368" s="32">
        <v>0</v>
      </c>
      <c r="Y368" s="32">
        <v>0</v>
      </c>
      <c r="Z368" s="32">
        <v>0</v>
      </c>
      <c r="AA368" s="32">
        <v>0</v>
      </c>
      <c r="AB368" s="32">
        <v>0</v>
      </c>
      <c r="AC368" s="32">
        <v>0</v>
      </c>
      <c r="AD368" s="32">
        <v>0</v>
      </c>
      <c r="AE368" s="32">
        <v>0</v>
      </c>
      <c r="AF368" s="32">
        <v>0</v>
      </c>
      <c r="AG368" s="32">
        <v>0</v>
      </c>
      <c r="AH368" s="68">
        <v>0</v>
      </c>
      <c r="AI368" s="179">
        <f t="shared" si="11"/>
        <v>0</v>
      </c>
    </row>
    <row r="369" spans="1:35" ht="15.75" customHeight="1">
      <c r="A369" s="317">
        <v>2212001164</v>
      </c>
      <c r="B369" s="239" t="s">
        <v>385</v>
      </c>
      <c r="C369" s="316" t="s">
        <v>86</v>
      </c>
      <c r="D369" s="27">
        <v>0</v>
      </c>
      <c r="E369" s="28">
        <v>0</v>
      </c>
      <c r="F369" s="28">
        <v>0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9">
        <v>0</v>
      </c>
      <c r="S369" s="27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28">
        <v>0</v>
      </c>
      <c r="AH369" s="67">
        <v>0</v>
      </c>
      <c r="AI369" s="179">
        <f t="shared" si="11"/>
        <v>0</v>
      </c>
    </row>
    <row r="370" spans="1:35" ht="15.75" customHeight="1">
      <c r="A370" s="317">
        <v>2212001165</v>
      </c>
      <c r="B370" s="239" t="s">
        <v>386</v>
      </c>
      <c r="C370" s="316" t="s">
        <v>6</v>
      </c>
      <c r="D370" s="31">
        <v>0</v>
      </c>
      <c r="E370" s="32">
        <v>0</v>
      </c>
      <c r="F370" s="32">
        <v>0</v>
      </c>
      <c r="G370" s="32">
        <v>0</v>
      </c>
      <c r="H370" s="32">
        <v>0</v>
      </c>
      <c r="I370" s="32">
        <v>0</v>
      </c>
      <c r="J370" s="32">
        <v>0</v>
      </c>
      <c r="K370" s="32">
        <v>0</v>
      </c>
      <c r="L370" s="32">
        <v>0</v>
      </c>
      <c r="M370" s="32">
        <v>0</v>
      </c>
      <c r="N370" s="32">
        <v>0</v>
      </c>
      <c r="O370" s="32">
        <v>0</v>
      </c>
      <c r="P370" s="32">
        <v>0</v>
      </c>
      <c r="Q370" s="32">
        <v>0</v>
      </c>
      <c r="R370" s="34">
        <v>0</v>
      </c>
      <c r="S370" s="31">
        <v>0</v>
      </c>
      <c r="T370" s="32">
        <v>0</v>
      </c>
      <c r="U370" s="32">
        <v>0</v>
      </c>
      <c r="V370" s="32">
        <v>0</v>
      </c>
      <c r="W370" s="32">
        <v>0</v>
      </c>
      <c r="X370" s="32">
        <v>0</v>
      </c>
      <c r="Y370" s="32">
        <v>0</v>
      </c>
      <c r="Z370" s="32">
        <v>0</v>
      </c>
      <c r="AA370" s="32">
        <v>0</v>
      </c>
      <c r="AB370" s="32">
        <v>0</v>
      </c>
      <c r="AC370" s="32">
        <v>0</v>
      </c>
      <c r="AD370" s="32">
        <v>0</v>
      </c>
      <c r="AE370" s="32">
        <v>0</v>
      </c>
      <c r="AF370" s="32">
        <v>0</v>
      </c>
      <c r="AG370" s="32">
        <v>0</v>
      </c>
      <c r="AH370" s="68">
        <v>0</v>
      </c>
      <c r="AI370" s="179">
        <f t="shared" si="11"/>
        <v>0</v>
      </c>
    </row>
    <row r="371" spans="1:35" ht="15.75" customHeight="1">
      <c r="A371" s="317">
        <v>2212001167</v>
      </c>
      <c r="B371" s="239" t="s">
        <v>387</v>
      </c>
      <c r="C371" s="316" t="s">
        <v>388</v>
      </c>
      <c r="D371" s="27">
        <v>0</v>
      </c>
      <c r="E371" s="28">
        <v>0</v>
      </c>
      <c r="F371" s="28">
        <v>0</v>
      </c>
      <c r="G371" s="28">
        <v>0</v>
      </c>
      <c r="H371" s="28">
        <v>0</v>
      </c>
      <c r="I371" s="28">
        <v>0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9">
        <v>0</v>
      </c>
      <c r="S371" s="27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8">
        <v>0</v>
      </c>
      <c r="AH371" s="67">
        <v>0</v>
      </c>
      <c r="AI371" s="179">
        <f t="shared" si="11"/>
        <v>0</v>
      </c>
    </row>
    <row r="372" spans="1:35" ht="15.75" customHeight="1">
      <c r="A372" s="317">
        <v>2212001172</v>
      </c>
      <c r="B372" s="239" t="s">
        <v>389</v>
      </c>
      <c r="C372" s="316" t="s">
        <v>177</v>
      </c>
      <c r="D372" s="31">
        <v>0</v>
      </c>
      <c r="E372" s="32">
        <v>0</v>
      </c>
      <c r="F372" s="32">
        <v>0</v>
      </c>
      <c r="G372" s="32">
        <v>0</v>
      </c>
      <c r="H372" s="32">
        <v>0</v>
      </c>
      <c r="I372" s="32">
        <v>0</v>
      </c>
      <c r="J372" s="32">
        <v>0</v>
      </c>
      <c r="K372" s="32">
        <v>0</v>
      </c>
      <c r="L372" s="32">
        <v>0</v>
      </c>
      <c r="M372" s="32">
        <v>0</v>
      </c>
      <c r="N372" s="32">
        <v>0</v>
      </c>
      <c r="O372" s="32">
        <v>0</v>
      </c>
      <c r="P372" s="32">
        <v>0</v>
      </c>
      <c r="Q372" s="32">
        <v>0</v>
      </c>
      <c r="R372" s="34">
        <v>0</v>
      </c>
      <c r="S372" s="31">
        <v>0</v>
      </c>
      <c r="T372" s="32">
        <v>0</v>
      </c>
      <c r="U372" s="32">
        <v>0</v>
      </c>
      <c r="V372" s="32">
        <v>0</v>
      </c>
      <c r="W372" s="32">
        <v>0</v>
      </c>
      <c r="X372" s="32">
        <v>0</v>
      </c>
      <c r="Y372" s="32">
        <v>0</v>
      </c>
      <c r="Z372" s="32">
        <v>0</v>
      </c>
      <c r="AA372" s="32">
        <v>0</v>
      </c>
      <c r="AB372" s="32">
        <v>0</v>
      </c>
      <c r="AC372" s="32">
        <v>0</v>
      </c>
      <c r="AD372" s="32">
        <v>0</v>
      </c>
      <c r="AE372" s="32">
        <v>0</v>
      </c>
      <c r="AF372" s="32">
        <v>0</v>
      </c>
      <c r="AG372" s="32">
        <v>0</v>
      </c>
      <c r="AH372" s="68">
        <v>0</v>
      </c>
      <c r="AI372" s="179">
        <f t="shared" si="11"/>
        <v>0</v>
      </c>
    </row>
    <row r="373" spans="1:35" ht="15.75" customHeight="1">
      <c r="A373" s="317">
        <v>2212001173</v>
      </c>
      <c r="B373" s="239" t="s">
        <v>390</v>
      </c>
      <c r="C373" s="316" t="s">
        <v>267</v>
      </c>
      <c r="D373" s="27">
        <v>0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9">
        <v>0</v>
      </c>
      <c r="S373" s="27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0</v>
      </c>
      <c r="AG373" s="28">
        <v>0</v>
      </c>
      <c r="AH373" s="67">
        <v>0</v>
      </c>
      <c r="AI373" s="179">
        <f t="shared" si="11"/>
        <v>0</v>
      </c>
    </row>
    <row r="374" spans="1:35" ht="15.75" customHeight="1">
      <c r="A374" s="317">
        <v>2212001174</v>
      </c>
      <c r="B374" s="239" t="s">
        <v>391</v>
      </c>
      <c r="C374" s="316" t="s">
        <v>267</v>
      </c>
      <c r="D374" s="31">
        <v>0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</v>
      </c>
      <c r="M374" s="32">
        <v>0</v>
      </c>
      <c r="N374" s="32">
        <v>0</v>
      </c>
      <c r="O374" s="32">
        <v>0</v>
      </c>
      <c r="P374" s="32">
        <v>0</v>
      </c>
      <c r="Q374" s="32">
        <v>0</v>
      </c>
      <c r="R374" s="34">
        <v>0</v>
      </c>
      <c r="S374" s="31">
        <v>0</v>
      </c>
      <c r="T374" s="32">
        <v>0</v>
      </c>
      <c r="U374" s="32">
        <v>0</v>
      </c>
      <c r="V374" s="32">
        <v>0</v>
      </c>
      <c r="W374" s="32">
        <v>0</v>
      </c>
      <c r="X374" s="32">
        <v>0</v>
      </c>
      <c r="Y374" s="32">
        <v>0</v>
      </c>
      <c r="Z374" s="32">
        <v>0</v>
      </c>
      <c r="AA374" s="32">
        <v>0</v>
      </c>
      <c r="AB374" s="32">
        <v>0</v>
      </c>
      <c r="AC374" s="32">
        <v>0</v>
      </c>
      <c r="AD374" s="32">
        <v>0</v>
      </c>
      <c r="AE374" s="32">
        <v>0</v>
      </c>
      <c r="AF374" s="32">
        <v>0</v>
      </c>
      <c r="AG374" s="32">
        <v>0</v>
      </c>
      <c r="AH374" s="68">
        <v>0</v>
      </c>
      <c r="AI374" s="179">
        <f t="shared" si="11"/>
        <v>0</v>
      </c>
    </row>
    <row r="375" spans="1:35" ht="15.75" customHeight="1">
      <c r="A375" s="317">
        <v>2212001175</v>
      </c>
      <c r="B375" s="239" t="s">
        <v>392</v>
      </c>
      <c r="C375" s="316" t="s">
        <v>267</v>
      </c>
      <c r="D375" s="27">
        <v>0</v>
      </c>
      <c r="E375" s="28">
        <v>0</v>
      </c>
      <c r="F375" s="28">
        <v>0</v>
      </c>
      <c r="G375" s="28">
        <v>0</v>
      </c>
      <c r="H375" s="28">
        <v>0</v>
      </c>
      <c r="I375" s="28">
        <v>0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9">
        <v>0</v>
      </c>
      <c r="S375" s="27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28">
        <v>0</v>
      </c>
      <c r="AH375" s="67">
        <v>0</v>
      </c>
      <c r="AI375" s="179">
        <f t="shared" si="11"/>
        <v>0</v>
      </c>
    </row>
    <row r="376" spans="1:35" ht="15.75" customHeight="1">
      <c r="A376" s="317">
        <v>2212001186</v>
      </c>
      <c r="B376" s="239" t="s">
        <v>393</v>
      </c>
      <c r="C376" s="316" t="s">
        <v>296</v>
      </c>
      <c r="D376" s="31">
        <v>0</v>
      </c>
      <c r="E376" s="32">
        <v>0</v>
      </c>
      <c r="F376" s="32">
        <v>0</v>
      </c>
      <c r="G376" s="32">
        <v>0</v>
      </c>
      <c r="H376" s="32">
        <v>0</v>
      </c>
      <c r="I376" s="32">
        <v>0</v>
      </c>
      <c r="J376" s="32">
        <v>0</v>
      </c>
      <c r="K376" s="32">
        <v>0</v>
      </c>
      <c r="L376" s="32">
        <v>0</v>
      </c>
      <c r="M376" s="32">
        <v>0</v>
      </c>
      <c r="N376" s="32">
        <v>0</v>
      </c>
      <c r="O376" s="32">
        <v>0</v>
      </c>
      <c r="P376" s="32">
        <v>0</v>
      </c>
      <c r="Q376" s="32">
        <v>0</v>
      </c>
      <c r="R376" s="34">
        <v>0</v>
      </c>
      <c r="S376" s="31">
        <v>0</v>
      </c>
      <c r="T376" s="32">
        <v>0</v>
      </c>
      <c r="U376" s="32">
        <v>0</v>
      </c>
      <c r="V376" s="32">
        <v>0</v>
      </c>
      <c r="W376" s="32">
        <v>0</v>
      </c>
      <c r="X376" s="32">
        <v>0</v>
      </c>
      <c r="Y376" s="32">
        <v>0</v>
      </c>
      <c r="Z376" s="32">
        <v>0</v>
      </c>
      <c r="AA376" s="32">
        <v>0</v>
      </c>
      <c r="AB376" s="32">
        <v>0</v>
      </c>
      <c r="AC376" s="32">
        <v>0</v>
      </c>
      <c r="AD376" s="32">
        <v>30</v>
      </c>
      <c r="AE376" s="32">
        <v>0</v>
      </c>
      <c r="AF376" s="32">
        <v>0</v>
      </c>
      <c r="AG376" s="32">
        <v>0</v>
      </c>
      <c r="AH376" s="68">
        <v>0</v>
      </c>
      <c r="AI376" s="179">
        <f t="shared" si="11"/>
        <v>30</v>
      </c>
    </row>
    <row r="377" spans="1:35" ht="15.75" customHeight="1">
      <c r="A377" s="317">
        <v>2212001187</v>
      </c>
      <c r="B377" s="239" t="s">
        <v>394</v>
      </c>
      <c r="C377" s="316" t="s">
        <v>86</v>
      </c>
      <c r="D377" s="27">
        <v>0</v>
      </c>
      <c r="E377" s="28">
        <v>0</v>
      </c>
      <c r="F377" s="28">
        <v>0</v>
      </c>
      <c r="G377" s="28">
        <v>0</v>
      </c>
      <c r="H377" s="28">
        <v>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9">
        <v>0</v>
      </c>
      <c r="S377" s="27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  <c r="AF377" s="28">
        <v>0</v>
      </c>
      <c r="AG377" s="28">
        <v>0</v>
      </c>
      <c r="AH377" s="67">
        <v>0</v>
      </c>
      <c r="AI377" s="179">
        <f t="shared" si="11"/>
        <v>0</v>
      </c>
    </row>
    <row r="378" spans="1:35" ht="15.75" customHeight="1">
      <c r="A378" s="317">
        <v>2212001189</v>
      </c>
      <c r="B378" s="239" t="s">
        <v>395</v>
      </c>
      <c r="C378" s="316" t="s">
        <v>6</v>
      </c>
      <c r="D378" s="31">
        <v>0</v>
      </c>
      <c r="E378" s="32">
        <v>0</v>
      </c>
      <c r="F378" s="32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0</v>
      </c>
      <c r="P378" s="32">
        <v>0</v>
      </c>
      <c r="Q378" s="32">
        <v>0</v>
      </c>
      <c r="R378" s="34">
        <v>0</v>
      </c>
      <c r="S378" s="31">
        <v>0</v>
      </c>
      <c r="T378" s="32">
        <v>0</v>
      </c>
      <c r="U378" s="32">
        <v>0</v>
      </c>
      <c r="V378" s="32">
        <v>0</v>
      </c>
      <c r="W378" s="32">
        <v>0</v>
      </c>
      <c r="X378" s="32">
        <v>0</v>
      </c>
      <c r="Y378" s="32">
        <v>0</v>
      </c>
      <c r="Z378" s="32">
        <v>0</v>
      </c>
      <c r="AA378" s="32">
        <v>0</v>
      </c>
      <c r="AB378" s="32">
        <v>0</v>
      </c>
      <c r="AC378" s="32">
        <v>0</v>
      </c>
      <c r="AD378" s="32">
        <v>0</v>
      </c>
      <c r="AE378" s="32">
        <v>0</v>
      </c>
      <c r="AF378" s="32">
        <v>0</v>
      </c>
      <c r="AG378" s="32">
        <v>0</v>
      </c>
      <c r="AH378" s="68">
        <v>0</v>
      </c>
      <c r="AI378" s="179">
        <f t="shared" si="11"/>
        <v>0</v>
      </c>
    </row>
    <row r="379" spans="1:35" ht="15.75" customHeight="1">
      <c r="A379" s="317">
        <v>2212001190</v>
      </c>
      <c r="B379" s="239" t="s">
        <v>396</v>
      </c>
      <c r="C379" s="316" t="s">
        <v>6</v>
      </c>
      <c r="D379" s="27">
        <v>0</v>
      </c>
      <c r="E379" s="28">
        <v>0</v>
      </c>
      <c r="F379" s="28">
        <v>0</v>
      </c>
      <c r="G379" s="28">
        <v>0</v>
      </c>
      <c r="H379" s="28">
        <v>0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9">
        <v>0</v>
      </c>
      <c r="S379" s="27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0</v>
      </c>
      <c r="AF379" s="28">
        <v>0</v>
      </c>
      <c r="AG379" s="28">
        <v>0</v>
      </c>
      <c r="AH379" s="67">
        <v>0</v>
      </c>
      <c r="AI379" s="179">
        <f t="shared" si="11"/>
        <v>0</v>
      </c>
    </row>
    <row r="380" spans="1:35" ht="15.75" customHeight="1">
      <c r="A380" s="317">
        <v>2212001191</v>
      </c>
      <c r="B380" s="239" t="s">
        <v>397</v>
      </c>
      <c r="C380" s="316" t="s">
        <v>6</v>
      </c>
      <c r="D380" s="31">
        <v>0</v>
      </c>
      <c r="E380" s="32">
        <v>0</v>
      </c>
      <c r="F380" s="32">
        <v>0</v>
      </c>
      <c r="G380" s="32">
        <v>0</v>
      </c>
      <c r="H380" s="32">
        <v>0</v>
      </c>
      <c r="I380" s="32">
        <v>0</v>
      </c>
      <c r="J380" s="32">
        <v>0</v>
      </c>
      <c r="K380" s="32">
        <v>0</v>
      </c>
      <c r="L380" s="32">
        <v>0</v>
      </c>
      <c r="M380" s="32">
        <v>0</v>
      </c>
      <c r="N380" s="32">
        <v>0</v>
      </c>
      <c r="O380" s="32">
        <v>0</v>
      </c>
      <c r="P380" s="32">
        <v>0</v>
      </c>
      <c r="Q380" s="32">
        <v>0</v>
      </c>
      <c r="R380" s="34">
        <v>0</v>
      </c>
      <c r="S380" s="31">
        <v>0</v>
      </c>
      <c r="T380" s="32">
        <v>0</v>
      </c>
      <c r="U380" s="32">
        <v>0</v>
      </c>
      <c r="V380" s="32">
        <v>0</v>
      </c>
      <c r="W380" s="32">
        <v>0</v>
      </c>
      <c r="X380" s="32">
        <v>0</v>
      </c>
      <c r="Y380" s="32">
        <v>0</v>
      </c>
      <c r="Z380" s="32">
        <v>0</v>
      </c>
      <c r="AA380" s="32">
        <v>0</v>
      </c>
      <c r="AB380" s="32">
        <v>0</v>
      </c>
      <c r="AC380" s="32">
        <v>0</v>
      </c>
      <c r="AD380" s="32">
        <v>0</v>
      </c>
      <c r="AE380" s="32">
        <v>0</v>
      </c>
      <c r="AF380" s="32">
        <v>0</v>
      </c>
      <c r="AG380" s="32">
        <v>0</v>
      </c>
      <c r="AH380" s="68">
        <v>0</v>
      </c>
      <c r="AI380" s="179">
        <f t="shared" si="11"/>
        <v>0</v>
      </c>
    </row>
    <row r="381" spans="1:35" ht="15.75" customHeight="1">
      <c r="A381" s="317">
        <v>2212001193</v>
      </c>
      <c r="B381" s="239" t="s">
        <v>398</v>
      </c>
      <c r="C381" s="316" t="s">
        <v>8</v>
      </c>
      <c r="D381" s="27">
        <v>0</v>
      </c>
      <c r="E381" s="28">
        <v>0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9">
        <v>0</v>
      </c>
      <c r="S381" s="27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28">
        <v>0</v>
      </c>
      <c r="AH381" s="67">
        <v>0</v>
      </c>
      <c r="AI381" s="179">
        <f t="shared" si="11"/>
        <v>0</v>
      </c>
    </row>
    <row r="382" spans="1:35" ht="15.75" customHeight="1">
      <c r="A382" s="317">
        <v>2212001194</v>
      </c>
      <c r="B382" s="271" t="s">
        <v>399</v>
      </c>
      <c r="C382" s="333" t="s">
        <v>384</v>
      </c>
      <c r="D382" s="31">
        <v>0</v>
      </c>
      <c r="E382" s="32">
        <v>0</v>
      </c>
      <c r="F382" s="32">
        <v>0</v>
      </c>
      <c r="G382" s="32">
        <v>0</v>
      </c>
      <c r="H382" s="32">
        <v>0</v>
      </c>
      <c r="I382" s="32">
        <v>0</v>
      </c>
      <c r="J382" s="32">
        <v>0</v>
      </c>
      <c r="K382" s="32">
        <v>0</v>
      </c>
      <c r="L382" s="32">
        <v>0</v>
      </c>
      <c r="M382" s="32">
        <v>0</v>
      </c>
      <c r="N382" s="32">
        <v>0</v>
      </c>
      <c r="O382" s="32">
        <v>0</v>
      </c>
      <c r="P382" s="32">
        <v>0</v>
      </c>
      <c r="Q382" s="32">
        <v>0</v>
      </c>
      <c r="R382" s="34">
        <v>0</v>
      </c>
      <c r="S382" s="31">
        <v>0</v>
      </c>
      <c r="T382" s="32">
        <v>0</v>
      </c>
      <c r="U382" s="32">
        <v>0</v>
      </c>
      <c r="V382" s="32">
        <v>0</v>
      </c>
      <c r="W382" s="32">
        <v>0</v>
      </c>
      <c r="X382" s="32">
        <v>0</v>
      </c>
      <c r="Y382" s="32">
        <v>0</v>
      </c>
      <c r="Z382" s="32">
        <v>0</v>
      </c>
      <c r="AA382" s="32">
        <v>0</v>
      </c>
      <c r="AB382" s="32">
        <v>0</v>
      </c>
      <c r="AC382" s="32">
        <v>0</v>
      </c>
      <c r="AD382" s="32">
        <v>0</v>
      </c>
      <c r="AE382" s="32">
        <v>0</v>
      </c>
      <c r="AF382" s="32">
        <v>0</v>
      </c>
      <c r="AG382" s="32">
        <v>0</v>
      </c>
      <c r="AH382" s="68">
        <v>0</v>
      </c>
      <c r="AI382" s="179">
        <f t="shared" si="11"/>
        <v>0</v>
      </c>
    </row>
    <row r="383" spans="1:35" ht="15.75" customHeight="1">
      <c r="A383" s="317">
        <v>2212003016</v>
      </c>
      <c r="B383" s="239" t="s">
        <v>400</v>
      </c>
      <c r="C383" s="316" t="s">
        <v>171</v>
      </c>
      <c r="D383" s="27">
        <v>0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9">
        <v>0</v>
      </c>
      <c r="S383" s="27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28">
        <v>0</v>
      </c>
      <c r="AH383" s="67">
        <v>0</v>
      </c>
      <c r="AI383" s="179">
        <f t="shared" si="11"/>
        <v>0</v>
      </c>
    </row>
    <row r="384" spans="1:35" ht="15.75" customHeight="1">
      <c r="A384" s="343" t="s">
        <v>421</v>
      </c>
      <c r="B384" s="344" t="s">
        <v>401</v>
      </c>
      <c r="C384" s="345" t="s">
        <v>8</v>
      </c>
      <c r="D384" s="55">
        <v>0</v>
      </c>
      <c r="E384" s="56">
        <v>0</v>
      </c>
      <c r="F384" s="56">
        <v>0</v>
      </c>
      <c r="G384" s="56">
        <v>0</v>
      </c>
      <c r="H384" s="56">
        <v>0</v>
      </c>
      <c r="I384" s="56">
        <v>0</v>
      </c>
      <c r="J384" s="56">
        <v>0</v>
      </c>
      <c r="K384" s="56">
        <v>0</v>
      </c>
      <c r="L384" s="56">
        <v>0</v>
      </c>
      <c r="M384" s="56">
        <v>0</v>
      </c>
      <c r="N384" s="56">
        <v>0</v>
      </c>
      <c r="O384" s="56">
        <v>0</v>
      </c>
      <c r="P384" s="56">
        <v>0</v>
      </c>
      <c r="Q384" s="56">
        <v>0</v>
      </c>
      <c r="R384" s="57">
        <v>0</v>
      </c>
      <c r="S384" s="55">
        <v>0</v>
      </c>
      <c r="T384" s="56">
        <v>0</v>
      </c>
      <c r="U384" s="56">
        <v>0</v>
      </c>
      <c r="V384" s="56">
        <v>0</v>
      </c>
      <c r="W384" s="56">
        <v>0</v>
      </c>
      <c r="X384" s="56">
        <v>0</v>
      </c>
      <c r="Y384" s="56">
        <v>0</v>
      </c>
      <c r="Z384" s="56">
        <v>0</v>
      </c>
      <c r="AA384" s="56">
        <v>0</v>
      </c>
      <c r="AB384" s="56">
        <v>0</v>
      </c>
      <c r="AC384" s="56">
        <v>0</v>
      </c>
      <c r="AD384" s="56">
        <v>0</v>
      </c>
      <c r="AE384" s="56">
        <v>0</v>
      </c>
      <c r="AF384" s="56">
        <v>0</v>
      </c>
      <c r="AG384" s="56">
        <v>0</v>
      </c>
      <c r="AH384" s="346">
        <v>0</v>
      </c>
      <c r="AI384" s="348">
        <f t="shared" si="11"/>
        <v>0</v>
      </c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6">
    <mergeCell ref="A190:AI190"/>
    <mergeCell ref="A225:AI225"/>
    <mergeCell ref="A262:AI262"/>
    <mergeCell ref="A281:AI281"/>
    <mergeCell ref="A3:AI3"/>
    <mergeCell ref="A90:AI90"/>
    <mergeCell ref="A112:AI112"/>
    <mergeCell ref="A132:AI132"/>
    <mergeCell ref="A142:AI142"/>
    <mergeCell ref="A153:AI153"/>
    <mergeCell ref="A164:AI164"/>
    <mergeCell ref="AG1:AG2"/>
    <mergeCell ref="AH1:AH2"/>
    <mergeCell ref="AI1:AI2"/>
    <mergeCell ref="V1:V2"/>
    <mergeCell ref="W1:W2"/>
    <mergeCell ref="X1:X2"/>
    <mergeCell ref="Y1:Y2"/>
    <mergeCell ref="Z1:Z2"/>
    <mergeCell ref="AA1:AA2"/>
    <mergeCell ref="AB1:AB2"/>
    <mergeCell ref="U1:U2"/>
    <mergeCell ref="AC1:AC2"/>
    <mergeCell ref="AD1:AD2"/>
    <mergeCell ref="AE1:AE2"/>
    <mergeCell ref="AF1:AF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I998"/>
  <sheetViews>
    <sheetView workbookViewId="0"/>
  </sheetViews>
  <sheetFormatPr baseColWidth="10" defaultColWidth="12.5703125" defaultRowHeight="15" customHeight="1"/>
  <cols>
    <col min="1" max="1" width="10.5703125" customWidth="1"/>
    <col min="2" max="2" width="38.140625" customWidth="1"/>
    <col min="3" max="3" width="6.42578125" customWidth="1"/>
    <col min="4" max="34" width="3.85546875" customWidth="1"/>
    <col min="35" max="35" width="6.42578125" customWidth="1"/>
  </cols>
  <sheetData>
    <row r="1" spans="1:35" ht="15.75" customHeight="1">
      <c r="A1" s="600" t="s">
        <v>2</v>
      </c>
      <c r="B1" s="600" t="s">
        <v>0</v>
      </c>
      <c r="C1" s="621" t="s">
        <v>1</v>
      </c>
      <c r="D1" s="600">
        <v>1</v>
      </c>
      <c r="E1" s="600">
        <v>2</v>
      </c>
      <c r="F1" s="600">
        <v>3</v>
      </c>
      <c r="G1" s="600">
        <v>4</v>
      </c>
      <c r="H1" s="600">
        <v>5</v>
      </c>
      <c r="I1" s="600">
        <v>6</v>
      </c>
      <c r="J1" s="600">
        <v>7</v>
      </c>
      <c r="K1" s="600">
        <v>8</v>
      </c>
      <c r="L1" s="600">
        <v>9</v>
      </c>
      <c r="M1" s="600">
        <v>10</v>
      </c>
      <c r="N1" s="600">
        <v>11</v>
      </c>
      <c r="O1" s="600">
        <v>12</v>
      </c>
      <c r="P1" s="600">
        <v>13</v>
      </c>
      <c r="Q1" s="600">
        <v>14</v>
      </c>
      <c r="R1" s="600">
        <v>15</v>
      </c>
      <c r="S1" s="600">
        <v>16</v>
      </c>
      <c r="T1" s="600">
        <v>17</v>
      </c>
      <c r="U1" s="600">
        <v>18</v>
      </c>
      <c r="V1" s="600">
        <v>19</v>
      </c>
      <c r="W1" s="600">
        <v>20</v>
      </c>
      <c r="X1" s="600">
        <v>21</v>
      </c>
      <c r="Y1" s="600">
        <v>22</v>
      </c>
      <c r="Z1" s="600">
        <v>23</v>
      </c>
      <c r="AA1" s="600">
        <v>24</v>
      </c>
      <c r="AB1" s="600">
        <v>25</v>
      </c>
      <c r="AC1" s="600">
        <v>26</v>
      </c>
      <c r="AD1" s="600">
        <v>27</v>
      </c>
      <c r="AE1" s="600">
        <v>28</v>
      </c>
      <c r="AF1" s="600">
        <v>29</v>
      </c>
      <c r="AG1" s="600">
        <v>30</v>
      </c>
      <c r="AH1" s="600">
        <v>31</v>
      </c>
      <c r="AI1" s="622" t="s">
        <v>3</v>
      </c>
    </row>
    <row r="2" spans="1:35" ht="18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</row>
    <row r="3" spans="1:35" ht="18.75" customHeight="1">
      <c r="A3" s="613" t="s">
        <v>4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14"/>
    </row>
    <row r="4" spans="1:35" ht="15.75" customHeight="1">
      <c r="A4" s="3">
        <v>2212004001</v>
      </c>
      <c r="B4" s="4" t="s">
        <v>5</v>
      </c>
      <c r="C4" s="13" t="s">
        <v>6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21">
        <f t="shared" ref="AI4:AI34" si="0">SUM(D4:AH4)</f>
        <v>0</v>
      </c>
    </row>
    <row r="5" spans="1:35" ht="15.75" customHeight="1">
      <c r="A5" s="10">
        <v>2212004002</v>
      </c>
      <c r="B5" s="11" t="s">
        <v>7</v>
      </c>
      <c r="C5" s="23" t="s">
        <v>8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25">
        <f t="shared" si="0"/>
        <v>0</v>
      </c>
    </row>
    <row r="6" spans="1:35" ht="15.75" customHeight="1">
      <c r="A6" s="10">
        <v>2212004003</v>
      </c>
      <c r="B6" s="11" t="s">
        <v>9</v>
      </c>
      <c r="C6" s="23" t="s">
        <v>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25">
        <f t="shared" si="0"/>
        <v>0</v>
      </c>
    </row>
    <row r="7" spans="1:35" ht="15.75" customHeight="1">
      <c r="A7" s="10">
        <v>2212004004</v>
      </c>
      <c r="B7" s="11" t="s">
        <v>10</v>
      </c>
      <c r="C7" s="23" t="s">
        <v>6</v>
      </c>
      <c r="D7" s="14">
        <v>30</v>
      </c>
      <c r="E7" s="14">
        <v>40</v>
      </c>
      <c r="F7" s="14">
        <v>0</v>
      </c>
      <c r="G7" s="14">
        <v>40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25">
        <f t="shared" si="0"/>
        <v>110</v>
      </c>
    </row>
    <row r="8" spans="1:35" ht="15.75" customHeight="1">
      <c r="A8" s="10">
        <v>2212004005</v>
      </c>
      <c r="B8" s="11" t="s">
        <v>11</v>
      </c>
      <c r="C8" s="23" t="s">
        <v>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25">
        <f t="shared" si="0"/>
        <v>0</v>
      </c>
    </row>
    <row r="9" spans="1:35" ht="15.75" customHeight="1">
      <c r="A9" s="10">
        <v>2212004006</v>
      </c>
      <c r="B9" s="11" t="s">
        <v>12</v>
      </c>
      <c r="C9" s="23" t="s">
        <v>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25">
        <f t="shared" si="0"/>
        <v>0</v>
      </c>
    </row>
    <row r="10" spans="1:35" ht="15.75" customHeight="1">
      <c r="A10" s="10">
        <v>2212004007</v>
      </c>
      <c r="B10" s="11" t="s">
        <v>13</v>
      </c>
      <c r="C10" s="23" t="s">
        <v>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25">
        <f t="shared" si="0"/>
        <v>0</v>
      </c>
    </row>
    <row r="11" spans="1:35" ht="15.75" customHeight="1">
      <c r="A11" s="10">
        <v>2212004008</v>
      </c>
      <c r="B11" s="11" t="s">
        <v>14</v>
      </c>
      <c r="C11" s="23" t="s">
        <v>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25">
        <f t="shared" si="0"/>
        <v>0</v>
      </c>
    </row>
    <row r="12" spans="1:35" ht="15.75" customHeight="1">
      <c r="A12" s="10">
        <v>2212004009</v>
      </c>
      <c r="B12" s="11" t="s">
        <v>15</v>
      </c>
      <c r="C12" s="23" t="s">
        <v>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25">
        <f t="shared" si="0"/>
        <v>0</v>
      </c>
    </row>
    <row r="13" spans="1:35" ht="15.75" customHeight="1">
      <c r="A13" s="10">
        <v>2212004011</v>
      </c>
      <c r="B13" s="11" t="s">
        <v>16</v>
      </c>
      <c r="C13" s="23" t="s">
        <v>6</v>
      </c>
      <c r="D13" s="14">
        <v>0</v>
      </c>
      <c r="E13" s="14">
        <v>20</v>
      </c>
      <c r="F13" s="14">
        <v>0</v>
      </c>
      <c r="G13" s="14">
        <v>0</v>
      </c>
      <c r="H13" s="14">
        <v>45</v>
      </c>
      <c r="I13" s="14">
        <v>20</v>
      </c>
      <c r="J13" s="14">
        <v>0</v>
      </c>
      <c r="K13" s="14">
        <v>0</v>
      </c>
      <c r="L13" s="14">
        <v>20</v>
      </c>
      <c r="M13" s="14">
        <v>0</v>
      </c>
      <c r="N13" s="14">
        <v>30</v>
      </c>
      <c r="O13" s="14">
        <v>0</v>
      </c>
      <c r="P13" s="14">
        <v>45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70</v>
      </c>
      <c r="W13" s="14">
        <v>20</v>
      </c>
      <c r="X13" s="14">
        <v>20</v>
      </c>
      <c r="Y13" s="14">
        <v>0</v>
      </c>
      <c r="Z13" s="14">
        <v>20</v>
      </c>
      <c r="AA13" s="14">
        <v>0</v>
      </c>
      <c r="AB13" s="14">
        <v>20</v>
      </c>
      <c r="AC13" s="14">
        <v>30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25">
        <f t="shared" si="0"/>
        <v>360</v>
      </c>
    </row>
    <row r="14" spans="1:35" ht="15.75" customHeight="1">
      <c r="A14" s="10">
        <v>2212004012</v>
      </c>
      <c r="B14" s="11" t="s">
        <v>17</v>
      </c>
      <c r="C14" s="23" t="s">
        <v>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25">
        <f t="shared" si="0"/>
        <v>0</v>
      </c>
    </row>
    <row r="15" spans="1:35" ht="15.75" customHeight="1">
      <c r="A15" s="10">
        <v>2212004013</v>
      </c>
      <c r="B15" s="11" t="s">
        <v>18</v>
      </c>
      <c r="C15" s="23" t="s">
        <v>6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25">
        <f t="shared" si="0"/>
        <v>0</v>
      </c>
    </row>
    <row r="16" spans="1:35" ht="15.75" customHeight="1">
      <c r="A16" s="10">
        <v>2212004014</v>
      </c>
      <c r="B16" s="11" t="s">
        <v>19</v>
      </c>
      <c r="C16" s="23" t="s">
        <v>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25">
        <f t="shared" si="0"/>
        <v>0</v>
      </c>
    </row>
    <row r="17" spans="1:35" ht="15.75" customHeight="1">
      <c r="A17" s="10">
        <v>2212004015</v>
      </c>
      <c r="B17" s="11" t="s">
        <v>20</v>
      </c>
      <c r="C17" s="23" t="s">
        <v>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25">
        <f t="shared" si="0"/>
        <v>0</v>
      </c>
    </row>
    <row r="18" spans="1:35" ht="15.75" customHeight="1">
      <c r="A18" s="10">
        <v>2212004016</v>
      </c>
      <c r="B18" s="11" t="s">
        <v>21</v>
      </c>
      <c r="C18" s="23" t="s">
        <v>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25">
        <f t="shared" si="0"/>
        <v>0</v>
      </c>
    </row>
    <row r="19" spans="1:35" ht="15.75" customHeight="1">
      <c r="A19" s="10">
        <v>2212004017</v>
      </c>
      <c r="B19" s="11" t="s">
        <v>22</v>
      </c>
      <c r="C19" s="23" t="s">
        <v>6</v>
      </c>
      <c r="D19" s="14">
        <v>25</v>
      </c>
      <c r="E19" s="14">
        <v>0</v>
      </c>
      <c r="F19" s="14">
        <v>20</v>
      </c>
      <c r="G19" s="14">
        <v>0</v>
      </c>
      <c r="H19" s="14">
        <v>0</v>
      </c>
      <c r="I19" s="14">
        <v>0</v>
      </c>
      <c r="J19" s="14">
        <v>20</v>
      </c>
      <c r="K19" s="14">
        <v>20</v>
      </c>
      <c r="L19" s="14">
        <v>20</v>
      </c>
      <c r="M19" s="14">
        <v>30</v>
      </c>
      <c r="N19" s="14">
        <v>20</v>
      </c>
      <c r="O19" s="14">
        <v>20</v>
      </c>
      <c r="P19" s="14">
        <v>0</v>
      </c>
      <c r="Q19" s="14">
        <v>30</v>
      </c>
      <c r="R19" s="14">
        <v>20</v>
      </c>
      <c r="S19" s="14">
        <v>20</v>
      </c>
      <c r="T19" s="14">
        <v>20</v>
      </c>
      <c r="U19" s="14">
        <v>20</v>
      </c>
      <c r="V19" s="14">
        <v>0</v>
      </c>
      <c r="W19" s="14">
        <v>0</v>
      </c>
      <c r="X19" s="14">
        <v>0</v>
      </c>
      <c r="Y19" s="14">
        <v>25</v>
      </c>
      <c r="Z19" s="14">
        <v>0</v>
      </c>
      <c r="AA19" s="14">
        <v>30</v>
      </c>
      <c r="AB19" s="14">
        <v>20</v>
      </c>
      <c r="AC19" s="14">
        <v>0</v>
      </c>
      <c r="AD19" s="14">
        <v>40</v>
      </c>
      <c r="AE19" s="14">
        <v>20</v>
      </c>
      <c r="AF19" s="14">
        <v>20</v>
      </c>
      <c r="AG19" s="14">
        <v>20</v>
      </c>
      <c r="AH19" s="14">
        <v>20</v>
      </c>
      <c r="AI19" s="25">
        <f t="shared" si="0"/>
        <v>480</v>
      </c>
    </row>
    <row r="20" spans="1:35" ht="15.75" customHeight="1">
      <c r="A20" s="10">
        <v>2212004018</v>
      </c>
      <c r="B20" s="11" t="s">
        <v>23</v>
      </c>
      <c r="C20" s="23" t="s">
        <v>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25">
        <f t="shared" si="0"/>
        <v>0</v>
      </c>
    </row>
    <row r="21" spans="1:35" ht="15.75" customHeight="1">
      <c r="A21" s="10">
        <v>2212004019</v>
      </c>
      <c r="B21" s="11" t="s">
        <v>24</v>
      </c>
      <c r="C21" s="23" t="s">
        <v>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25">
        <f t="shared" si="0"/>
        <v>0</v>
      </c>
    </row>
    <row r="22" spans="1:35" ht="15.75" customHeight="1">
      <c r="A22" s="10">
        <v>2212004020</v>
      </c>
      <c r="B22" s="11" t="s">
        <v>25</v>
      </c>
      <c r="C22" s="23" t="s">
        <v>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20</v>
      </c>
      <c r="L22" s="14">
        <v>0</v>
      </c>
      <c r="M22" s="14">
        <v>0</v>
      </c>
      <c r="N22" s="14">
        <v>0</v>
      </c>
      <c r="O22" s="14">
        <v>0</v>
      </c>
      <c r="P22" s="14">
        <v>30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20</v>
      </c>
      <c r="X22" s="14">
        <v>0</v>
      </c>
      <c r="Y22" s="14">
        <v>0</v>
      </c>
      <c r="Z22" s="14">
        <v>20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25">
        <f t="shared" si="0"/>
        <v>90</v>
      </c>
    </row>
    <row r="23" spans="1:35" ht="15.75" customHeight="1">
      <c r="A23" s="10">
        <v>2212004021</v>
      </c>
      <c r="B23" s="11" t="s">
        <v>26</v>
      </c>
      <c r="C23" s="23" t="s">
        <v>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25">
        <f t="shared" si="0"/>
        <v>0</v>
      </c>
    </row>
    <row r="24" spans="1:35" ht="15.75" customHeight="1">
      <c r="A24" s="10">
        <v>2212004022</v>
      </c>
      <c r="B24" s="11" t="s">
        <v>27</v>
      </c>
      <c r="C24" s="23" t="s">
        <v>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25">
        <f t="shared" si="0"/>
        <v>0</v>
      </c>
    </row>
    <row r="25" spans="1:35" ht="15.75" customHeight="1">
      <c r="A25" s="10">
        <v>2212004023</v>
      </c>
      <c r="B25" s="11" t="s">
        <v>28</v>
      </c>
      <c r="C25" s="23" t="s">
        <v>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25">
        <f t="shared" si="0"/>
        <v>0</v>
      </c>
    </row>
    <row r="26" spans="1:35" ht="15.75" customHeight="1">
      <c r="A26" s="10">
        <v>2212004025</v>
      </c>
      <c r="B26" s="11" t="s">
        <v>29</v>
      </c>
      <c r="C26" s="23" t="s">
        <v>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25">
        <f t="shared" si="0"/>
        <v>0</v>
      </c>
    </row>
    <row r="27" spans="1:35" ht="15.75" customHeight="1">
      <c r="A27" s="33">
        <v>2212004028</v>
      </c>
      <c r="B27" s="36" t="s">
        <v>30</v>
      </c>
      <c r="C27" s="23" t="s">
        <v>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25">
        <f t="shared" si="0"/>
        <v>0</v>
      </c>
    </row>
    <row r="28" spans="1:35" ht="15.75" customHeight="1">
      <c r="A28" s="10">
        <v>2212004029</v>
      </c>
      <c r="B28" s="11" t="s">
        <v>31</v>
      </c>
      <c r="C28" s="23" t="s">
        <v>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25">
        <f t="shared" si="0"/>
        <v>0</v>
      </c>
    </row>
    <row r="29" spans="1:35" ht="15.75" customHeight="1">
      <c r="A29" s="10">
        <v>2212004030</v>
      </c>
      <c r="B29" s="11" t="s">
        <v>32</v>
      </c>
      <c r="C29" s="23" t="s">
        <v>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20</v>
      </c>
      <c r="J29" s="14">
        <v>20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20</v>
      </c>
      <c r="S29" s="14">
        <v>0</v>
      </c>
      <c r="T29" s="14">
        <v>20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25">
        <f t="shared" si="0"/>
        <v>80</v>
      </c>
    </row>
    <row r="30" spans="1:35" ht="15.75" customHeight="1">
      <c r="A30" s="10">
        <v>2212004031</v>
      </c>
      <c r="B30" s="11" t="s">
        <v>33</v>
      </c>
      <c r="C30" s="23" t="s">
        <v>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25">
        <f t="shared" si="0"/>
        <v>0</v>
      </c>
    </row>
    <row r="31" spans="1:35" ht="15.75" customHeight="1">
      <c r="A31" s="10">
        <v>2212004032</v>
      </c>
      <c r="B31" s="11" t="s">
        <v>34</v>
      </c>
      <c r="C31" s="23" t="s">
        <v>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25">
        <f t="shared" si="0"/>
        <v>0</v>
      </c>
    </row>
    <row r="32" spans="1:35" ht="15.75" customHeight="1">
      <c r="A32" s="10">
        <v>2212004034</v>
      </c>
      <c r="B32" s="11" t="s">
        <v>35</v>
      </c>
      <c r="C32" s="23" t="s">
        <v>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25">
        <f t="shared" si="0"/>
        <v>0</v>
      </c>
    </row>
    <row r="33" spans="1:35" ht="15.75" customHeight="1">
      <c r="A33" s="10">
        <v>2212004035</v>
      </c>
      <c r="B33" s="11" t="s">
        <v>36</v>
      </c>
      <c r="C33" s="23" t="s">
        <v>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25">
        <f t="shared" si="0"/>
        <v>0</v>
      </c>
    </row>
    <row r="34" spans="1:35" ht="15.75" customHeight="1">
      <c r="A34" s="37">
        <v>2212004038</v>
      </c>
      <c r="B34" s="38" t="s">
        <v>37</v>
      </c>
      <c r="C34" s="52" t="s">
        <v>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25">
        <f t="shared" si="0"/>
        <v>0</v>
      </c>
    </row>
    <row r="35" spans="1:35" ht="18.75" customHeight="1">
      <c r="A35" s="637" t="s">
        <v>38</v>
      </c>
      <c r="B35" s="631"/>
      <c r="C35" s="631"/>
      <c r="D35" s="631"/>
      <c r="E35" s="631"/>
      <c r="F35" s="631"/>
      <c r="G35" s="631"/>
      <c r="H35" s="631"/>
      <c r="I35" s="631"/>
      <c r="J35" s="631"/>
      <c r="K35" s="631"/>
      <c r="L35" s="631"/>
      <c r="M35" s="631"/>
      <c r="N35" s="631"/>
      <c r="O35" s="631"/>
      <c r="P35" s="631"/>
      <c r="Q35" s="631"/>
      <c r="R35" s="631"/>
      <c r="S35" s="631"/>
      <c r="T35" s="631"/>
      <c r="U35" s="631"/>
      <c r="V35" s="631"/>
      <c r="W35" s="631"/>
      <c r="X35" s="631"/>
      <c r="Y35" s="631"/>
      <c r="Z35" s="631"/>
      <c r="AA35" s="631"/>
      <c r="AB35" s="631"/>
      <c r="AC35" s="631"/>
      <c r="AD35" s="631"/>
      <c r="AE35" s="631"/>
      <c r="AF35" s="631"/>
      <c r="AG35" s="631"/>
      <c r="AH35" s="631"/>
      <c r="AI35" s="632"/>
    </row>
    <row r="36" spans="1:35" ht="15.75" customHeight="1">
      <c r="A36" s="45">
        <v>2212010003</v>
      </c>
      <c r="B36" s="46" t="s">
        <v>39</v>
      </c>
      <c r="C36" s="54" t="s">
        <v>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25">
        <f t="shared" ref="AI36:AI89" si="1">SUM(D36:AH36)</f>
        <v>0</v>
      </c>
    </row>
    <row r="37" spans="1:35" ht="15.75" customHeight="1">
      <c r="A37" s="49">
        <v>2212010004</v>
      </c>
      <c r="B37" s="50" t="s">
        <v>40</v>
      </c>
      <c r="C37" s="59" t="s">
        <v>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25">
        <f t="shared" si="1"/>
        <v>0</v>
      </c>
    </row>
    <row r="38" spans="1:35" ht="15.75" customHeight="1">
      <c r="A38" s="49">
        <v>2212010005</v>
      </c>
      <c r="B38" s="50" t="s">
        <v>41</v>
      </c>
      <c r="C38" s="59" t="s">
        <v>42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25">
        <f t="shared" si="1"/>
        <v>0</v>
      </c>
    </row>
    <row r="39" spans="1:35" ht="15.75" customHeight="1">
      <c r="A39" s="49">
        <v>2212010006</v>
      </c>
      <c r="B39" s="50" t="s">
        <v>43</v>
      </c>
      <c r="C39" s="59" t="s">
        <v>42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25">
        <f t="shared" si="1"/>
        <v>0</v>
      </c>
    </row>
    <row r="40" spans="1:35" ht="15.75" customHeight="1">
      <c r="A40" s="49">
        <v>2212010007</v>
      </c>
      <c r="B40" s="50" t="s">
        <v>44</v>
      </c>
      <c r="C40" s="59" t="s">
        <v>42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25">
        <f t="shared" si="1"/>
        <v>0</v>
      </c>
    </row>
    <row r="41" spans="1:35" ht="15.75" customHeight="1">
      <c r="A41" s="49">
        <v>2212010008</v>
      </c>
      <c r="B41" s="50" t="s">
        <v>45</v>
      </c>
      <c r="C41" s="59" t="s">
        <v>6</v>
      </c>
      <c r="D41" s="14">
        <v>10</v>
      </c>
      <c r="E41" s="14">
        <v>0</v>
      </c>
      <c r="F41" s="14">
        <v>10</v>
      </c>
      <c r="G41" s="14">
        <v>10</v>
      </c>
      <c r="H41" s="14">
        <v>0</v>
      </c>
      <c r="I41" s="14">
        <v>10</v>
      </c>
      <c r="J41" s="14">
        <v>0</v>
      </c>
      <c r="K41" s="14">
        <v>0</v>
      </c>
      <c r="L41" s="14">
        <v>10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10</v>
      </c>
      <c r="S41" s="14">
        <v>0</v>
      </c>
      <c r="T41" s="14">
        <v>0</v>
      </c>
      <c r="U41" s="14">
        <v>5</v>
      </c>
      <c r="V41" s="14">
        <v>0</v>
      </c>
      <c r="W41" s="14">
        <v>10</v>
      </c>
      <c r="X41" s="14">
        <v>10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10</v>
      </c>
      <c r="AH41" s="14">
        <v>0</v>
      </c>
      <c r="AI41" s="25">
        <f t="shared" si="1"/>
        <v>95</v>
      </c>
    </row>
    <row r="42" spans="1:35" ht="15.75" customHeight="1">
      <c r="A42" s="49">
        <v>2212010009</v>
      </c>
      <c r="B42" s="50" t="s">
        <v>46</v>
      </c>
      <c r="C42" s="59" t="s">
        <v>6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25">
        <f t="shared" si="1"/>
        <v>1</v>
      </c>
    </row>
    <row r="43" spans="1:35" ht="15.75" customHeight="1">
      <c r="A43" s="49">
        <v>2212010010</v>
      </c>
      <c r="B43" s="50" t="s">
        <v>47</v>
      </c>
      <c r="C43" s="59" t="s">
        <v>42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25">
        <f t="shared" si="1"/>
        <v>0</v>
      </c>
    </row>
    <row r="44" spans="1:35" ht="15.75" customHeight="1">
      <c r="A44" s="49">
        <v>2212010011</v>
      </c>
      <c r="B44" s="50" t="s">
        <v>48</v>
      </c>
      <c r="C44" s="59" t="s">
        <v>6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25">
        <f t="shared" si="1"/>
        <v>0</v>
      </c>
    </row>
    <row r="45" spans="1:35" ht="15.75" customHeight="1">
      <c r="A45" s="49">
        <v>2212010012</v>
      </c>
      <c r="B45" s="50" t="s">
        <v>49</v>
      </c>
      <c r="C45" s="59" t="s">
        <v>6</v>
      </c>
      <c r="D45" s="14">
        <v>17</v>
      </c>
      <c r="E45" s="14">
        <v>7</v>
      </c>
      <c r="F45" s="14">
        <v>43</v>
      </c>
      <c r="G45" s="14">
        <v>7</v>
      </c>
      <c r="H45" s="14">
        <v>7</v>
      </c>
      <c r="I45" s="14">
        <v>15</v>
      </c>
      <c r="J45" s="14">
        <v>17</v>
      </c>
      <c r="K45" s="14">
        <v>5</v>
      </c>
      <c r="L45" s="14">
        <v>5</v>
      </c>
      <c r="M45" s="14">
        <v>5</v>
      </c>
      <c r="N45" s="14">
        <v>5</v>
      </c>
      <c r="O45" s="14">
        <v>10</v>
      </c>
      <c r="P45" s="14">
        <v>5</v>
      </c>
      <c r="Q45" s="14">
        <v>5</v>
      </c>
      <c r="R45" s="14">
        <v>7</v>
      </c>
      <c r="S45" s="14">
        <v>5</v>
      </c>
      <c r="T45" s="14">
        <v>0</v>
      </c>
      <c r="U45" s="14">
        <v>13</v>
      </c>
      <c r="V45" s="14">
        <v>7</v>
      </c>
      <c r="W45" s="14">
        <v>7</v>
      </c>
      <c r="X45" s="14">
        <v>35</v>
      </c>
      <c r="Y45" s="14">
        <v>5</v>
      </c>
      <c r="Z45" s="14">
        <v>5</v>
      </c>
      <c r="AA45" s="14">
        <v>5</v>
      </c>
      <c r="AB45" s="14">
        <v>7</v>
      </c>
      <c r="AC45" s="14">
        <v>5</v>
      </c>
      <c r="AD45" s="14">
        <v>5</v>
      </c>
      <c r="AE45" s="14">
        <v>5</v>
      </c>
      <c r="AF45" s="14">
        <v>7</v>
      </c>
      <c r="AG45" s="14">
        <v>17</v>
      </c>
      <c r="AH45" s="14">
        <v>0</v>
      </c>
      <c r="AI45" s="25">
        <f t="shared" si="1"/>
        <v>288</v>
      </c>
    </row>
    <row r="46" spans="1:35" ht="15.75" customHeight="1">
      <c r="A46" s="49">
        <v>2212010013</v>
      </c>
      <c r="B46" s="50" t="s">
        <v>50</v>
      </c>
      <c r="C46" s="59" t="s">
        <v>6</v>
      </c>
      <c r="D46" s="14">
        <v>0</v>
      </c>
      <c r="E46" s="14">
        <v>0</v>
      </c>
      <c r="F46" s="14">
        <v>15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25">
        <f t="shared" si="1"/>
        <v>15</v>
      </c>
    </row>
    <row r="47" spans="1:35" ht="15.75" customHeight="1">
      <c r="A47" s="49">
        <v>2212010014</v>
      </c>
      <c r="B47" s="50" t="s">
        <v>51</v>
      </c>
      <c r="C47" s="59" t="s">
        <v>6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25">
        <f t="shared" si="1"/>
        <v>0</v>
      </c>
    </row>
    <row r="48" spans="1:35" ht="15.75" customHeight="1">
      <c r="A48" s="49">
        <v>2212010015</v>
      </c>
      <c r="B48" s="50" t="s">
        <v>52</v>
      </c>
      <c r="C48" s="59" t="s">
        <v>6</v>
      </c>
      <c r="D48" s="14">
        <v>14</v>
      </c>
      <c r="E48" s="14">
        <v>6</v>
      </c>
      <c r="F48" s="14">
        <v>10</v>
      </c>
      <c r="G48" s="14">
        <v>17</v>
      </c>
      <c r="H48" s="14">
        <v>11</v>
      </c>
      <c r="I48" s="14">
        <v>12</v>
      </c>
      <c r="J48" s="14">
        <v>11</v>
      </c>
      <c r="K48" s="14">
        <v>13</v>
      </c>
      <c r="L48" s="14">
        <v>10</v>
      </c>
      <c r="M48" s="14">
        <v>9</v>
      </c>
      <c r="N48" s="14">
        <v>10</v>
      </c>
      <c r="O48" s="14">
        <v>18</v>
      </c>
      <c r="P48" s="14">
        <v>12</v>
      </c>
      <c r="Q48" s="14">
        <v>10</v>
      </c>
      <c r="R48" s="14">
        <v>8</v>
      </c>
      <c r="S48" s="14">
        <v>6</v>
      </c>
      <c r="T48" s="14">
        <v>16</v>
      </c>
      <c r="U48" s="14">
        <v>15</v>
      </c>
      <c r="V48" s="14">
        <v>17</v>
      </c>
      <c r="W48" s="14">
        <v>18</v>
      </c>
      <c r="X48" s="14">
        <v>13</v>
      </c>
      <c r="Y48" s="14">
        <v>13</v>
      </c>
      <c r="Z48" s="14">
        <v>16</v>
      </c>
      <c r="AA48" s="14">
        <v>15</v>
      </c>
      <c r="AB48" s="14">
        <v>14</v>
      </c>
      <c r="AC48" s="14">
        <v>6</v>
      </c>
      <c r="AD48" s="14">
        <v>11</v>
      </c>
      <c r="AE48" s="14">
        <v>19</v>
      </c>
      <c r="AF48" s="14">
        <v>15</v>
      </c>
      <c r="AG48" s="14">
        <v>16</v>
      </c>
      <c r="AH48" s="14">
        <v>18</v>
      </c>
      <c r="AI48" s="25">
        <f t="shared" si="1"/>
        <v>399</v>
      </c>
    </row>
    <row r="49" spans="1:35" ht="15.75" customHeight="1">
      <c r="A49" s="49">
        <v>2212010016</v>
      </c>
      <c r="B49" s="50" t="s">
        <v>53</v>
      </c>
      <c r="C49" s="59" t="s">
        <v>42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25">
        <f t="shared" si="1"/>
        <v>0</v>
      </c>
    </row>
    <row r="50" spans="1:35" ht="15.75" customHeight="1">
      <c r="A50" s="49">
        <v>2212010017</v>
      </c>
      <c r="B50" s="50" t="s">
        <v>54</v>
      </c>
      <c r="C50" s="59" t="s">
        <v>6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7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7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25">
        <f t="shared" si="1"/>
        <v>14</v>
      </c>
    </row>
    <row r="51" spans="1:35" ht="15.75" customHeight="1">
      <c r="A51" s="49">
        <v>2212010019</v>
      </c>
      <c r="B51" s="50" t="s">
        <v>55</v>
      </c>
      <c r="C51" s="59" t="s">
        <v>6</v>
      </c>
      <c r="D51" s="14">
        <v>17</v>
      </c>
      <c r="E51" s="14">
        <v>7</v>
      </c>
      <c r="F51" s="14">
        <v>8</v>
      </c>
      <c r="G51" s="14">
        <v>7</v>
      </c>
      <c r="H51" s="14">
        <v>7</v>
      </c>
      <c r="I51" s="14">
        <v>15</v>
      </c>
      <c r="J51" s="14">
        <v>17</v>
      </c>
      <c r="K51" s="14">
        <v>5</v>
      </c>
      <c r="L51" s="14">
        <v>5</v>
      </c>
      <c r="M51" s="14">
        <v>5</v>
      </c>
      <c r="N51" s="14">
        <v>5</v>
      </c>
      <c r="O51" s="14">
        <v>10</v>
      </c>
      <c r="P51" s="14">
        <v>5</v>
      </c>
      <c r="Q51" s="14">
        <v>5</v>
      </c>
      <c r="R51" s="14">
        <v>7</v>
      </c>
      <c r="S51" s="14">
        <v>5</v>
      </c>
      <c r="T51" s="14">
        <v>7</v>
      </c>
      <c r="U51" s="14">
        <v>13</v>
      </c>
      <c r="V51" s="14">
        <v>10</v>
      </c>
      <c r="W51" s="14">
        <v>7</v>
      </c>
      <c r="X51" s="14">
        <v>7</v>
      </c>
      <c r="Y51" s="14">
        <v>7</v>
      </c>
      <c r="Z51" s="14">
        <v>5</v>
      </c>
      <c r="AA51" s="14">
        <v>5</v>
      </c>
      <c r="AB51" s="14">
        <v>17</v>
      </c>
      <c r="AC51" s="14">
        <v>7</v>
      </c>
      <c r="AD51" s="14">
        <v>0</v>
      </c>
      <c r="AE51" s="14">
        <v>7</v>
      </c>
      <c r="AF51" s="14">
        <v>7</v>
      </c>
      <c r="AG51" s="14">
        <v>17</v>
      </c>
      <c r="AH51" s="14">
        <v>0</v>
      </c>
      <c r="AI51" s="25">
        <f t="shared" si="1"/>
        <v>246</v>
      </c>
    </row>
    <row r="52" spans="1:35" ht="15.75" customHeight="1">
      <c r="A52" s="49">
        <v>2212010020</v>
      </c>
      <c r="B52" s="50" t="s">
        <v>56</v>
      </c>
      <c r="C52" s="59" t="s">
        <v>6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25">
        <f t="shared" si="1"/>
        <v>0</v>
      </c>
    </row>
    <row r="53" spans="1:35" ht="15.75" customHeight="1">
      <c r="A53" s="49">
        <v>2212010021</v>
      </c>
      <c r="B53" s="50" t="s">
        <v>57</v>
      </c>
      <c r="C53" s="59" t="s">
        <v>6</v>
      </c>
      <c r="D53" s="14">
        <v>4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5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10</v>
      </c>
      <c r="AF53" s="14">
        <v>0</v>
      </c>
      <c r="AG53" s="14">
        <v>0</v>
      </c>
      <c r="AH53" s="14">
        <v>0</v>
      </c>
      <c r="AI53" s="25">
        <f t="shared" si="1"/>
        <v>19</v>
      </c>
    </row>
    <row r="54" spans="1:35" ht="15.75" customHeight="1">
      <c r="A54" s="49">
        <v>2212010022</v>
      </c>
      <c r="B54" s="50" t="s">
        <v>58</v>
      </c>
      <c r="C54" s="59" t="s">
        <v>6</v>
      </c>
      <c r="D54" s="14">
        <v>4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5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5</v>
      </c>
      <c r="AF54" s="14">
        <v>0</v>
      </c>
      <c r="AG54" s="14">
        <v>0</v>
      </c>
      <c r="AH54" s="14">
        <v>0</v>
      </c>
      <c r="AI54" s="25">
        <f t="shared" si="1"/>
        <v>14</v>
      </c>
    </row>
    <row r="55" spans="1:35" ht="15.75" customHeight="1">
      <c r="A55" s="49">
        <v>2212010023</v>
      </c>
      <c r="B55" s="50" t="s">
        <v>59</v>
      </c>
      <c r="C55" s="59" t="s">
        <v>6</v>
      </c>
      <c r="D55" s="14">
        <v>0</v>
      </c>
      <c r="E55" s="14">
        <v>4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5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2</v>
      </c>
      <c r="T55" s="14">
        <v>0</v>
      </c>
      <c r="U55" s="14">
        <v>0</v>
      </c>
      <c r="V55" s="14">
        <v>0</v>
      </c>
      <c r="W55" s="14">
        <v>2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2</v>
      </c>
      <c r="AD55" s="14">
        <v>0</v>
      </c>
      <c r="AE55" s="14">
        <v>4</v>
      </c>
      <c r="AF55" s="14">
        <v>5</v>
      </c>
      <c r="AG55" s="14">
        <v>0</v>
      </c>
      <c r="AH55" s="14">
        <v>0</v>
      </c>
      <c r="AI55" s="25">
        <f t="shared" si="1"/>
        <v>24</v>
      </c>
    </row>
    <row r="56" spans="1:35" ht="15.75" customHeight="1">
      <c r="A56" s="49">
        <v>2212010024</v>
      </c>
      <c r="B56" s="50" t="s">
        <v>60</v>
      </c>
      <c r="C56" s="59" t="s">
        <v>6</v>
      </c>
      <c r="D56" s="14">
        <v>3</v>
      </c>
      <c r="E56" s="14">
        <v>0</v>
      </c>
      <c r="F56" s="14">
        <v>1</v>
      </c>
      <c r="G56" s="14">
        <v>1</v>
      </c>
      <c r="H56" s="14">
        <v>0</v>
      </c>
      <c r="I56" s="14">
        <v>0</v>
      </c>
      <c r="J56" s="14">
        <v>0</v>
      </c>
      <c r="K56" s="14">
        <v>1</v>
      </c>
      <c r="L56" s="14">
        <v>2</v>
      </c>
      <c r="M56" s="14">
        <v>1</v>
      </c>
      <c r="N56" s="14">
        <v>1</v>
      </c>
      <c r="O56" s="14">
        <v>2</v>
      </c>
      <c r="P56" s="14">
        <v>0</v>
      </c>
      <c r="Q56" s="14">
        <v>1</v>
      </c>
      <c r="R56" s="14">
        <v>0</v>
      </c>
      <c r="S56" s="14">
        <v>0</v>
      </c>
      <c r="T56" s="14">
        <v>2</v>
      </c>
      <c r="U56" s="14">
        <v>1</v>
      </c>
      <c r="V56" s="14">
        <v>1</v>
      </c>
      <c r="W56" s="14">
        <v>1</v>
      </c>
      <c r="X56" s="14">
        <v>0</v>
      </c>
      <c r="Y56" s="14">
        <v>2</v>
      </c>
      <c r="Z56" s="14">
        <v>1</v>
      </c>
      <c r="AA56" s="14">
        <v>1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2</v>
      </c>
      <c r="AI56" s="25">
        <f t="shared" si="1"/>
        <v>24</v>
      </c>
    </row>
    <row r="57" spans="1:35" ht="15.75" customHeight="1">
      <c r="A57" s="49">
        <v>2212010025</v>
      </c>
      <c r="B57" s="50" t="s">
        <v>61</v>
      </c>
      <c r="C57" s="59" t="s">
        <v>42</v>
      </c>
      <c r="D57" s="14">
        <v>2</v>
      </c>
      <c r="E57" s="14">
        <v>0</v>
      </c>
      <c r="F57" s="14">
        <v>0</v>
      </c>
      <c r="G57" s="14">
        <v>1</v>
      </c>
      <c r="H57" s="14">
        <v>0</v>
      </c>
      <c r="I57" s="14">
        <v>0</v>
      </c>
      <c r="J57" s="14">
        <v>0</v>
      </c>
      <c r="K57" s="14">
        <v>1</v>
      </c>
      <c r="L57" s="14">
        <v>2</v>
      </c>
      <c r="M57" s="14">
        <v>1</v>
      </c>
      <c r="N57" s="14">
        <v>1</v>
      </c>
      <c r="O57" s="14">
        <v>2</v>
      </c>
      <c r="P57" s="14">
        <v>0</v>
      </c>
      <c r="Q57" s="14">
        <v>1</v>
      </c>
      <c r="R57" s="14">
        <v>0</v>
      </c>
      <c r="S57" s="14">
        <v>0</v>
      </c>
      <c r="T57" s="14">
        <v>1</v>
      </c>
      <c r="U57" s="14">
        <v>1</v>
      </c>
      <c r="V57" s="14">
        <v>1</v>
      </c>
      <c r="W57" s="14">
        <v>1</v>
      </c>
      <c r="X57" s="14">
        <v>0</v>
      </c>
      <c r="Y57" s="14">
        <v>1</v>
      </c>
      <c r="Z57" s="14">
        <v>0</v>
      </c>
      <c r="AA57" s="14">
        <v>1</v>
      </c>
      <c r="AB57" s="14">
        <v>0</v>
      </c>
      <c r="AC57" s="14">
        <v>0</v>
      </c>
      <c r="AD57" s="14">
        <v>0</v>
      </c>
      <c r="AE57" s="14">
        <v>0</v>
      </c>
      <c r="AF57" s="14">
        <v>1</v>
      </c>
      <c r="AG57" s="14">
        <v>0</v>
      </c>
      <c r="AH57" s="14">
        <v>2</v>
      </c>
      <c r="AI57" s="25">
        <f t="shared" si="1"/>
        <v>20</v>
      </c>
    </row>
    <row r="58" spans="1:35" ht="15.75" customHeight="1">
      <c r="A58" s="49">
        <v>2212010026</v>
      </c>
      <c r="B58" s="50" t="s">
        <v>62</v>
      </c>
      <c r="C58" s="59" t="s">
        <v>6</v>
      </c>
      <c r="D58" s="14">
        <v>4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25">
        <f t="shared" si="1"/>
        <v>4</v>
      </c>
    </row>
    <row r="59" spans="1:35" ht="15.75" customHeight="1">
      <c r="A59" s="49">
        <v>2212010027</v>
      </c>
      <c r="B59" s="50" t="s">
        <v>63</v>
      </c>
      <c r="C59" s="59" t="s">
        <v>6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25">
        <f t="shared" si="1"/>
        <v>0</v>
      </c>
    </row>
    <row r="60" spans="1:35" ht="15.75" customHeight="1">
      <c r="A60" s="49">
        <v>2212010028</v>
      </c>
      <c r="B60" s="50" t="s">
        <v>64</v>
      </c>
      <c r="C60" s="59" t="s">
        <v>6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25">
        <f t="shared" si="1"/>
        <v>0</v>
      </c>
    </row>
    <row r="61" spans="1:35" ht="15.75" customHeight="1">
      <c r="A61" s="49">
        <v>2212010029</v>
      </c>
      <c r="B61" s="50" t="s">
        <v>65</v>
      </c>
      <c r="C61" s="59" t="s">
        <v>6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25">
        <f t="shared" si="1"/>
        <v>0</v>
      </c>
    </row>
    <row r="62" spans="1:35" ht="15.75" customHeight="1">
      <c r="A62" s="49">
        <v>2212010030</v>
      </c>
      <c r="B62" s="50" t="s">
        <v>66</v>
      </c>
      <c r="C62" s="59" t="s">
        <v>8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15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15</v>
      </c>
      <c r="AH62" s="14">
        <v>0</v>
      </c>
      <c r="AI62" s="25">
        <f t="shared" si="1"/>
        <v>30</v>
      </c>
    </row>
    <row r="63" spans="1:35" ht="15.75" customHeight="1">
      <c r="A63" s="49">
        <v>2212010031</v>
      </c>
      <c r="B63" s="50" t="s">
        <v>67</v>
      </c>
      <c r="C63" s="59" t="s">
        <v>6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25">
        <f t="shared" si="1"/>
        <v>0</v>
      </c>
    </row>
    <row r="64" spans="1:35" ht="15.75" customHeight="1">
      <c r="A64" s="49">
        <v>2212010032</v>
      </c>
      <c r="B64" s="50" t="s">
        <v>68</v>
      </c>
      <c r="C64" s="59" t="s">
        <v>6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25">
        <f t="shared" si="1"/>
        <v>0</v>
      </c>
    </row>
    <row r="65" spans="1:35" ht="15.75" customHeight="1">
      <c r="A65" s="49">
        <v>2212010033</v>
      </c>
      <c r="B65" s="50" t="s">
        <v>69</v>
      </c>
      <c r="C65" s="59" t="s">
        <v>42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25">
        <f t="shared" si="1"/>
        <v>0</v>
      </c>
    </row>
    <row r="66" spans="1:35" ht="15.75" customHeight="1">
      <c r="A66" s="49">
        <v>2212010034</v>
      </c>
      <c r="B66" s="50" t="s">
        <v>70</v>
      </c>
      <c r="C66" s="59" t="s">
        <v>6</v>
      </c>
      <c r="D66" s="14">
        <v>0</v>
      </c>
      <c r="E66" s="14">
        <v>0</v>
      </c>
      <c r="F66" s="14">
        <v>0</v>
      </c>
      <c r="G66" s="14">
        <v>5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8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25">
        <f t="shared" si="1"/>
        <v>13</v>
      </c>
    </row>
    <row r="67" spans="1:35" ht="15.75" customHeight="1">
      <c r="A67" s="49">
        <v>2212010035</v>
      </c>
      <c r="B67" s="50" t="s">
        <v>71</v>
      </c>
      <c r="C67" s="59" t="s">
        <v>6</v>
      </c>
      <c r="D67" s="14">
        <v>25</v>
      </c>
      <c r="E67" s="14">
        <v>20</v>
      </c>
      <c r="F67" s="14">
        <v>38</v>
      </c>
      <c r="G67" s="14">
        <v>38</v>
      </c>
      <c r="H67" s="14">
        <v>0</v>
      </c>
      <c r="I67" s="14">
        <v>35</v>
      </c>
      <c r="J67" s="14">
        <v>15</v>
      </c>
      <c r="K67" s="14">
        <v>23</v>
      </c>
      <c r="L67" s="14">
        <v>20</v>
      </c>
      <c r="M67" s="14">
        <v>15</v>
      </c>
      <c r="N67" s="14">
        <v>5</v>
      </c>
      <c r="O67" s="14">
        <v>34</v>
      </c>
      <c r="P67" s="14">
        <v>30</v>
      </c>
      <c r="Q67" s="14">
        <v>20</v>
      </c>
      <c r="R67" s="14">
        <v>0</v>
      </c>
      <c r="S67" s="14">
        <v>15</v>
      </c>
      <c r="T67" s="14">
        <v>20</v>
      </c>
      <c r="U67" s="14">
        <v>38</v>
      </c>
      <c r="V67" s="14">
        <v>25</v>
      </c>
      <c r="W67" s="14">
        <v>35</v>
      </c>
      <c r="X67" s="14">
        <v>45</v>
      </c>
      <c r="Y67" s="14">
        <v>9</v>
      </c>
      <c r="Z67" s="14">
        <v>28</v>
      </c>
      <c r="AA67" s="14">
        <v>30</v>
      </c>
      <c r="AB67" s="14">
        <v>40</v>
      </c>
      <c r="AC67" s="14">
        <v>15</v>
      </c>
      <c r="AD67" s="14">
        <v>20</v>
      </c>
      <c r="AE67" s="14">
        <v>40</v>
      </c>
      <c r="AF67" s="14">
        <v>50</v>
      </c>
      <c r="AG67" s="14">
        <v>18</v>
      </c>
      <c r="AH67" s="14">
        <v>35</v>
      </c>
      <c r="AI67" s="25">
        <f t="shared" si="1"/>
        <v>781</v>
      </c>
    </row>
    <row r="68" spans="1:35" ht="15.75" customHeight="1">
      <c r="A68" s="49">
        <v>2212010036</v>
      </c>
      <c r="B68" s="50" t="s">
        <v>72</v>
      </c>
      <c r="C68" s="59" t="s">
        <v>8</v>
      </c>
      <c r="D68" s="14">
        <v>0</v>
      </c>
      <c r="E68" s="14">
        <v>0</v>
      </c>
      <c r="F68" s="14">
        <v>0</v>
      </c>
      <c r="G68" s="14">
        <v>0</v>
      </c>
      <c r="H68" s="14">
        <v>4</v>
      </c>
      <c r="I68" s="14">
        <v>0</v>
      </c>
      <c r="J68" s="14">
        <v>3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4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4</v>
      </c>
      <c r="Y68" s="14">
        <v>0</v>
      </c>
      <c r="Z68" s="14">
        <v>0</v>
      </c>
      <c r="AA68" s="14">
        <v>0</v>
      </c>
      <c r="AB68" s="14">
        <v>0</v>
      </c>
      <c r="AC68" s="14">
        <v>2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25">
        <f t="shared" si="1"/>
        <v>17</v>
      </c>
    </row>
    <row r="69" spans="1:35" ht="15.75" customHeight="1">
      <c r="A69" s="49">
        <v>2212010037</v>
      </c>
      <c r="B69" s="50" t="s">
        <v>73</v>
      </c>
      <c r="C69" s="59" t="s">
        <v>6</v>
      </c>
      <c r="D69" s="14">
        <v>5</v>
      </c>
      <c r="E69" s="14">
        <v>0</v>
      </c>
      <c r="F69" s="14">
        <v>5</v>
      </c>
      <c r="G69" s="14">
        <v>10</v>
      </c>
      <c r="H69" s="14">
        <v>0</v>
      </c>
      <c r="I69" s="14">
        <v>8</v>
      </c>
      <c r="J69" s="14">
        <v>0</v>
      </c>
      <c r="K69" s="14">
        <v>0</v>
      </c>
      <c r="L69" s="14">
        <v>5</v>
      </c>
      <c r="M69" s="14">
        <v>5</v>
      </c>
      <c r="N69" s="14">
        <v>0</v>
      </c>
      <c r="O69" s="14">
        <v>5</v>
      </c>
      <c r="P69" s="14">
        <v>8</v>
      </c>
      <c r="Q69" s="14">
        <v>5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6</v>
      </c>
      <c r="AD69" s="14">
        <v>0</v>
      </c>
      <c r="AE69" s="14">
        <v>0</v>
      </c>
      <c r="AF69" s="14">
        <v>7</v>
      </c>
      <c r="AG69" s="14">
        <v>5</v>
      </c>
      <c r="AH69" s="14">
        <v>0</v>
      </c>
      <c r="AI69" s="25">
        <f t="shared" si="1"/>
        <v>74</v>
      </c>
    </row>
    <row r="70" spans="1:35" ht="15.75" customHeight="1">
      <c r="A70" s="49">
        <v>2212010038</v>
      </c>
      <c r="B70" s="50" t="s">
        <v>74</v>
      </c>
      <c r="C70" s="59" t="s">
        <v>6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10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10</v>
      </c>
      <c r="AH70" s="14">
        <v>0</v>
      </c>
      <c r="AI70" s="25">
        <f t="shared" si="1"/>
        <v>20</v>
      </c>
    </row>
    <row r="71" spans="1:35" ht="15.75" customHeight="1">
      <c r="A71" s="49">
        <v>2212010039</v>
      </c>
      <c r="B71" s="50" t="s">
        <v>75</v>
      </c>
      <c r="C71" s="59" t="s">
        <v>42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25">
        <f t="shared" si="1"/>
        <v>0</v>
      </c>
    </row>
    <row r="72" spans="1:35" ht="15.75" customHeight="1">
      <c r="A72" s="49">
        <v>2212010040</v>
      </c>
      <c r="B72" s="50" t="s">
        <v>76</v>
      </c>
      <c r="C72" s="59" t="s">
        <v>6</v>
      </c>
      <c r="D72" s="14">
        <v>10</v>
      </c>
      <c r="E72" s="14">
        <v>30</v>
      </c>
      <c r="F72" s="14">
        <v>8</v>
      </c>
      <c r="G72" s="14">
        <v>0</v>
      </c>
      <c r="H72" s="14">
        <v>15</v>
      </c>
      <c r="I72" s="14">
        <v>35</v>
      </c>
      <c r="J72" s="14">
        <v>8</v>
      </c>
      <c r="K72" s="14">
        <v>28</v>
      </c>
      <c r="L72" s="14">
        <v>15</v>
      </c>
      <c r="M72" s="14">
        <v>0</v>
      </c>
      <c r="N72" s="14">
        <v>15</v>
      </c>
      <c r="O72" s="14">
        <v>18</v>
      </c>
      <c r="P72" s="14">
        <v>0</v>
      </c>
      <c r="Q72" s="14">
        <v>15</v>
      </c>
      <c r="R72" s="14">
        <v>23</v>
      </c>
      <c r="S72" s="14">
        <v>40</v>
      </c>
      <c r="T72" s="14">
        <v>30</v>
      </c>
      <c r="U72" s="14">
        <v>8</v>
      </c>
      <c r="V72" s="14">
        <v>10</v>
      </c>
      <c r="W72" s="14">
        <v>15</v>
      </c>
      <c r="X72" s="14">
        <v>17</v>
      </c>
      <c r="Y72" s="14">
        <v>7</v>
      </c>
      <c r="Z72" s="14">
        <v>40</v>
      </c>
      <c r="AA72" s="14">
        <v>57</v>
      </c>
      <c r="AB72" s="14">
        <v>42</v>
      </c>
      <c r="AC72" s="14">
        <v>5</v>
      </c>
      <c r="AD72" s="14">
        <v>22</v>
      </c>
      <c r="AE72" s="14">
        <v>18</v>
      </c>
      <c r="AF72" s="14">
        <v>15</v>
      </c>
      <c r="AG72" s="14">
        <v>8</v>
      </c>
      <c r="AH72" s="14">
        <v>0</v>
      </c>
      <c r="AI72" s="25">
        <f t="shared" si="1"/>
        <v>554</v>
      </c>
    </row>
    <row r="73" spans="1:35" ht="15.75" customHeight="1">
      <c r="A73" s="49">
        <v>2212010041</v>
      </c>
      <c r="B73" s="50" t="s">
        <v>77</v>
      </c>
      <c r="C73" s="59" t="s">
        <v>6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15</v>
      </c>
      <c r="J73" s="14">
        <v>0</v>
      </c>
      <c r="K73" s="14">
        <v>0</v>
      </c>
      <c r="L73" s="14">
        <v>0</v>
      </c>
      <c r="M73" s="14">
        <v>10</v>
      </c>
      <c r="N73" s="14">
        <v>0</v>
      </c>
      <c r="O73" s="14">
        <v>12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25">
        <f t="shared" si="1"/>
        <v>37</v>
      </c>
    </row>
    <row r="74" spans="1:35" ht="15.75" customHeight="1">
      <c r="A74" s="49">
        <v>2212010042</v>
      </c>
      <c r="B74" s="50" t="s">
        <v>78</v>
      </c>
      <c r="C74" s="59" t="s">
        <v>6</v>
      </c>
      <c r="D74" s="14">
        <v>0</v>
      </c>
      <c r="E74" s="14">
        <v>0</v>
      </c>
      <c r="F74" s="14">
        <v>0</v>
      </c>
      <c r="G74" s="14">
        <v>5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25">
        <f t="shared" si="1"/>
        <v>5</v>
      </c>
    </row>
    <row r="75" spans="1:35" ht="15.75" customHeight="1">
      <c r="A75" s="49">
        <v>2212010043</v>
      </c>
      <c r="B75" s="50" t="s">
        <v>79</v>
      </c>
      <c r="C75" s="59" t="s">
        <v>42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25">
        <f t="shared" si="1"/>
        <v>0</v>
      </c>
    </row>
    <row r="76" spans="1:35" ht="15.75" customHeight="1">
      <c r="A76" s="49">
        <v>2212010044</v>
      </c>
      <c r="B76" s="50" t="s">
        <v>80</v>
      </c>
      <c r="C76" s="59" t="s">
        <v>42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25">
        <f t="shared" si="1"/>
        <v>0</v>
      </c>
    </row>
    <row r="77" spans="1:35" ht="15.75" customHeight="1">
      <c r="A77" s="49">
        <v>2212010046</v>
      </c>
      <c r="B77" s="50" t="s">
        <v>81</v>
      </c>
      <c r="C77" s="59" t="s">
        <v>42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25">
        <f t="shared" si="1"/>
        <v>0</v>
      </c>
    </row>
    <row r="78" spans="1:35" ht="15.75" customHeight="1">
      <c r="A78" s="49">
        <v>2212010047</v>
      </c>
      <c r="B78" s="50" t="s">
        <v>82</v>
      </c>
      <c r="C78" s="59" t="s">
        <v>6</v>
      </c>
      <c r="D78" s="14">
        <v>20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15</v>
      </c>
      <c r="L78" s="14">
        <v>15</v>
      </c>
      <c r="M78" s="14">
        <v>15</v>
      </c>
      <c r="N78" s="14">
        <v>35</v>
      </c>
      <c r="O78" s="14">
        <v>0</v>
      </c>
      <c r="P78" s="14">
        <v>10</v>
      </c>
      <c r="Q78" s="14">
        <v>20</v>
      </c>
      <c r="R78" s="14">
        <v>0</v>
      </c>
      <c r="S78" s="14">
        <v>0</v>
      </c>
      <c r="T78" s="14">
        <v>30</v>
      </c>
      <c r="U78" s="14">
        <v>0</v>
      </c>
      <c r="V78" s="14">
        <v>25</v>
      </c>
      <c r="W78" s="14">
        <v>0</v>
      </c>
      <c r="X78" s="14">
        <v>0</v>
      </c>
      <c r="Y78" s="14">
        <v>45</v>
      </c>
      <c r="Z78" s="14">
        <v>25</v>
      </c>
      <c r="AA78" s="14">
        <v>20</v>
      </c>
      <c r="AB78" s="14">
        <v>0</v>
      </c>
      <c r="AC78" s="14">
        <v>0</v>
      </c>
      <c r="AD78" s="14">
        <v>15</v>
      </c>
      <c r="AE78" s="14">
        <v>0</v>
      </c>
      <c r="AF78" s="14">
        <v>0</v>
      </c>
      <c r="AG78" s="14">
        <v>0</v>
      </c>
      <c r="AH78" s="14">
        <v>20</v>
      </c>
      <c r="AI78" s="25">
        <f t="shared" si="1"/>
        <v>310</v>
      </c>
    </row>
    <row r="79" spans="1:35" ht="15.75" customHeight="1">
      <c r="A79" s="49">
        <v>2212010048</v>
      </c>
      <c r="B79" s="50" t="s">
        <v>83</v>
      </c>
      <c r="C79" s="59" t="s">
        <v>6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25">
        <f t="shared" si="1"/>
        <v>0</v>
      </c>
    </row>
    <row r="80" spans="1:35" ht="15.75" customHeight="1">
      <c r="A80" s="49">
        <v>2212010049</v>
      </c>
      <c r="B80" s="50" t="s">
        <v>84</v>
      </c>
      <c r="C80" s="59" t="s">
        <v>6</v>
      </c>
      <c r="D80" s="14">
        <v>10</v>
      </c>
      <c r="E80" s="14">
        <v>0</v>
      </c>
      <c r="F80" s="14">
        <v>8</v>
      </c>
      <c r="G80" s="14">
        <v>0</v>
      </c>
      <c r="H80" s="14">
        <v>10</v>
      </c>
      <c r="I80" s="14">
        <v>15</v>
      </c>
      <c r="J80" s="14">
        <v>8</v>
      </c>
      <c r="K80" s="14">
        <v>5</v>
      </c>
      <c r="L80" s="14">
        <v>15</v>
      </c>
      <c r="M80" s="14">
        <v>0</v>
      </c>
      <c r="N80" s="14">
        <v>5</v>
      </c>
      <c r="O80" s="14">
        <v>10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5</v>
      </c>
      <c r="V80" s="14">
        <v>10</v>
      </c>
      <c r="W80" s="14">
        <v>5</v>
      </c>
      <c r="X80" s="14">
        <v>0</v>
      </c>
      <c r="Y80" s="14">
        <v>7</v>
      </c>
      <c r="Z80" s="14">
        <v>0</v>
      </c>
      <c r="AA80" s="14">
        <v>15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8</v>
      </c>
      <c r="AH80" s="14">
        <v>0</v>
      </c>
      <c r="AI80" s="25">
        <f t="shared" si="1"/>
        <v>136</v>
      </c>
    </row>
    <row r="81" spans="1:35" ht="15.75" customHeight="1">
      <c r="A81" s="49">
        <v>2212010050</v>
      </c>
      <c r="B81" s="50" t="s">
        <v>85</v>
      </c>
      <c r="C81" s="59" t="s">
        <v>86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25">
        <f t="shared" si="1"/>
        <v>0</v>
      </c>
    </row>
    <row r="82" spans="1:35" ht="15.75" customHeight="1">
      <c r="A82" s="49">
        <v>2212010053</v>
      </c>
      <c r="B82" s="50" t="s">
        <v>87</v>
      </c>
      <c r="C82" s="59" t="s">
        <v>42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25">
        <f t="shared" si="1"/>
        <v>0</v>
      </c>
    </row>
    <row r="83" spans="1:35" ht="15.75" customHeight="1">
      <c r="A83" s="49">
        <v>2212010054</v>
      </c>
      <c r="B83" s="50" t="s">
        <v>88</v>
      </c>
      <c r="C83" s="59" t="s">
        <v>6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25">
        <f t="shared" si="1"/>
        <v>0</v>
      </c>
    </row>
    <row r="84" spans="1:35" ht="15.75" customHeight="1">
      <c r="A84" s="49">
        <v>2212010055</v>
      </c>
      <c r="B84" s="50" t="s">
        <v>89</v>
      </c>
      <c r="C84" s="59" t="s">
        <v>6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25">
        <f t="shared" si="1"/>
        <v>0</v>
      </c>
    </row>
    <row r="85" spans="1:35" ht="15.75" customHeight="1">
      <c r="A85" s="49">
        <v>2212010056</v>
      </c>
      <c r="B85" s="50" t="s">
        <v>90</v>
      </c>
      <c r="C85" s="59" t="s">
        <v>8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25">
        <f t="shared" si="1"/>
        <v>0</v>
      </c>
    </row>
    <row r="86" spans="1:35" ht="15.75" customHeight="1">
      <c r="A86" s="49">
        <v>2212010057</v>
      </c>
      <c r="B86" s="50" t="s">
        <v>91</v>
      </c>
      <c r="C86" s="59" t="s">
        <v>8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25">
        <f t="shared" si="1"/>
        <v>0</v>
      </c>
    </row>
    <row r="87" spans="1:35" ht="15.75" customHeight="1">
      <c r="A87" s="49">
        <v>2212010058</v>
      </c>
      <c r="B87" s="50" t="s">
        <v>92</v>
      </c>
      <c r="C87" s="59" t="s">
        <v>6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6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7</v>
      </c>
      <c r="AF87" s="14">
        <v>0</v>
      </c>
      <c r="AG87" s="14">
        <v>0</v>
      </c>
      <c r="AH87" s="14">
        <v>7</v>
      </c>
      <c r="AI87" s="25">
        <f t="shared" si="1"/>
        <v>20</v>
      </c>
    </row>
    <row r="88" spans="1:35" ht="15.75" customHeight="1">
      <c r="A88" s="49">
        <v>2212010060</v>
      </c>
      <c r="B88" s="50" t="s">
        <v>93</v>
      </c>
      <c r="C88" s="59" t="s">
        <v>6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25">
        <f t="shared" si="1"/>
        <v>0</v>
      </c>
    </row>
    <row r="89" spans="1:35" ht="15.75" customHeight="1">
      <c r="A89" s="69">
        <v>2212004040</v>
      </c>
      <c r="B89" s="70" t="s">
        <v>94</v>
      </c>
      <c r="C89" s="102" t="s">
        <v>6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25">
        <f t="shared" si="1"/>
        <v>0</v>
      </c>
    </row>
    <row r="90" spans="1:35" ht="18.75" customHeight="1">
      <c r="A90" s="638" t="s">
        <v>95</v>
      </c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1"/>
      <c r="P90" s="631"/>
      <c r="Q90" s="631"/>
      <c r="R90" s="631"/>
      <c r="S90" s="631"/>
      <c r="T90" s="631"/>
      <c r="U90" s="631"/>
      <c r="V90" s="631"/>
      <c r="W90" s="631"/>
      <c r="X90" s="631"/>
      <c r="Y90" s="631"/>
      <c r="Z90" s="631"/>
      <c r="AA90" s="631"/>
      <c r="AB90" s="631"/>
      <c r="AC90" s="631"/>
      <c r="AD90" s="631"/>
      <c r="AE90" s="631"/>
      <c r="AF90" s="631"/>
      <c r="AG90" s="631"/>
      <c r="AH90" s="631"/>
      <c r="AI90" s="632"/>
    </row>
    <row r="91" spans="1:35" ht="15.75" customHeight="1">
      <c r="A91" s="74">
        <v>2212002001</v>
      </c>
      <c r="B91" s="75" t="s">
        <v>96</v>
      </c>
      <c r="C91" s="107" t="s">
        <v>6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25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25">
        <f t="shared" ref="AI91:AI111" si="2">SUM(D91:AH91)</f>
        <v>25</v>
      </c>
    </row>
    <row r="92" spans="1:35" ht="15.75" customHeight="1">
      <c r="A92" s="78">
        <v>2212002004</v>
      </c>
      <c r="B92" s="79" t="s">
        <v>97</v>
      </c>
      <c r="C92" s="112" t="s">
        <v>6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5</v>
      </c>
      <c r="R92" s="14">
        <v>10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5</v>
      </c>
      <c r="AH92" s="14">
        <v>0</v>
      </c>
      <c r="AI92" s="25">
        <f t="shared" si="2"/>
        <v>20</v>
      </c>
    </row>
    <row r="93" spans="1:35" ht="15.75" customHeight="1">
      <c r="A93" s="78">
        <v>2212002007</v>
      </c>
      <c r="B93" s="79" t="s">
        <v>98</v>
      </c>
      <c r="C93" s="112" t="s">
        <v>6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30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20</v>
      </c>
      <c r="X93" s="14">
        <v>0</v>
      </c>
      <c r="Y93" s="14">
        <v>0</v>
      </c>
      <c r="Z93" s="14">
        <v>0</v>
      </c>
      <c r="AA93" s="14">
        <v>40</v>
      </c>
      <c r="AB93" s="14">
        <v>0</v>
      </c>
      <c r="AC93" s="14">
        <v>30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25">
        <f t="shared" si="2"/>
        <v>120</v>
      </c>
    </row>
    <row r="94" spans="1:35" ht="15.75" customHeight="1">
      <c r="A94" s="78">
        <v>2212002009</v>
      </c>
      <c r="B94" s="79" t="s">
        <v>99</v>
      </c>
      <c r="C94" s="112" t="s">
        <v>6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7</v>
      </c>
      <c r="S94" s="14">
        <v>0</v>
      </c>
      <c r="T94" s="14">
        <v>0</v>
      </c>
      <c r="U94" s="14">
        <v>0</v>
      </c>
      <c r="V94" s="14">
        <v>0</v>
      </c>
      <c r="W94" s="14">
        <v>35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25">
        <f t="shared" si="2"/>
        <v>42</v>
      </c>
    </row>
    <row r="95" spans="1:35" ht="15.75" customHeight="1">
      <c r="A95" s="78">
        <v>2212002010</v>
      </c>
      <c r="B95" s="79" t="s">
        <v>100</v>
      </c>
      <c r="C95" s="112" t="s">
        <v>6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25">
        <f t="shared" si="2"/>
        <v>0</v>
      </c>
    </row>
    <row r="96" spans="1:35" ht="15.75" customHeight="1">
      <c r="A96" s="78">
        <v>2212002011</v>
      </c>
      <c r="B96" s="79" t="s">
        <v>101</v>
      </c>
      <c r="C96" s="112" t="s">
        <v>6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30</v>
      </c>
      <c r="J96" s="14">
        <v>0</v>
      </c>
      <c r="K96" s="14">
        <v>40</v>
      </c>
      <c r="L96" s="14">
        <v>0</v>
      </c>
      <c r="M96" s="14">
        <v>30</v>
      </c>
      <c r="N96" s="14">
        <v>0</v>
      </c>
      <c r="O96" s="14">
        <v>0</v>
      </c>
      <c r="P96" s="14">
        <v>0</v>
      </c>
      <c r="Q96" s="14">
        <v>35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20</v>
      </c>
      <c r="AH96" s="14">
        <v>0</v>
      </c>
      <c r="AI96" s="25">
        <f t="shared" si="2"/>
        <v>155</v>
      </c>
    </row>
    <row r="97" spans="1:35" ht="15.75" customHeight="1">
      <c r="A97" s="78">
        <v>2212002014</v>
      </c>
      <c r="B97" s="79" t="s">
        <v>102</v>
      </c>
      <c r="C97" s="112" t="s">
        <v>6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25">
        <f t="shared" si="2"/>
        <v>0</v>
      </c>
    </row>
    <row r="98" spans="1:35" ht="15.75" customHeight="1">
      <c r="A98" s="78">
        <v>2212002016</v>
      </c>
      <c r="B98" s="79" t="s">
        <v>103</v>
      </c>
      <c r="C98" s="112" t="s">
        <v>6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25">
        <f t="shared" si="2"/>
        <v>0</v>
      </c>
    </row>
    <row r="99" spans="1:35" ht="15.75" customHeight="1">
      <c r="A99" s="78">
        <v>2212002018</v>
      </c>
      <c r="B99" s="79" t="s">
        <v>104</v>
      </c>
      <c r="C99" s="112" t="s">
        <v>6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40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25">
        <f t="shared" si="2"/>
        <v>40</v>
      </c>
    </row>
    <row r="100" spans="1:35" ht="15.75" customHeight="1">
      <c r="A100" s="78">
        <v>2212002022</v>
      </c>
      <c r="B100" s="79" t="s">
        <v>105</v>
      </c>
      <c r="C100" s="112" t="s">
        <v>6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25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40</v>
      </c>
      <c r="AF100" s="14">
        <v>0</v>
      </c>
      <c r="AG100" s="14">
        <v>0</v>
      </c>
      <c r="AH100" s="14">
        <v>0</v>
      </c>
      <c r="AI100" s="25">
        <f t="shared" si="2"/>
        <v>65</v>
      </c>
    </row>
    <row r="101" spans="1:35" ht="15.75" customHeight="1">
      <c r="A101" s="78">
        <v>2212002023</v>
      </c>
      <c r="B101" s="79" t="s">
        <v>106</v>
      </c>
      <c r="C101" s="112" t="s">
        <v>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45</v>
      </c>
      <c r="AI101" s="25">
        <f t="shared" si="2"/>
        <v>45</v>
      </c>
    </row>
    <row r="102" spans="1:35" ht="15.75" customHeight="1">
      <c r="A102" s="78">
        <v>2212002025</v>
      </c>
      <c r="B102" s="79" t="s">
        <v>107</v>
      </c>
      <c r="C102" s="112" t="s">
        <v>6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17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25">
        <f t="shared" si="2"/>
        <v>17</v>
      </c>
    </row>
    <row r="103" spans="1:35" ht="15.75" customHeight="1">
      <c r="A103" s="78">
        <v>2212002026</v>
      </c>
      <c r="B103" s="79" t="s">
        <v>108</v>
      </c>
      <c r="C103" s="112" t="s">
        <v>6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13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25">
        <f t="shared" si="2"/>
        <v>13</v>
      </c>
    </row>
    <row r="104" spans="1:35" ht="15.75" customHeight="1">
      <c r="A104" s="78">
        <v>2212002027</v>
      </c>
      <c r="B104" s="79" t="s">
        <v>109</v>
      </c>
      <c r="C104" s="112" t="s">
        <v>6</v>
      </c>
      <c r="D104" s="14">
        <v>0</v>
      </c>
      <c r="E104" s="14">
        <v>0</v>
      </c>
      <c r="F104" s="14">
        <v>6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6</v>
      </c>
      <c r="AG104" s="14">
        <v>0</v>
      </c>
      <c r="AH104" s="14">
        <v>0</v>
      </c>
      <c r="AI104" s="25">
        <f t="shared" si="2"/>
        <v>12</v>
      </c>
    </row>
    <row r="105" spans="1:35" ht="15.75" customHeight="1">
      <c r="A105" s="78">
        <v>2212002028</v>
      </c>
      <c r="B105" s="79" t="s">
        <v>110</v>
      </c>
      <c r="C105" s="112" t="s">
        <v>6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11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25">
        <f t="shared" si="2"/>
        <v>11</v>
      </c>
    </row>
    <row r="106" spans="1:35" ht="15.75" customHeight="1">
      <c r="A106" s="78">
        <v>2212002030</v>
      </c>
      <c r="B106" s="79" t="s">
        <v>111</v>
      </c>
      <c r="C106" s="112" t="s">
        <v>6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25">
        <f t="shared" si="2"/>
        <v>0</v>
      </c>
    </row>
    <row r="107" spans="1:35" ht="15.75" customHeight="1">
      <c r="A107" s="78">
        <v>2212002035</v>
      </c>
      <c r="B107" s="79" t="s">
        <v>112</v>
      </c>
      <c r="C107" s="112" t="s">
        <v>6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35</v>
      </c>
      <c r="R107" s="14">
        <v>3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36</v>
      </c>
      <c r="AE107" s="14">
        <v>0</v>
      </c>
      <c r="AF107" s="14">
        <v>0</v>
      </c>
      <c r="AG107" s="14">
        <v>0</v>
      </c>
      <c r="AH107" s="14">
        <v>0</v>
      </c>
      <c r="AI107" s="25">
        <f t="shared" si="2"/>
        <v>74</v>
      </c>
    </row>
    <row r="108" spans="1:35" ht="15.75" customHeight="1">
      <c r="A108" s="78">
        <v>2212002036</v>
      </c>
      <c r="B108" s="79" t="s">
        <v>113</v>
      </c>
      <c r="C108" s="112" t="s">
        <v>6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6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25">
        <f t="shared" si="2"/>
        <v>6</v>
      </c>
    </row>
    <row r="109" spans="1:35" ht="15.75" customHeight="1">
      <c r="A109" s="78">
        <v>2212002040</v>
      </c>
      <c r="B109" s="79" t="s">
        <v>114</v>
      </c>
      <c r="C109" s="112" t="s">
        <v>6</v>
      </c>
      <c r="D109" s="14">
        <v>0</v>
      </c>
      <c r="E109" s="14">
        <v>30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30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66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25">
        <f t="shared" si="2"/>
        <v>126</v>
      </c>
    </row>
    <row r="110" spans="1:35" ht="15.75" customHeight="1">
      <c r="A110" s="78">
        <v>2212002045</v>
      </c>
      <c r="B110" s="79" t="s">
        <v>115</v>
      </c>
      <c r="C110" s="112" t="s">
        <v>6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25">
        <f t="shared" si="2"/>
        <v>0</v>
      </c>
    </row>
    <row r="111" spans="1:35" ht="15.75" customHeight="1">
      <c r="A111" s="81">
        <v>2212002046</v>
      </c>
      <c r="B111" s="82" t="s">
        <v>116</v>
      </c>
      <c r="C111" s="143" t="s">
        <v>6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25">
        <f t="shared" si="2"/>
        <v>0</v>
      </c>
    </row>
    <row r="112" spans="1:35" ht="18.75" customHeight="1">
      <c r="A112" s="639" t="s">
        <v>117</v>
      </c>
      <c r="B112" s="631"/>
      <c r="C112" s="631"/>
      <c r="D112" s="631"/>
      <c r="E112" s="631"/>
      <c r="F112" s="631"/>
      <c r="G112" s="631"/>
      <c r="H112" s="631"/>
      <c r="I112" s="631"/>
      <c r="J112" s="631"/>
      <c r="K112" s="631"/>
      <c r="L112" s="631"/>
      <c r="M112" s="631"/>
      <c r="N112" s="631"/>
      <c r="O112" s="631"/>
      <c r="P112" s="631"/>
      <c r="Q112" s="631"/>
      <c r="R112" s="631"/>
      <c r="S112" s="631"/>
      <c r="T112" s="631"/>
      <c r="U112" s="631"/>
      <c r="V112" s="631"/>
      <c r="W112" s="631"/>
      <c r="X112" s="631"/>
      <c r="Y112" s="631"/>
      <c r="Z112" s="631"/>
      <c r="AA112" s="631"/>
      <c r="AB112" s="631"/>
      <c r="AC112" s="631"/>
      <c r="AD112" s="631"/>
      <c r="AE112" s="631"/>
      <c r="AF112" s="631"/>
      <c r="AG112" s="631"/>
      <c r="AH112" s="631"/>
      <c r="AI112" s="632"/>
    </row>
    <row r="113" spans="1:35" ht="15.75" customHeight="1">
      <c r="A113" s="87">
        <v>2212002003</v>
      </c>
      <c r="B113" s="88" t="s">
        <v>118</v>
      </c>
      <c r="C113" s="149" t="s">
        <v>6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30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25">
        <f t="shared" ref="AI113:AI131" si="3">SUM(D113:AH113)</f>
        <v>30</v>
      </c>
    </row>
    <row r="114" spans="1:35" ht="15.75" customHeight="1">
      <c r="A114" s="90">
        <v>2212002005</v>
      </c>
      <c r="B114" s="92" t="s">
        <v>119</v>
      </c>
      <c r="C114" s="151" t="s">
        <v>6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35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25">
        <f t="shared" si="3"/>
        <v>35</v>
      </c>
    </row>
    <row r="115" spans="1:35" ht="15.75" customHeight="1">
      <c r="A115" s="90">
        <v>2212002006</v>
      </c>
      <c r="B115" s="92" t="s">
        <v>120</v>
      </c>
      <c r="C115" s="151" t="s">
        <v>6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25">
        <f t="shared" si="3"/>
        <v>0</v>
      </c>
    </row>
    <row r="116" spans="1:35" ht="15.75" customHeight="1">
      <c r="A116" s="90">
        <v>2212002008</v>
      </c>
      <c r="B116" s="92" t="s">
        <v>121</v>
      </c>
      <c r="C116" s="151" t="s">
        <v>6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25">
        <f t="shared" si="3"/>
        <v>0</v>
      </c>
    </row>
    <row r="117" spans="1:35" ht="15.75" customHeight="1">
      <c r="A117" s="90">
        <v>2212002012</v>
      </c>
      <c r="B117" s="92" t="s">
        <v>122</v>
      </c>
      <c r="C117" s="151" t="s">
        <v>6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25">
        <f t="shared" si="3"/>
        <v>0</v>
      </c>
    </row>
    <row r="118" spans="1:35" ht="15.75" customHeight="1">
      <c r="A118" s="90">
        <v>2212002013</v>
      </c>
      <c r="B118" s="92" t="s">
        <v>123</v>
      </c>
      <c r="C118" s="151" t="s">
        <v>6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30</v>
      </c>
      <c r="O118" s="14">
        <v>35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30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30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25">
        <f t="shared" si="3"/>
        <v>125</v>
      </c>
    </row>
    <row r="119" spans="1:35" ht="15.75" customHeight="1">
      <c r="A119" s="90">
        <v>2212002015</v>
      </c>
      <c r="B119" s="92" t="s">
        <v>124</v>
      </c>
      <c r="C119" s="151" t="s">
        <v>6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25">
        <f t="shared" si="3"/>
        <v>0</v>
      </c>
    </row>
    <row r="120" spans="1:35" ht="15.75" customHeight="1">
      <c r="A120" s="90">
        <v>2212002019</v>
      </c>
      <c r="B120" s="92" t="s">
        <v>125</v>
      </c>
      <c r="C120" s="151" t="s">
        <v>6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25">
        <f t="shared" si="3"/>
        <v>0</v>
      </c>
    </row>
    <row r="121" spans="1:35" ht="15.75" customHeight="1">
      <c r="A121" s="90">
        <v>2212002020</v>
      </c>
      <c r="B121" s="92" t="s">
        <v>126</v>
      </c>
      <c r="C121" s="151" t="s">
        <v>6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25">
        <f t="shared" si="3"/>
        <v>0</v>
      </c>
    </row>
    <row r="122" spans="1:35" ht="15.75" customHeight="1">
      <c r="A122" s="90">
        <v>2212002021</v>
      </c>
      <c r="B122" s="92" t="s">
        <v>127</v>
      </c>
      <c r="C122" s="151" t="s">
        <v>6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40</v>
      </c>
      <c r="AG122" s="14">
        <v>0</v>
      </c>
      <c r="AH122" s="14">
        <v>0</v>
      </c>
      <c r="AI122" s="25">
        <f t="shared" si="3"/>
        <v>40</v>
      </c>
    </row>
    <row r="123" spans="1:35" ht="15.75" customHeight="1">
      <c r="A123" s="90">
        <v>2212002024</v>
      </c>
      <c r="B123" s="92" t="s">
        <v>128</v>
      </c>
      <c r="C123" s="151" t="s">
        <v>6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45</v>
      </c>
      <c r="AH123" s="14">
        <v>0</v>
      </c>
      <c r="AI123" s="25">
        <f t="shared" si="3"/>
        <v>45</v>
      </c>
    </row>
    <row r="124" spans="1:35" ht="15.75" customHeight="1">
      <c r="A124" s="90">
        <v>2212002032</v>
      </c>
      <c r="B124" s="92" t="s">
        <v>129</v>
      </c>
      <c r="C124" s="151" t="s">
        <v>6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25">
        <f t="shared" si="3"/>
        <v>0</v>
      </c>
    </row>
    <row r="125" spans="1:35" ht="15.75" customHeight="1">
      <c r="A125" s="90">
        <v>2212002033</v>
      </c>
      <c r="B125" s="92" t="s">
        <v>130</v>
      </c>
      <c r="C125" s="151" t="s">
        <v>6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40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10</v>
      </c>
      <c r="U125" s="14">
        <v>0</v>
      </c>
      <c r="V125" s="14">
        <v>0</v>
      </c>
      <c r="W125" s="14">
        <v>0</v>
      </c>
      <c r="X125" s="14">
        <v>0</v>
      </c>
      <c r="Y125" s="14">
        <v>40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25">
        <f t="shared" si="3"/>
        <v>90</v>
      </c>
    </row>
    <row r="126" spans="1:35" ht="15.75" customHeight="1">
      <c r="A126" s="90">
        <v>2212002037</v>
      </c>
      <c r="B126" s="92" t="s">
        <v>131</v>
      </c>
      <c r="C126" s="151" t="s">
        <v>6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25">
        <f t="shared" si="3"/>
        <v>0</v>
      </c>
    </row>
    <row r="127" spans="1:35" ht="15.75" customHeight="1">
      <c r="A127" s="90">
        <v>2212002039</v>
      </c>
      <c r="B127" s="92" t="s">
        <v>132</v>
      </c>
      <c r="C127" s="151" t="s">
        <v>6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25">
        <f t="shared" si="3"/>
        <v>0</v>
      </c>
    </row>
    <row r="128" spans="1:35" ht="15.75" customHeight="1">
      <c r="A128" s="90">
        <v>2212002041</v>
      </c>
      <c r="B128" s="92" t="s">
        <v>133</v>
      </c>
      <c r="C128" s="151" t="s">
        <v>6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30</v>
      </c>
      <c r="AG128" s="14">
        <v>0</v>
      </c>
      <c r="AH128" s="14">
        <v>0</v>
      </c>
      <c r="AI128" s="25">
        <f t="shared" si="3"/>
        <v>30</v>
      </c>
    </row>
    <row r="129" spans="1:35" ht="15.75" customHeight="1">
      <c r="A129" s="90">
        <v>2212002042</v>
      </c>
      <c r="B129" s="92" t="s">
        <v>134</v>
      </c>
      <c r="C129" s="151" t="s">
        <v>6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25">
        <f t="shared" si="3"/>
        <v>0</v>
      </c>
    </row>
    <row r="130" spans="1:35" ht="15.75" customHeight="1">
      <c r="A130" s="90">
        <v>2212002043</v>
      </c>
      <c r="B130" s="92" t="s">
        <v>135</v>
      </c>
      <c r="C130" s="151" t="s">
        <v>6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25">
        <f t="shared" si="3"/>
        <v>0</v>
      </c>
    </row>
    <row r="131" spans="1:35" ht="15.75" customHeight="1">
      <c r="A131" s="94">
        <v>2212002044</v>
      </c>
      <c r="B131" s="95" t="s">
        <v>136</v>
      </c>
      <c r="C131" s="168" t="s">
        <v>6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25">
        <f t="shared" si="3"/>
        <v>0</v>
      </c>
    </row>
    <row r="132" spans="1:35" ht="18.75" customHeight="1">
      <c r="A132" s="640" t="s">
        <v>137</v>
      </c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1"/>
      <c r="P132" s="631"/>
      <c r="Q132" s="631"/>
      <c r="R132" s="631"/>
      <c r="S132" s="631"/>
      <c r="T132" s="631"/>
      <c r="U132" s="631"/>
      <c r="V132" s="631"/>
      <c r="W132" s="631"/>
      <c r="X132" s="631"/>
      <c r="Y132" s="631"/>
      <c r="Z132" s="631"/>
      <c r="AA132" s="631"/>
      <c r="AB132" s="631"/>
      <c r="AC132" s="631"/>
      <c r="AD132" s="631"/>
      <c r="AE132" s="631"/>
      <c r="AF132" s="631"/>
      <c r="AG132" s="631"/>
      <c r="AH132" s="631"/>
      <c r="AI132" s="632"/>
    </row>
    <row r="133" spans="1:35" ht="15.75" customHeight="1">
      <c r="A133" s="99">
        <v>2212006001</v>
      </c>
      <c r="B133" s="100" t="s">
        <v>138</v>
      </c>
      <c r="C133" s="169" t="s">
        <v>6</v>
      </c>
      <c r="D133" s="14">
        <v>20</v>
      </c>
      <c r="E133" s="14">
        <v>35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40</v>
      </c>
      <c r="P133" s="14">
        <v>0</v>
      </c>
      <c r="Q133" s="14">
        <v>0</v>
      </c>
      <c r="R133" s="14">
        <v>0</v>
      </c>
      <c r="S133" s="14">
        <v>35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65</v>
      </c>
      <c r="AF133" s="14">
        <v>0</v>
      </c>
      <c r="AG133" s="14">
        <v>0</v>
      </c>
      <c r="AH133" s="14">
        <v>0</v>
      </c>
      <c r="AI133" s="25">
        <f t="shared" ref="AI133:AI141" si="4">SUM(D133:AH133)</f>
        <v>195</v>
      </c>
    </row>
    <row r="134" spans="1:35" ht="15.75" customHeight="1">
      <c r="A134" s="103">
        <v>2212006003</v>
      </c>
      <c r="B134" s="170" t="s">
        <v>139</v>
      </c>
      <c r="C134" s="171" t="s">
        <v>6</v>
      </c>
      <c r="D134" s="14">
        <v>0</v>
      </c>
      <c r="E134" s="14">
        <v>0</v>
      </c>
      <c r="F134" s="14">
        <v>40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25">
        <f t="shared" si="4"/>
        <v>40</v>
      </c>
    </row>
    <row r="135" spans="1:35" ht="15.75" customHeight="1">
      <c r="A135" s="103">
        <v>2212006004</v>
      </c>
      <c r="B135" s="106" t="s">
        <v>140</v>
      </c>
      <c r="C135" s="171" t="s">
        <v>6</v>
      </c>
      <c r="D135" s="14">
        <v>0</v>
      </c>
      <c r="E135" s="14">
        <v>0</v>
      </c>
      <c r="F135" s="14">
        <v>0</v>
      </c>
      <c r="G135" s="14">
        <v>0</v>
      </c>
      <c r="H135" s="14">
        <v>25</v>
      </c>
      <c r="I135" s="14">
        <v>0</v>
      </c>
      <c r="J135" s="14">
        <v>40</v>
      </c>
      <c r="K135" s="14">
        <v>0</v>
      </c>
      <c r="L135" s="14">
        <v>0</v>
      </c>
      <c r="M135" s="14">
        <v>6</v>
      </c>
      <c r="N135" s="14">
        <v>0</v>
      </c>
      <c r="O135" s="14">
        <v>0</v>
      </c>
      <c r="P135" s="14">
        <v>0</v>
      </c>
      <c r="Q135" s="14">
        <v>25</v>
      </c>
      <c r="R135" s="14">
        <v>55</v>
      </c>
      <c r="S135" s="14">
        <v>0</v>
      </c>
      <c r="T135" s="14">
        <v>25</v>
      </c>
      <c r="U135" s="14">
        <v>0</v>
      </c>
      <c r="V135" s="14">
        <v>40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26</v>
      </c>
      <c r="AE135" s="14">
        <v>0</v>
      </c>
      <c r="AF135" s="14">
        <v>0</v>
      </c>
      <c r="AG135" s="14">
        <v>35</v>
      </c>
      <c r="AH135" s="14">
        <v>0</v>
      </c>
      <c r="AI135" s="25">
        <f t="shared" si="4"/>
        <v>277</v>
      </c>
    </row>
    <row r="136" spans="1:35" ht="15.75" customHeight="1">
      <c r="A136" s="103">
        <v>2212006005</v>
      </c>
      <c r="B136" s="106" t="s">
        <v>141</v>
      </c>
      <c r="C136" s="171" t="s">
        <v>6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45</v>
      </c>
      <c r="AI136" s="25">
        <f t="shared" si="4"/>
        <v>45</v>
      </c>
    </row>
    <row r="137" spans="1:35" ht="15.75" customHeight="1">
      <c r="A137" s="103">
        <v>2212006006</v>
      </c>
      <c r="B137" s="106" t="s">
        <v>142</v>
      </c>
      <c r="C137" s="171" t="s">
        <v>6</v>
      </c>
      <c r="D137" s="14">
        <v>0</v>
      </c>
      <c r="E137" s="14">
        <v>0</v>
      </c>
      <c r="F137" s="14">
        <v>0</v>
      </c>
      <c r="G137" s="14">
        <v>0</v>
      </c>
      <c r="H137" s="14">
        <v>30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40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33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25">
        <f t="shared" si="4"/>
        <v>103</v>
      </c>
    </row>
    <row r="138" spans="1:35" ht="15.75" customHeight="1">
      <c r="A138" s="103">
        <v>2212006009</v>
      </c>
      <c r="B138" s="106" t="s">
        <v>143</v>
      </c>
      <c r="C138" s="171" t="s">
        <v>6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25">
        <f t="shared" si="4"/>
        <v>0</v>
      </c>
    </row>
    <row r="139" spans="1:35" ht="15.75" customHeight="1">
      <c r="A139" s="103">
        <v>2212006011</v>
      </c>
      <c r="B139" s="106" t="s">
        <v>144</v>
      </c>
      <c r="C139" s="171" t="s">
        <v>8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25">
        <f t="shared" si="4"/>
        <v>0</v>
      </c>
    </row>
    <row r="140" spans="1:35" ht="15.75" customHeight="1">
      <c r="A140" s="103">
        <v>2212006012</v>
      </c>
      <c r="B140" s="106" t="s">
        <v>145</v>
      </c>
      <c r="C140" s="171" t="s">
        <v>8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25">
        <f t="shared" si="4"/>
        <v>0</v>
      </c>
    </row>
    <row r="141" spans="1:35" ht="15.75" customHeight="1">
      <c r="A141" s="103">
        <v>2212006013</v>
      </c>
      <c r="B141" s="109" t="s">
        <v>146</v>
      </c>
      <c r="C141" s="182" t="s">
        <v>6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25">
        <f t="shared" si="4"/>
        <v>0</v>
      </c>
    </row>
    <row r="142" spans="1:35" ht="18.75" customHeight="1">
      <c r="A142" s="641" t="s">
        <v>147</v>
      </c>
      <c r="B142" s="631"/>
      <c r="C142" s="631"/>
      <c r="D142" s="631"/>
      <c r="E142" s="631"/>
      <c r="F142" s="631"/>
      <c r="G142" s="631"/>
      <c r="H142" s="631"/>
      <c r="I142" s="631"/>
      <c r="J142" s="631"/>
      <c r="K142" s="631"/>
      <c r="L142" s="631"/>
      <c r="M142" s="631"/>
      <c r="N142" s="631"/>
      <c r="O142" s="631"/>
      <c r="P142" s="631"/>
      <c r="Q142" s="631"/>
      <c r="R142" s="631"/>
      <c r="S142" s="631"/>
      <c r="T142" s="631"/>
      <c r="U142" s="631"/>
      <c r="V142" s="631"/>
      <c r="W142" s="631"/>
      <c r="X142" s="631"/>
      <c r="Y142" s="631"/>
      <c r="Z142" s="631"/>
      <c r="AA142" s="631"/>
      <c r="AB142" s="631"/>
      <c r="AC142" s="631"/>
      <c r="AD142" s="631"/>
      <c r="AE142" s="631"/>
      <c r="AF142" s="631"/>
      <c r="AG142" s="631"/>
      <c r="AH142" s="631"/>
      <c r="AI142" s="632"/>
    </row>
    <row r="143" spans="1:35" ht="15.75" customHeight="1">
      <c r="A143" s="126">
        <v>2212007001</v>
      </c>
      <c r="B143" s="120" t="s">
        <v>148</v>
      </c>
      <c r="C143" s="184" t="s">
        <v>6</v>
      </c>
      <c r="D143" s="14">
        <v>24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30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30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25">
        <f t="shared" ref="AI143:AI152" si="5">SUM(D143:AH143)</f>
        <v>84</v>
      </c>
    </row>
    <row r="144" spans="1:35" ht="15.75" customHeight="1">
      <c r="A144" s="122">
        <v>2212007002</v>
      </c>
      <c r="B144" s="123" t="s">
        <v>149</v>
      </c>
      <c r="C144" s="190" t="s">
        <v>6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25">
        <f t="shared" si="5"/>
        <v>0</v>
      </c>
    </row>
    <row r="145" spans="1:35" ht="15.75" customHeight="1">
      <c r="A145" s="126">
        <v>2212007003</v>
      </c>
      <c r="B145" s="127" t="s">
        <v>150</v>
      </c>
      <c r="C145" s="194" t="s">
        <v>6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25">
        <f t="shared" si="5"/>
        <v>0</v>
      </c>
    </row>
    <row r="146" spans="1:35" ht="15.75" customHeight="1">
      <c r="A146" s="126">
        <v>2212007004</v>
      </c>
      <c r="B146" s="127" t="s">
        <v>151</v>
      </c>
      <c r="C146" s="194" t="s">
        <v>6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25">
        <f t="shared" si="5"/>
        <v>0</v>
      </c>
    </row>
    <row r="147" spans="1:35" ht="15.75" customHeight="1">
      <c r="A147" s="126">
        <v>2212007005</v>
      </c>
      <c r="B147" s="127" t="s">
        <v>152</v>
      </c>
      <c r="C147" s="194" t="s">
        <v>6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25">
        <f t="shared" si="5"/>
        <v>0</v>
      </c>
    </row>
    <row r="148" spans="1:35" ht="15.75" customHeight="1">
      <c r="A148" s="126">
        <v>2212007006</v>
      </c>
      <c r="B148" s="127" t="s">
        <v>153</v>
      </c>
      <c r="C148" s="194" t="s">
        <v>6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25">
        <f t="shared" si="5"/>
        <v>0</v>
      </c>
    </row>
    <row r="149" spans="1:35" ht="15.75" customHeight="1">
      <c r="A149" s="126">
        <v>2212007007</v>
      </c>
      <c r="B149" s="127" t="s">
        <v>154</v>
      </c>
      <c r="C149" s="194" t="s">
        <v>6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25">
        <f t="shared" si="5"/>
        <v>0</v>
      </c>
    </row>
    <row r="150" spans="1:35" ht="15.75" customHeight="1">
      <c r="A150" s="126">
        <v>2212007008</v>
      </c>
      <c r="B150" s="127" t="s">
        <v>155</v>
      </c>
      <c r="C150" s="194" t="s">
        <v>6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25">
        <f t="shared" si="5"/>
        <v>0</v>
      </c>
    </row>
    <row r="151" spans="1:35" ht="15.75" customHeight="1">
      <c r="A151" s="126">
        <v>2212007009</v>
      </c>
      <c r="B151" s="127" t="s">
        <v>156</v>
      </c>
      <c r="C151" s="194" t="s">
        <v>6</v>
      </c>
      <c r="D151" s="14">
        <v>24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20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25">
        <f t="shared" si="5"/>
        <v>44</v>
      </c>
    </row>
    <row r="152" spans="1:35" ht="15.75" customHeight="1">
      <c r="A152" s="133">
        <v>2212007010</v>
      </c>
      <c r="B152" s="134" t="s">
        <v>157</v>
      </c>
      <c r="C152" s="201" t="s">
        <v>6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25">
        <f t="shared" si="5"/>
        <v>0</v>
      </c>
    </row>
    <row r="153" spans="1:35" ht="18.75" customHeight="1">
      <c r="A153" s="642" t="s">
        <v>158</v>
      </c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1"/>
      <c r="P153" s="631"/>
      <c r="Q153" s="631"/>
      <c r="R153" s="631"/>
      <c r="S153" s="631"/>
      <c r="T153" s="631"/>
      <c r="U153" s="631"/>
      <c r="V153" s="631"/>
      <c r="W153" s="631"/>
      <c r="X153" s="631"/>
      <c r="Y153" s="631"/>
      <c r="Z153" s="631"/>
      <c r="AA153" s="631"/>
      <c r="AB153" s="631"/>
      <c r="AC153" s="631"/>
      <c r="AD153" s="631"/>
      <c r="AE153" s="631"/>
      <c r="AF153" s="631"/>
      <c r="AG153" s="631"/>
      <c r="AH153" s="631"/>
      <c r="AI153" s="632"/>
    </row>
    <row r="154" spans="1:35" ht="15.75" customHeight="1">
      <c r="A154" s="87">
        <v>2212003002</v>
      </c>
      <c r="B154" s="88" t="s">
        <v>159</v>
      </c>
      <c r="C154" s="149" t="s">
        <v>6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25">
        <f t="shared" ref="AI154:AI163" si="6">SUM(D154:AH154)</f>
        <v>0</v>
      </c>
    </row>
    <row r="155" spans="1:35" ht="15.75" customHeight="1">
      <c r="A155" s="90">
        <v>2212003003</v>
      </c>
      <c r="B155" s="92" t="s">
        <v>160</v>
      </c>
      <c r="C155" s="151" t="s">
        <v>6</v>
      </c>
      <c r="D155" s="14">
        <v>0</v>
      </c>
      <c r="E155" s="14">
        <v>0</v>
      </c>
      <c r="F155" s="14">
        <v>0</v>
      </c>
      <c r="G155" s="14">
        <v>10</v>
      </c>
      <c r="H155" s="14">
        <v>19</v>
      </c>
      <c r="I155" s="14">
        <v>0</v>
      </c>
      <c r="J155" s="14">
        <v>22</v>
      </c>
      <c r="K155" s="14">
        <v>0</v>
      </c>
      <c r="L155" s="14">
        <v>13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10</v>
      </c>
      <c r="V155" s="14">
        <v>0</v>
      </c>
      <c r="W155" s="14">
        <v>7</v>
      </c>
      <c r="X155" s="14">
        <v>8</v>
      </c>
      <c r="Y155" s="14">
        <v>10</v>
      </c>
      <c r="Z155" s="14">
        <v>0</v>
      </c>
      <c r="AA155" s="14">
        <v>0</v>
      </c>
      <c r="AB155" s="14">
        <v>0</v>
      </c>
      <c r="AC155" s="14">
        <v>13</v>
      </c>
      <c r="AD155" s="14">
        <v>0</v>
      </c>
      <c r="AE155" s="14">
        <v>0</v>
      </c>
      <c r="AF155" s="14">
        <v>0</v>
      </c>
      <c r="AG155" s="14">
        <v>12</v>
      </c>
      <c r="AH155" s="14">
        <v>0</v>
      </c>
      <c r="AI155" s="25">
        <f t="shared" si="6"/>
        <v>124</v>
      </c>
    </row>
    <row r="156" spans="1:35" ht="15.75" customHeight="1">
      <c r="A156" s="90">
        <v>2212003004</v>
      </c>
      <c r="B156" s="92" t="s">
        <v>161</v>
      </c>
      <c r="C156" s="151" t="s">
        <v>6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25">
        <f t="shared" si="6"/>
        <v>0</v>
      </c>
    </row>
    <row r="157" spans="1:35" ht="15.75" customHeight="1">
      <c r="A157" s="90">
        <v>2212003008</v>
      </c>
      <c r="B157" s="92" t="s">
        <v>162</v>
      </c>
      <c r="C157" s="151" t="s">
        <v>6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6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6</v>
      </c>
      <c r="Z157" s="14">
        <v>6</v>
      </c>
      <c r="AA157" s="14">
        <v>5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25">
        <f t="shared" si="6"/>
        <v>23</v>
      </c>
    </row>
    <row r="158" spans="1:35" ht="15.75" customHeight="1">
      <c r="A158" s="90">
        <v>2212003009</v>
      </c>
      <c r="B158" s="92" t="s">
        <v>163</v>
      </c>
      <c r="C158" s="151" t="s">
        <v>6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25">
        <f t="shared" si="6"/>
        <v>0</v>
      </c>
    </row>
    <row r="159" spans="1:35" ht="15.75" customHeight="1">
      <c r="A159" s="90">
        <v>2212003010</v>
      </c>
      <c r="B159" s="92" t="s">
        <v>164</v>
      </c>
      <c r="C159" s="151" t="s">
        <v>6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25">
        <f t="shared" si="6"/>
        <v>0</v>
      </c>
    </row>
    <row r="160" spans="1:35" ht="15.75" customHeight="1">
      <c r="A160" s="90">
        <v>2212003011</v>
      </c>
      <c r="B160" s="92" t="s">
        <v>165</v>
      </c>
      <c r="C160" s="151" t="s">
        <v>6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25">
        <f t="shared" si="6"/>
        <v>0</v>
      </c>
    </row>
    <row r="161" spans="1:35" ht="15.75" customHeight="1">
      <c r="A161" s="90">
        <v>2212003012</v>
      </c>
      <c r="B161" s="92" t="s">
        <v>166</v>
      </c>
      <c r="C161" s="151" t="s">
        <v>6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8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8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25">
        <f t="shared" si="6"/>
        <v>16</v>
      </c>
    </row>
    <row r="162" spans="1:35" ht="15.75" customHeight="1">
      <c r="A162" s="90">
        <v>2212003013</v>
      </c>
      <c r="B162" s="92" t="s">
        <v>167</v>
      </c>
      <c r="C162" s="151" t="s">
        <v>6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25">
        <f t="shared" si="6"/>
        <v>0</v>
      </c>
    </row>
    <row r="163" spans="1:35" ht="15.75" customHeight="1">
      <c r="A163" s="94">
        <v>2212003017</v>
      </c>
      <c r="B163" s="95" t="s">
        <v>168</v>
      </c>
      <c r="C163" s="168" t="s">
        <v>6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6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25">
        <f t="shared" si="6"/>
        <v>6</v>
      </c>
    </row>
    <row r="164" spans="1:35" ht="18.75" customHeight="1">
      <c r="A164" s="630" t="s">
        <v>169</v>
      </c>
      <c r="B164" s="631"/>
      <c r="C164" s="631"/>
      <c r="D164" s="631"/>
      <c r="E164" s="631"/>
      <c r="F164" s="631"/>
      <c r="G164" s="631"/>
      <c r="H164" s="631"/>
      <c r="I164" s="631"/>
      <c r="J164" s="631"/>
      <c r="K164" s="631"/>
      <c r="L164" s="631"/>
      <c r="M164" s="631"/>
      <c r="N164" s="631"/>
      <c r="O164" s="631"/>
      <c r="P164" s="631"/>
      <c r="Q164" s="631"/>
      <c r="R164" s="631"/>
      <c r="S164" s="631"/>
      <c r="T164" s="631"/>
      <c r="U164" s="631"/>
      <c r="V164" s="631"/>
      <c r="W164" s="631"/>
      <c r="X164" s="631"/>
      <c r="Y164" s="631"/>
      <c r="Z164" s="631"/>
      <c r="AA164" s="631"/>
      <c r="AB164" s="631"/>
      <c r="AC164" s="631"/>
      <c r="AD164" s="631"/>
      <c r="AE164" s="631"/>
      <c r="AF164" s="631"/>
      <c r="AG164" s="631"/>
      <c r="AH164" s="631"/>
      <c r="AI164" s="632"/>
    </row>
    <row r="165" spans="1:35" ht="15.75" customHeight="1">
      <c r="A165" s="140">
        <v>2212001196</v>
      </c>
      <c r="B165" s="141" t="s">
        <v>170</v>
      </c>
      <c r="C165" s="224" t="s">
        <v>171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25">
        <f t="shared" ref="AI165:AI189" si="7">SUM(D165:AH165)</f>
        <v>0</v>
      </c>
    </row>
    <row r="166" spans="1:35" ht="15.75" customHeight="1">
      <c r="A166" s="144">
        <v>2212005007</v>
      </c>
      <c r="B166" s="146" t="s">
        <v>172</v>
      </c>
      <c r="C166" s="225" t="s">
        <v>171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25">
        <f t="shared" si="7"/>
        <v>0</v>
      </c>
    </row>
    <row r="167" spans="1:35" ht="15.75" customHeight="1">
      <c r="A167" s="144">
        <v>2212005010</v>
      </c>
      <c r="B167" s="146" t="s">
        <v>173</v>
      </c>
      <c r="C167" s="225" t="s">
        <v>6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8</v>
      </c>
      <c r="U167" s="14">
        <v>5</v>
      </c>
      <c r="V167" s="14">
        <v>5</v>
      </c>
      <c r="W167" s="14">
        <v>9</v>
      </c>
      <c r="X167" s="14">
        <v>0</v>
      </c>
      <c r="Y167" s="14">
        <v>5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8</v>
      </c>
      <c r="AG167" s="14">
        <v>0</v>
      </c>
      <c r="AH167" s="14">
        <v>15</v>
      </c>
      <c r="AI167" s="25">
        <f t="shared" si="7"/>
        <v>55</v>
      </c>
    </row>
    <row r="168" spans="1:35" ht="15.75" customHeight="1">
      <c r="A168" s="144">
        <v>2212005011</v>
      </c>
      <c r="B168" s="146" t="s">
        <v>174</v>
      </c>
      <c r="C168" s="225" t="s">
        <v>175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25">
        <f t="shared" si="7"/>
        <v>0</v>
      </c>
    </row>
    <row r="169" spans="1:35" ht="15.75" customHeight="1">
      <c r="A169" s="147">
        <v>2212007012</v>
      </c>
      <c r="B169" s="148" t="s">
        <v>176</v>
      </c>
      <c r="C169" s="147" t="s">
        <v>177</v>
      </c>
      <c r="D169" s="14">
        <v>4</v>
      </c>
      <c r="E169" s="14">
        <v>9</v>
      </c>
      <c r="F169" s="14">
        <v>0</v>
      </c>
      <c r="G169" s="14">
        <v>9</v>
      </c>
      <c r="H169" s="14">
        <v>8</v>
      </c>
      <c r="I169" s="14">
        <v>0</v>
      </c>
      <c r="J169" s="14">
        <v>8</v>
      </c>
      <c r="K169" s="14">
        <v>0</v>
      </c>
      <c r="L169" s="14">
        <v>8</v>
      </c>
      <c r="M169" s="14">
        <v>0</v>
      </c>
      <c r="N169" s="14">
        <v>4</v>
      </c>
      <c r="O169" s="14">
        <v>0</v>
      </c>
      <c r="P169" s="14">
        <v>9</v>
      </c>
      <c r="Q169" s="14">
        <v>0</v>
      </c>
      <c r="R169" s="14">
        <v>3</v>
      </c>
      <c r="S169" s="14">
        <v>4</v>
      </c>
      <c r="T169" s="14">
        <v>4</v>
      </c>
      <c r="U169" s="14">
        <v>2</v>
      </c>
      <c r="V169" s="14">
        <v>4</v>
      </c>
      <c r="W169" s="14">
        <v>0</v>
      </c>
      <c r="X169" s="14">
        <v>4</v>
      </c>
      <c r="Y169" s="14">
        <v>11</v>
      </c>
      <c r="Z169" s="14">
        <v>0</v>
      </c>
      <c r="AA169" s="14">
        <v>0</v>
      </c>
      <c r="AB169" s="14">
        <v>9</v>
      </c>
      <c r="AC169" s="14">
        <v>4</v>
      </c>
      <c r="AD169" s="14">
        <v>0</v>
      </c>
      <c r="AE169" s="14">
        <v>5</v>
      </c>
      <c r="AF169" s="14">
        <v>0</v>
      </c>
      <c r="AG169" s="14">
        <v>0</v>
      </c>
      <c r="AH169" s="14">
        <v>9</v>
      </c>
      <c r="AI169" s="25">
        <f t="shared" si="7"/>
        <v>118</v>
      </c>
    </row>
    <row r="170" spans="1:35" ht="15.75" customHeight="1">
      <c r="A170" s="144">
        <v>2212005015</v>
      </c>
      <c r="B170" s="146" t="s">
        <v>178</v>
      </c>
      <c r="C170" s="225" t="s">
        <v>171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25">
        <f t="shared" si="7"/>
        <v>0</v>
      </c>
    </row>
    <row r="171" spans="1:35" ht="15.75" customHeight="1">
      <c r="A171" s="144">
        <v>2212005016</v>
      </c>
      <c r="B171" s="146" t="s">
        <v>179</v>
      </c>
      <c r="C171" s="225" t="s">
        <v>6</v>
      </c>
      <c r="D171" s="14">
        <v>2</v>
      </c>
      <c r="E171" s="14">
        <v>1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5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6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6</v>
      </c>
      <c r="AE171" s="14">
        <v>0</v>
      </c>
      <c r="AF171" s="14">
        <v>0</v>
      </c>
      <c r="AG171" s="14">
        <v>0</v>
      </c>
      <c r="AH171" s="14">
        <v>0</v>
      </c>
      <c r="AI171" s="25">
        <f t="shared" si="7"/>
        <v>20</v>
      </c>
    </row>
    <row r="172" spans="1:35" ht="15.75" customHeight="1">
      <c r="A172" s="144">
        <v>2212005017</v>
      </c>
      <c r="B172" s="146" t="s">
        <v>180</v>
      </c>
      <c r="C172" s="225" t="s">
        <v>6</v>
      </c>
      <c r="D172" s="14">
        <v>8</v>
      </c>
      <c r="E172" s="14">
        <v>0</v>
      </c>
      <c r="F172" s="14">
        <v>8</v>
      </c>
      <c r="G172" s="14">
        <v>5</v>
      </c>
      <c r="H172" s="14">
        <v>0</v>
      </c>
      <c r="I172" s="14">
        <v>5</v>
      </c>
      <c r="J172" s="14">
        <v>5</v>
      </c>
      <c r="K172" s="14">
        <v>6</v>
      </c>
      <c r="L172" s="14">
        <v>8</v>
      </c>
      <c r="M172" s="14">
        <v>0</v>
      </c>
      <c r="N172" s="14">
        <v>0</v>
      </c>
      <c r="O172" s="14">
        <v>0</v>
      </c>
      <c r="P172" s="14">
        <v>5</v>
      </c>
      <c r="Q172" s="14">
        <v>0</v>
      </c>
      <c r="R172" s="14">
        <v>0</v>
      </c>
      <c r="S172" s="14">
        <v>0</v>
      </c>
      <c r="T172" s="14">
        <v>0</v>
      </c>
      <c r="U172" s="14">
        <v>8</v>
      </c>
      <c r="V172" s="14">
        <v>0</v>
      </c>
      <c r="W172" s="14">
        <v>0</v>
      </c>
      <c r="X172" s="14">
        <v>13</v>
      </c>
      <c r="Y172" s="14">
        <v>0</v>
      </c>
      <c r="Z172" s="14">
        <v>0</v>
      </c>
      <c r="AA172" s="14">
        <v>9</v>
      </c>
      <c r="AB172" s="14">
        <v>6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25">
        <f t="shared" si="7"/>
        <v>86</v>
      </c>
    </row>
    <row r="173" spans="1:35" ht="15.75" customHeight="1">
      <c r="A173" s="144">
        <v>2212005018</v>
      </c>
      <c r="B173" s="146" t="s">
        <v>181</v>
      </c>
      <c r="C173" s="225" t="s">
        <v>6</v>
      </c>
      <c r="D173" s="14">
        <v>0</v>
      </c>
      <c r="E173" s="14">
        <v>0</v>
      </c>
      <c r="F173" s="14">
        <v>0</v>
      </c>
      <c r="G173" s="14">
        <v>5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25">
        <f t="shared" si="7"/>
        <v>5</v>
      </c>
    </row>
    <row r="174" spans="1:35" ht="15.75" customHeight="1">
      <c r="A174" s="144">
        <v>2212005019</v>
      </c>
      <c r="B174" s="146" t="s">
        <v>182</v>
      </c>
      <c r="C174" s="225" t="s">
        <v>6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25">
        <f t="shared" si="7"/>
        <v>0</v>
      </c>
    </row>
    <row r="175" spans="1:35" ht="15.75" customHeight="1">
      <c r="A175" s="144">
        <v>2212005020</v>
      </c>
      <c r="B175" s="146" t="s">
        <v>183</v>
      </c>
      <c r="C175" s="225" t="s">
        <v>6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25">
        <f t="shared" si="7"/>
        <v>0</v>
      </c>
    </row>
    <row r="176" spans="1:35" ht="15.75" customHeight="1">
      <c r="A176" s="144">
        <v>2212005021</v>
      </c>
      <c r="B176" s="146" t="s">
        <v>184</v>
      </c>
      <c r="C176" s="225" t="s">
        <v>6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25">
        <f t="shared" si="7"/>
        <v>0</v>
      </c>
    </row>
    <row r="177" spans="1:35" ht="15.75" customHeight="1">
      <c r="A177" s="144">
        <v>2212005022</v>
      </c>
      <c r="B177" s="146" t="s">
        <v>185</v>
      </c>
      <c r="C177" s="225" t="s">
        <v>6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25">
        <f t="shared" si="7"/>
        <v>0</v>
      </c>
    </row>
    <row r="178" spans="1:35" ht="15.75" customHeight="1">
      <c r="A178" s="144">
        <v>2212005023</v>
      </c>
      <c r="B178" s="146" t="s">
        <v>186</v>
      </c>
      <c r="C178" s="225" t="s">
        <v>171</v>
      </c>
      <c r="D178" s="14">
        <v>0</v>
      </c>
      <c r="E178" s="14">
        <v>0</v>
      </c>
      <c r="F178" s="14">
        <v>0</v>
      </c>
      <c r="G178" s="14">
        <v>40</v>
      </c>
      <c r="H178" s="14">
        <v>40</v>
      </c>
      <c r="I178" s="14">
        <v>0</v>
      </c>
      <c r="J178" s="14">
        <v>40</v>
      </c>
      <c r="K178" s="14">
        <v>0</v>
      </c>
      <c r="L178" s="14">
        <v>0</v>
      </c>
      <c r="M178" s="14">
        <v>40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40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40</v>
      </c>
      <c r="Z178" s="14">
        <v>0</v>
      </c>
      <c r="AA178" s="14">
        <v>0</v>
      </c>
      <c r="AB178" s="14">
        <v>0</v>
      </c>
      <c r="AC178" s="14">
        <v>0</v>
      </c>
      <c r="AD178" s="14">
        <v>40</v>
      </c>
      <c r="AE178" s="14">
        <v>0</v>
      </c>
      <c r="AF178" s="14">
        <v>0</v>
      </c>
      <c r="AG178" s="14">
        <v>0</v>
      </c>
      <c r="AH178" s="14">
        <v>0</v>
      </c>
      <c r="AI178" s="25">
        <f t="shared" si="7"/>
        <v>280</v>
      </c>
    </row>
    <row r="179" spans="1:35" ht="15.75" customHeight="1">
      <c r="A179" s="144">
        <v>2212005024</v>
      </c>
      <c r="B179" s="146" t="s">
        <v>187</v>
      </c>
      <c r="C179" s="225" t="s">
        <v>171</v>
      </c>
      <c r="D179" s="14">
        <v>40</v>
      </c>
      <c r="E179" s="14">
        <v>0</v>
      </c>
      <c r="F179" s="14">
        <v>40</v>
      </c>
      <c r="G179" s="14">
        <v>0</v>
      </c>
      <c r="H179" s="14">
        <v>0</v>
      </c>
      <c r="I179" s="14">
        <v>40</v>
      </c>
      <c r="J179" s="14">
        <v>0</v>
      </c>
      <c r="K179" s="14">
        <v>40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40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40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40</v>
      </c>
      <c r="AD179" s="14">
        <v>0</v>
      </c>
      <c r="AE179" s="14">
        <v>0</v>
      </c>
      <c r="AF179" s="14">
        <v>40</v>
      </c>
      <c r="AG179" s="14">
        <v>0</v>
      </c>
      <c r="AH179" s="14">
        <v>0</v>
      </c>
      <c r="AI179" s="25">
        <f t="shared" si="7"/>
        <v>320</v>
      </c>
    </row>
    <row r="180" spans="1:35" ht="15.75" customHeight="1">
      <c r="A180" s="144">
        <v>2212005026</v>
      </c>
      <c r="B180" s="146" t="s">
        <v>188</v>
      </c>
      <c r="C180" s="225" t="s">
        <v>6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25">
        <f t="shared" si="7"/>
        <v>0</v>
      </c>
    </row>
    <row r="181" spans="1:35" ht="15.75" customHeight="1">
      <c r="A181" s="144">
        <v>2212005027</v>
      </c>
      <c r="B181" s="146" t="s">
        <v>189</v>
      </c>
      <c r="C181" s="225" t="s">
        <v>171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25">
        <f t="shared" si="7"/>
        <v>0</v>
      </c>
    </row>
    <row r="182" spans="1:35" ht="15.75" customHeight="1">
      <c r="A182" s="144">
        <v>2212005028</v>
      </c>
      <c r="B182" s="146" t="s">
        <v>190</v>
      </c>
      <c r="C182" s="225" t="s">
        <v>177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25">
        <f t="shared" si="7"/>
        <v>0</v>
      </c>
    </row>
    <row r="183" spans="1:35" ht="15.75" customHeight="1">
      <c r="A183" s="144">
        <v>2212005032</v>
      </c>
      <c r="B183" s="146" t="s">
        <v>191</v>
      </c>
      <c r="C183" s="225" t="s">
        <v>177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25">
        <f t="shared" si="7"/>
        <v>0</v>
      </c>
    </row>
    <row r="184" spans="1:35" ht="15.75" customHeight="1">
      <c r="A184" s="144">
        <v>2212005034</v>
      </c>
      <c r="B184" s="146" t="s">
        <v>192</v>
      </c>
      <c r="C184" s="225" t="s">
        <v>6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25">
        <f t="shared" si="7"/>
        <v>0</v>
      </c>
    </row>
    <row r="185" spans="1:35" ht="15.75" customHeight="1">
      <c r="A185" s="144">
        <v>2212005035</v>
      </c>
      <c r="B185" s="146" t="s">
        <v>193</v>
      </c>
      <c r="C185" s="225" t="s">
        <v>8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25">
        <f t="shared" si="7"/>
        <v>0</v>
      </c>
    </row>
    <row r="186" spans="1:35" ht="15.75" customHeight="1">
      <c r="A186" s="144">
        <v>2212005037</v>
      </c>
      <c r="B186" s="146" t="s">
        <v>194</v>
      </c>
      <c r="C186" s="225" t="s">
        <v>6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25">
        <f t="shared" si="7"/>
        <v>0</v>
      </c>
    </row>
    <row r="187" spans="1:35" ht="15.75" customHeight="1">
      <c r="A187" s="144">
        <v>2212005038</v>
      </c>
      <c r="B187" s="146" t="s">
        <v>195</v>
      </c>
      <c r="C187" s="225" t="s">
        <v>171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25">
        <f t="shared" si="7"/>
        <v>0</v>
      </c>
    </row>
    <row r="188" spans="1:35" ht="15.75" customHeight="1">
      <c r="A188" s="144">
        <v>2212005041</v>
      </c>
      <c r="B188" s="146" t="s">
        <v>196</v>
      </c>
      <c r="C188" s="225" t="s">
        <v>6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25">
        <f t="shared" si="7"/>
        <v>0</v>
      </c>
    </row>
    <row r="189" spans="1:35" ht="15.75" customHeight="1">
      <c r="A189" s="157">
        <v>2212005042</v>
      </c>
      <c r="B189" s="158" t="s">
        <v>197</v>
      </c>
      <c r="C189" s="244" t="s">
        <v>171</v>
      </c>
      <c r="D189" s="14">
        <v>50</v>
      </c>
      <c r="E189" s="14">
        <v>55</v>
      </c>
      <c r="F189" s="14">
        <v>50</v>
      </c>
      <c r="G189" s="14">
        <v>50</v>
      </c>
      <c r="H189" s="14">
        <v>50</v>
      </c>
      <c r="I189" s="14">
        <v>50</v>
      </c>
      <c r="J189" s="14">
        <v>50</v>
      </c>
      <c r="K189" s="14">
        <v>30</v>
      </c>
      <c r="L189" s="14">
        <v>50</v>
      </c>
      <c r="M189" s="14">
        <v>50</v>
      </c>
      <c r="N189" s="14">
        <v>50</v>
      </c>
      <c r="O189" s="14">
        <v>50</v>
      </c>
      <c r="P189" s="14">
        <v>50</v>
      </c>
      <c r="Q189" s="14">
        <v>50</v>
      </c>
      <c r="R189" s="14">
        <v>50</v>
      </c>
      <c r="S189" s="14">
        <v>68</v>
      </c>
      <c r="T189" s="14">
        <v>50</v>
      </c>
      <c r="U189" s="14">
        <v>50</v>
      </c>
      <c r="V189" s="14">
        <v>50</v>
      </c>
      <c r="W189" s="14">
        <v>50</v>
      </c>
      <c r="X189" s="14">
        <v>50</v>
      </c>
      <c r="Y189" s="14">
        <v>50</v>
      </c>
      <c r="Z189" s="14">
        <v>50</v>
      </c>
      <c r="AA189" s="14">
        <v>50</v>
      </c>
      <c r="AB189" s="14">
        <v>50</v>
      </c>
      <c r="AC189" s="14">
        <v>50</v>
      </c>
      <c r="AD189" s="14">
        <v>65</v>
      </c>
      <c r="AE189" s="14">
        <v>50</v>
      </c>
      <c r="AF189" s="14">
        <v>68</v>
      </c>
      <c r="AG189" s="14">
        <v>50</v>
      </c>
      <c r="AH189" s="14">
        <v>50</v>
      </c>
      <c r="AI189" s="25">
        <f t="shared" si="7"/>
        <v>1586</v>
      </c>
    </row>
    <row r="190" spans="1:35" ht="18.75" customHeight="1">
      <c r="A190" s="633" t="s">
        <v>198</v>
      </c>
      <c r="B190" s="631"/>
      <c r="C190" s="631"/>
      <c r="D190" s="631"/>
      <c r="E190" s="631"/>
      <c r="F190" s="631"/>
      <c r="G190" s="631"/>
      <c r="H190" s="631"/>
      <c r="I190" s="631"/>
      <c r="J190" s="631"/>
      <c r="K190" s="631"/>
      <c r="L190" s="631"/>
      <c r="M190" s="631"/>
      <c r="N190" s="631"/>
      <c r="O190" s="631"/>
      <c r="P190" s="631"/>
      <c r="Q190" s="631"/>
      <c r="R190" s="631"/>
      <c r="S190" s="631"/>
      <c r="T190" s="631"/>
      <c r="U190" s="631"/>
      <c r="V190" s="631"/>
      <c r="W190" s="631"/>
      <c r="X190" s="631"/>
      <c r="Y190" s="631"/>
      <c r="Z190" s="631"/>
      <c r="AA190" s="631"/>
      <c r="AB190" s="631"/>
      <c r="AC190" s="631"/>
      <c r="AD190" s="631"/>
      <c r="AE190" s="631"/>
      <c r="AF190" s="631"/>
      <c r="AG190" s="631"/>
      <c r="AH190" s="631"/>
      <c r="AI190" s="632"/>
    </row>
    <row r="191" spans="1:35" ht="15.75" customHeight="1">
      <c r="A191" s="162">
        <v>2212004041</v>
      </c>
      <c r="B191" s="163" t="s">
        <v>199</v>
      </c>
      <c r="C191" s="245" t="s">
        <v>6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25">
        <f t="shared" ref="AI191:AI224" si="8">SUM(D191:AH191)</f>
        <v>0</v>
      </c>
    </row>
    <row r="192" spans="1:35" ht="15.75" customHeight="1">
      <c r="A192" s="165">
        <v>2212008002</v>
      </c>
      <c r="B192" s="166" t="s">
        <v>200</v>
      </c>
      <c r="C192" s="246" t="s">
        <v>86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30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27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25">
        <f t="shared" si="8"/>
        <v>57</v>
      </c>
    </row>
    <row r="193" spans="1:35" ht="15.75" customHeight="1">
      <c r="A193" s="165">
        <v>2212008007</v>
      </c>
      <c r="B193" s="166" t="s">
        <v>201</v>
      </c>
      <c r="C193" s="246" t="s">
        <v>8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25">
        <f t="shared" si="8"/>
        <v>0</v>
      </c>
    </row>
    <row r="194" spans="1:35" ht="15.75" customHeight="1">
      <c r="A194" s="165">
        <v>2212008008</v>
      </c>
      <c r="B194" s="166" t="s">
        <v>202</v>
      </c>
      <c r="C194" s="246" t="s">
        <v>8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80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80</v>
      </c>
      <c r="AI194" s="25">
        <f t="shared" si="8"/>
        <v>160</v>
      </c>
    </row>
    <row r="195" spans="1:35" ht="15.75" customHeight="1">
      <c r="A195" s="165">
        <v>2212008009</v>
      </c>
      <c r="B195" s="166" t="s">
        <v>203</v>
      </c>
      <c r="C195" s="246" t="s">
        <v>8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25">
        <f t="shared" si="8"/>
        <v>0</v>
      </c>
    </row>
    <row r="196" spans="1:35" ht="15.75" customHeight="1">
      <c r="A196" s="165">
        <v>2212008010</v>
      </c>
      <c r="B196" s="166" t="s">
        <v>204</v>
      </c>
      <c r="C196" s="246" t="s">
        <v>86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25">
        <f t="shared" si="8"/>
        <v>0</v>
      </c>
    </row>
    <row r="197" spans="1:35" ht="15.75" customHeight="1">
      <c r="A197" s="165">
        <v>2212008011</v>
      </c>
      <c r="B197" s="166" t="s">
        <v>205</v>
      </c>
      <c r="C197" s="246" t="s">
        <v>8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250</v>
      </c>
      <c r="M197" s="14">
        <v>150</v>
      </c>
      <c r="N197" s="14">
        <v>250</v>
      </c>
      <c r="O197" s="14">
        <v>150</v>
      </c>
      <c r="P197" s="14">
        <v>0</v>
      </c>
      <c r="Q197" s="14">
        <v>150</v>
      </c>
      <c r="R197" s="14">
        <v>250</v>
      </c>
      <c r="S197" s="14">
        <v>0</v>
      </c>
      <c r="T197" s="14">
        <v>250</v>
      </c>
      <c r="U197" s="14">
        <v>250</v>
      </c>
      <c r="V197" s="14">
        <v>0</v>
      </c>
      <c r="W197" s="14">
        <v>150</v>
      </c>
      <c r="X197" s="14">
        <v>400</v>
      </c>
      <c r="Y197" s="14">
        <v>150</v>
      </c>
      <c r="Z197" s="14">
        <v>250</v>
      </c>
      <c r="AA197" s="14">
        <v>400</v>
      </c>
      <c r="AB197" s="14">
        <v>250</v>
      </c>
      <c r="AC197" s="14">
        <v>150</v>
      </c>
      <c r="AD197" s="14">
        <v>0</v>
      </c>
      <c r="AE197" s="14">
        <v>400</v>
      </c>
      <c r="AF197" s="14">
        <v>0</v>
      </c>
      <c r="AG197" s="14">
        <v>150</v>
      </c>
      <c r="AH197" s="14">
        <v>150</v>
      </c>
      <c r="AI197" s="25">
        <f t="shared" si="8"/>
        <v>4150</v>
      </c>
    </row>
    <row r="198" spans="1:35" ht="15.75" customHeight="1">
      <c r="A198" s="165">
        <v>2212008012</v>
      </c>
      <c r="B198" s="166" t="s">
        <v>206</v>
      </c>
      <c r="C198" s="246" t="s">
        <v>6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25">
        <f t="shared" si="8"/>
        <v>0</v>
      </c>
    </row>
    <row r="199" spans="1:35" ht="15.75" customHeight="1">
      <c r="A199" s="165">
        <v>2212008013</v>
      </c>
      <c r="B199" s="166" t="s">
        <v>207</v>
      </c>
      <c r="C199" s="246" t="s">
        <v>86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25">
        <f t="shared" si="8"/>
        <v>0</v>
      </c>
    </row>
    <row r="200" spans="1:35" ht="15.75" customHeight="1">
      <c r="A200" s="165">
        <v>2212008014</v>
      </c>
      <c r="B200" s="166" t="s">
        <v>208</v>
      </c>
      <c r="C200" s="246" t="s">
        <v>86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20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25">
        <f t="shared" si="8"/>
        <v>20</v>
      </c>
    </row>
    <row r="201" spans="1:35" ht="15.75" customHeight="1">
      <c r="A201" s="165">
        <v>2212008015</v>
      </c>
      <c r="B201" s="166" t="s">
        <v>209</v>
      </c>
      <c r="C201" s="246" t="s">
        <v>86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25">
        <f t="shared" si="8"/>
        <v>0</v>
      </c>
    </row>
    <row r="202" spans="1:35" ht="15.75" customHeight="1">
      <c r="A202" s="165">
        <v>2212008016</v>
      </c>
      <c r="B202" s="166" t="s">
        <v>210</v>
      </c>
      <c r="C202" s="246" t="s">
        <v>8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25">
        <f t="shared" si="8"/>
        <v>0</v>
      </c>
    </row>
    <row r="203" spans="1:35" ht="15.75" customHeight="1">
      <c r="A203" s="165">
        <v>2212008017</v>
      </c>
      <c r="B203" s="166" t="s">
        <v>211</v>
      </c>
      <c r="C203" s="246" t="s">
        <v>8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25">
        <f t="shared" si="8"/>
        <v>0</v>
      </c>
    </row>
    <row r="204" spans="1:35" ht="15.75" customHeight="1">
      <c r="A204" s="165">
        <v>2212008018</v>
      </c>
      <c r="B204" s="166" t="s">
        <v>212</v>
      </c>
      <c r="C204" s="246" t="s">
        <v>8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25">
        <f t="shared" si="8"/>
        <v>0</v>
      </c>
    </row>
    <row r="205" spans="1:35" ht="15.75" customHeight="1">
      <c r="A205" s="165">
        <v>2212008020</v>
      </c>
      <c r="B205" s="166" t="s">
        <v>213</v>
      </c>
      <c r="C205" s="246" t="s">
        <v>6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7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20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25">
        <f t="shared" si="8"/>
        <v>27</v>
      </c>
    </row>
    <row r="206" spans="1:35" ht="15.75" customHeight="1">
      <c r="A206" s="165">
        <v>2212008021</v>
      </c>
      <c r="B206" s="166" t="s">
        <v>214</v>
      </c>
      <c r="C206" s="246" t="s">
        <v>6</v>
      </c>
      <c r="D206" s="254">
        <v>0</v>
      </c>
      <c r="E206" s="254">
        <v>44</v>
      </c>
      <c r="F206" s="254">
        <v>44</v>
      </c>
      <c r="G206" s="254">
        <v>0</v>
      </c>
      <c r="H206" s="254">
        <v>0</v>
      </c>
      <c r="I206" s="254">
        <v>44</v>
      </c>
      <c r="J206" s="254">
        <v>22</v>
      </c>
      <c r="K206" s="254">
        <v>44</v>
      </c>
      <c r="L206" s="254">
        <v>0</v>
      </c>
      <c r="M206" s="254">
        <v>22</v>
      </c>
      <c r="N206" s="254">
        <v>44</v>
      </c>
      <c r="O206" s="254">
        <v>44</v>
      </c>
      <c r="P206" s="254">
        <v>0</v>
      </c>
      <c r="Q206" s="254">
        <v>44</v>
      </c>
      <c r="R206" s="254">
        <v>22</v>
      </c>
      <c r="S206" s="254">
        <v>22</v>
      </c>
      <c r="T206" s="254">
        <v>22</v>
      </c>
      <c r="U206" s="254">
        <v>0</v>
      </c>
      <c r="V206" s="254">
        <v>44</v>
      </c>
      <c r="W206" s="254">
        <v>22</v>
      </c>
      <c r="X206" s="254">
        <v>22</v>
      </c>
      <c r="Y206" s="254">
        <v>22</v>
      </c>
      <c r="Z206" s="254">
        <v>44</v>
      </c>
      <c r="AA206" s="254">
        <v>44</v>
      </c>
      <c r="AB206" s="254">
        <v>0</v>
      </c>
      <c r="AC206" s="254">
        <v>22</v>
      </c>
      <c r="AD206" s="254">
        <v>22</v>
      </c>
      <c r="AE206" s="254">
        <v>44</v>
      </c>
      <c r="AF206" s="254">
        <v>47</v>
      </c>
      <c r="AG206" s="254">
        <v>44</v>
      </c>
      <c r="AH206" s="254">
        <v>47</v>
      </c>
      <c r="AI206" s="25">
        <f t="shared" si="8"/>
        <v>842</v>
      </c>
    </row>
    <row r="207" spans="1:35" ht="15.75" customHeight="1">
      <c r="A207" s="165">
        <v>2212008022</v>
      </c>
      <c r="B207" s="166" t="s">
        <v>215</v>
      </c>
      <c r="C207" s="246" t="s">
        <v>8</v>
      </c>
      <c r="D207" s="14">
        <v>200</v>
      </c>
      <c r="E207" s="14">
        <v>200</v>
      </c>
      <c r="F207" s="14">
        <v>0</v>
      </c>
      <c r="G207" s="14">
        <v>300</v>
      </c>
      <c r="H207" s="14">
        <v>600</v>
      </c>
      <c r="I207" s="14">
        <v>0</v>
      </c>
      <c r="J207" s="14">
        <v>200</v>
      </c>
      <c r="K207" s="14">
        <v>0</v>
      </c>
      <c r="L207" s="14">
        <v>500</v>
      </c>
      <c r="M207" s="14">
        <v>0</v>
      </c>
      <c r="N207" s="14">
        <v>200</v>
      </c>
      <c r="O207" s="14">
        <v>200</v>
      </c>
      <c r="P207" s="14">
        <v>300</v>
      </c>
      <c r="Q207" s="14">
        <v>0</v>
      </c>
      <c r="R207" s="14">
        <v>300</v>
      </c>
      <c r="S207" s="14">
        <v>0</v>
      </c>
      <c r="T207" s="14">
        <v>200</v>
      </c>
      <c r="U207" s="14">
        <v>300</v>
      </c>
      <c r="V207" s="14">
        <v>0</v>
      </c>
      <c r="W207" s="14">
        <v>0</v>
      </c>
      <c r="X207" s="14">
        <v>500</v>
      </c>
      <c r="Y207" s="14">
        <v>0</v>
      </c>
      <c r="Z207" s="14">
        <v>0</v>
      </c>
      <c r="AA207" s="14">
        <v>0</v>
      </c>
      <c r="AB207" s="14">
        <v>0</v>
      </c>
      <c r="AC207" s="14">
        <v>500</v>
      </c>
      <c r="AD207" s="14">
        <v>0</v>
      </c>
      <c r="AE207" s="14">
        <v>200</v>
      </c>
      <c r="AF207" s="14">
        <v>0</v>
      </c>
      <c r="AG207" s="14">
        <v>0</v>
      </c>
      <c r="AH207" s="14">
        <v>0</v>
      </c>
      <c r="AI207" s="25">
        <f t="shared" si="8"/>
        <v>4700</v>
      </c>
    </row>
    <row r="208" spans="1:35" ht="15.75" customHeight="1">
      <c r="A208" s="165">
        <v>2212008023</v>
      </c>
      <c r="B208" s="166" t="s">
        <v>216</v>
      </c>
      <c r="C208" s="246" t="s">
        <v>6</v>
      </c>
      <c r="D208" s="14">
        <v>15</v>
      </c>
      <c r="E208" s="14">
        <v>0</v>
      </c>
      <c r="F208" s="14">
        <v>0</v>
      </c>
      <c r="G208" s="14">
        <v>6</v>
      </c>
      <c r="H208" s="14">
        <v>0</v>
      </c>
      <c r="I208" s="14">
        <v>0</v>
      </c>
      <c r="J208" s="14">
        <v>0</v>
      </c>
      <c r="K208" s="14">
        <v>0</v>
      </c>
      <c r="L208" s="14">
        <v>15</v>
      </c>
      <c r="M208" s="14">
        <v>0</v>
      </c>
      <c r="N208" s="14">
        <v>0</v>
      </c>
      <c r="O208" s="14">
        <v>0</v>
      </c>
      <c r="P208" s="14">
        <v>6</v>
      </c>
      <c r="Q208" s="14">
        <v>0</v>
      </c>
      <c r="R208" s="14">
        <v>0</v>
      </c>
      <c r="S208" s="14">
        <v>0</v>
      </c>
      <c r="T208" s="14">
        <v>15</v>
      </c>
      <c r="U208" s="14">
        <v>0</v>
      </c>
      <c r="V208" s="14">
        <v>7</v>
      </c>
      <c r="W208" s="14">
        <v>0</v>
      </c>
      <c r="X208" s="14">
        <v>0</v>
      </c>
      <c r="Y208" s="14">
        <v>6</v>
      </c>
      <c r="Z208" s="14">
        <v>0</v>
      </c>
      <c r="AA208" s="14">
        <v>0</v>
      </c>
      <c r="AB208" s="14">
        <v>15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6</v>
      </c>
      <c r="AI208" s="25">
        <f t="shared" si="8"/>
        <v>91</v>
      </c>
    </row>
    <row r="209" spans="1:35" ht="15.75" customHeight="1">
      <c r="A209" s="165">
        <v>2212008024</v>
      </c>
      <c r="B209" s="166" t="s">
        <v>217</v>
      </c>
      <c r="C209" s="246" t="s">
        <v>86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25">
        <f t="shared" si="8"/>
        <v>0</v>
      </c>
    </row>
    <row r="210" spans="1:35" ht="15.75" customHeight="1">
      <c r="A210" s="165">
        <v>2212008025</v>
      </c>
      <c r="B210" s="166" t="s">
        <v>218</v>
      </c>
      <c r="C210" s="246" t="s">
        <v>219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25">
        <f t="shared" si="8"/>
        <v>0</v>
      </c>
    </row>
    <row r="211" spans="1:35" ht="15.75" customHeight="1">
      <c r="A211" s="165">
        <v>2212008026</v>
      </c>
      <c r="B211" s="166" t="s">
        <v>220</v>
      </c>
      <c r="C211" s="246" t="s">
        <v>8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25">
        <f t="shared" si="8"/>
        <v>0</v>
      </c>
    </row>
    <row r="212" spans="1:35" ht="15.75" customHeight="1">
      <c r="A212" s="165">
        <v>2212008028</v>
      </c>
      <c r="B212" s="166" t="s">
        <v>221</v>
      </c>
      <c r="C212" s="246" t="s">
        <v>8</v>
      </c>
      <c r="D212" s="14">
        <v>0</v>
      </c>
      <c r="E212" s="14">
        <v>0</v>
      </c>
      <c r="F212" s="14">
        <v>0</v>
      </c>
      <c r="G212" s="14">
        <v>200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200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25">
        <f t="shared" si="8"/>
        <v>400</v>
      </c>
    </row>
    <row r="213" spans="1:35" ht="15.75" customHeight="1">
      <c r="A213" s="165">
        <v>2212008029</v>
      </c>
      <c r="B213" s="166" t="s">
        <v>222</v>
      </c>
      <c r="C213" s="246" t="s">
        <v>8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25">
        <f t="shared" si="8"/>
        <v>0</v>
      </c>
    </row>
    <row r="214" spans="1:35" ht="15.75" customHeight="1">
      <c r="A214" s="176">
        <v>2212008031</v>
      </c>
      <c r="B214" s="177" t="s">
        <v>223</v>
      </c>
      <c r="C214" s="255" t="s">
        <v>8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25">
        <f t="shared" si="8"/>
        <v>0</v>
      </c>
    </row>
    <row r="215" spans="1:35" ht="15.75" customHeight="1">
      <c r="A215" s="165">
        <v>2212008032</v>
      </c>
      <c r="B215" s="166" t="s">
        <v>224</v>
      </c>
      <c r="C215" s="246" t="s">
        <v>8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25">
        <f t="shared" si="8"/>
        <v>0</v>
      </c>
    </row>
    <row r="216" spans="1:35" ht="15.75" customHeight="1">
      <c r="A216" s="165">
        <v>2212008033</v>
      </c>
      <c r="B216" s="166" t="s">
        <v>225</v>
      </c>
      <c r="C216" s="246" t="s">
        <v>8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25">
        <f t="shared" si="8"/>
        <v>0</v>
      </c>
    </row>
    <row r="217" spans="1:35" ht="15.75" customHeight="1">
      <c r="A217" s="165">
        <v>2212008034</v>
      </c>
      <c r="B217" s="166" t="s">
        <v>226</v>
      </c>
      <c r="C217" s="246" t="s">
        <v>6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25">
        <f t="shared" si="8"/>
        <v>0</v>
      </c>
    </row>
    <row r="218" spans="1:35" ht="15.75" customHeight="1">
      <c r="A218" s="165">
        <v>2212008035</v>
      </c>
      <c r="B218" s="166" t="s">
        <v>227</v>
      </c>
      <c r="C218" s="246" t="s">
        <v>6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25">
        <f t="shared" si="8"/>
        <v>0</v>
      </c>
    </row>
    <row r="219" spans="1:35" ht="15.75" customHeight="1">
      <c r="A219" s="165">
        <v>2212008037</v>
      </c>
      <c r="B219" s="166" t="s">
        <v>228</v>
      </c>
      <c r="C219" s="246" t="s">
        <v>8</v>
      </c>
      <c r="D219" s="14">
        <v>150</v>
      </c>
      <c r="E219" s="14">
        <v>0</v>
      </c>
      <c r="F219" s="14">
        <v>90</v>
      </c>
      <c r="G219" s="14">
        <v>90</v>
      </c>
      <c r="H219" s="14">
        <v>90</v>
      </c>
      <c r="I219" s="14">
        <v>90</v>
      </c>
      <c r="J219" s="14">
        <v>0</v>
      </c>
      <c r="K219" s="14">
        <v>0</v>
      </c>
      <c r="L219" s="14">
        <v>150</v>
      </c>
      <c r="M219" s="14">
        <v>240</v>
      </c>
      <c r="N219" s="14">
        <v>0</v>
      </c>
      <c r="O219" s="14">
        <v>0</v>
      </c>
      <c r="P219" s="14">
        <v>90</v>
      </c>
      <c r="Q219" s="14">
        <v>90</v>
      </c>
      <c r="R219" s="14">
        <v>90</v>
      </c>
      <c r="S219" s="14">
        <v>240</v>
      </c>
      <c r="T219" s="14">
        <v>150</v>
      </c>
      <c r="U219" s="14">
        <v>240</v>
      </c>
      <c r="V219" s="14">
        <v>90</v>
      </c>
      <c r="W219" s="14">
        <v>190</v>
      </c>
      <c r="X219" s="14">
        <v>0</v>
      </c>
      <c r="Y219" s="14">
        <v>280</v>
      </c>
      <c r="Z219" s="14">
        <v>0</v>
      </c>
      <c r="AA219" s="14">
        <v>0</v>
      </c>
      <c r="AB219" s="14">
        <v>230</v>
      </c>
      <c r="AC219" s="14">
        <v>0</v>
      </c>
      <c r="AD219" s="14">
        <v>240</v>
      </c>
      <c r="AE219" s="14">
        <v>0</v>
      </c>
      <c r="AF219" s="14">
        <v>80</v>
      </c>
      <c r="AG219" s="14">
        <v>90</v>
      </c>
      <c r="AH219" s="14">
        <v>0</v>
      </c>
      <c r="AI219" s="25">
        <f t="shared" si="8"/>
        <v>3000</v>
      </c>
    </row>
    <row r="220" spans="1:35" ht="15.75" customHeight="1">
      <c r="A220" s="165">
        <v>2212008039</v>
      </c>
      <c r="B220" s="166" t="s">
        <v>229</v>
      </c>
      <c r="C220" s="246" t="s">
        <v>8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25">
        <f t="shared" si="8"/>
        <v>0</v>
      </c>
    </row>
    <row r="221" spans="1:35" ht="15.75" customHeight="1">
      <c r="A221" s="165">
        <v>2212008040</v>
      </c>
      <c r="B221" s="166" t="s">
        <v>230</v>
      </c>
      <c r="C221" s="246" t="s">
        <v>6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25">
        <f t="shared" si="8"/>
        <v>0</v>
      </c>
    </row>
    <row r="222" spans="1:35" ht="15.75" customHeight="1">
      <c r="A222" s="165">
        <v>2212008042</v>
      </c>
      <c r="B222" s="166" t="s">
        <v>231</v>
      </c>
      <c r="C222" s="246" t="s">
        <v>8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25">
        <f t="shared" si="8"/>
        <v>0</v>
      </c>
    </row>
    <row r="223" spans="1:35" ht="15.75" customHeight="1">
      <c r="A223" s="165">
        <v>2212008045</v>
      </c>
      <c r="B223" s="166" t="s">
        <v>232</v>
      </c>
      <c r="C223" s="246" t="s">
        <v>8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25">
        <f t="shared" si="8"/>
        <v>0</v>
      </c>
    </row>
    <row r="224" spans="1:35" ht="15.75" customHeight="1">
      <c r="A224" s="183">
        <v>2212004045</v>
      </c>
      <c r="B224" s="185" t="s">
        <v>233</v>
      </c>
      <c r="C224" s="264" t="s">
        <v>6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2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2</v>
      </c>
      <c r="AE224" s="14">
        <v>0</v>
      </c>
      <c r="AF224" s="14">
        <v>0</v>
      </c>
      <c r="AG224" s="14">
        <v>0</v>
      </c>
      <c r="AH224" s="14">
        <v>0</v>
      </c>
      <c r="AI224" s="25">
        <f t="shared" si="8"/>
        <v>4</v>
      </c>
    </row>
    <row r="225" spans="1:35" ht="18.75" customHeight="1">
      <c r="A225" s="634" t="s">
        <v>234</v>
      </c>
      <c r="B225" s="631"/>
      <c r="C225" s="631"/>
      <c r="D225" s="631"/>
      <c r="E225" s="631"/>
      <c r="F225" s="631"/>
      <c r="G225" s="631"/>
      <c r="H225" s="631"/>
      <c r="I225" s="631"/>
      <c r="J225" s="631"/>
      <c r="K225" s="631"/>
      <c r="L225" s="631"/>
      <c r="M225" s="631"/>
      <c r="N225" s="631"/>
      <c r="O225" s="631"/>
      <c r="P225" s="631"/>
      <c r="Q225" s="631"/>
      <c r="R225" s="631"/>
      <c r="S225" s="631"/>
      <c r="T225" s="631"/>
      <c r="U225" s="631"/>
      <c r="V225" s="631"/>
      <c r="W225" s="631"/>
      <c r="X225" s="631"/>
      <c r="Y225" s="631"/>
      <c r="Z225" s="631"/>
      <c r="AA225" s="631"/>
      <c r="AB225" s="631"/>
      <c r="AC225" s="631"/>
      <c r="AD225" s="631"/>
      <c r="AE225" s="631"/>
      <c r="AF225" s="631"/>
      <c r="AG225" s="631"/>
      <c r="AH225" s="631"/>
      <c r="AI225" s="632"/>
    </row>
    <row r="226" spans="1:35" ht="15.75" customHeight="1">
      <c r="A226" s="189">
        <v>2212009002</v>
      </c>
      <c r="B226" s="191" t="s">
        <v>235</v>
      </c>
      <c r="C226" s="266" t="s">
        <v>6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25">
        <f t="shared" ref="AI226:AI261" si="9">SUM(D226:AH226)</f>
        <v>0</v>
      </c>
    </row>
    <row r="227" spans="1:35" ht="15.75" customHeight="1">
      <c r="A227" s="193">
        <v>2212009004</v>
      </c>
      <c r="B227" s="195" t="s">
        <v>236</v>
      </c>
      <c r="C227" s="267" t="s">
        <v>6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25">
        <f t="shared" si="9"/>
        <v>0</v>
      </c>
    </row>
    <row r="228" spans="1:35" ht="15.75" customHeight="1">
      <c r="A228" s="193">
        <v>2212009005</v>
      </c>
      <c r="B228" s="195" t="s">
        <v>237</v>
      </c>
      <c r="C228" s="267" t="s">
        <v>6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25">
        <f t="shared" si="9"/>
        <v>0</v>
      </c>
    </row>
    <row r="229" spans="1:35" ht="15.75" customHeight="1">
      <c r="A229" s="193">
        <v>2212009006</v>
      </c>
      <c r="B229" s="195" t="s">
        <v>238</v>
      </c>
      <c r="C229" s="267" t="s">
        <v>6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25">
        <f t="shared" si="9"/>
        <v>0</v>
      </c>
    </row>
    <row r="230" spans="1:35" ht="15.75" customHeight="1">
      <c r="A230" s="193">
        <v>2212009007</v>
      </c>
      <c r="B230" s="195" t="s">
        <v>239</v>
      </c>
      <c r="C230" s="267" t="s">
        <v>6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25">
        <f t="shared" si="9"/>
        <v>0</v>
      </c>
    </row>
    <row r="231" spans="1:35" ht="15.75" customHeight="1">
      <c r="A231" s="193">
        <v>2212009008</v>
      </c>
      <c r="B231" s="195" t="s">
        <v>240</v>
      </c>
      <c r="C231" s="267" t="s">
        <v>6</v>
      </c>
      <c r="D231" s="14">
        <v>14</v>
      </c>
      <c r="E231" s="14">
        <v>14</v>
      </c>
      <c r="F231" s="14">
        <v>8</v>
      </c>
      <c r="G231" s="14">
        <v>8</v>
      </c>
      <c r="H231" s="14">
        <v>8</v>
      </c>
      <c r="I231" s="14">
        <v>8</v>
      </c>
      <c r="J231" s="14">
        <v>0</v>
      </c>
      <c r="K231" s="14">
        <v>0</v>
      </c>
      <c r="L231" s="14">
        <v>8</v>
      </c>
      <c r="M231" s="14">
        <v>0</v>
      </c>
      <c r="N231" s="14">
        <v>10</v>
      </c>
      <c r="O231" s="14">
        <v>0</v>
      </c>
      <c r="P231" s="14">
        <v>8</v>
      </c>
      <c r="Q231" s="14">
        <v>5</v>
      </c>
      <c r="R231" s="14">
        <v>0</v>
      </c>
      <c r="S231" s="14">
        <v>8</v>
      </c>
      <c r="T231" s="14">
        <v>0</v>
      </c>
      <c r="U231" s="14">
        <v>8</v>
      </c>
      <c r="V231" s="14">
        <v>10</v>
      </c>
      <c r="W231" s="14">
        <v>0</v>
      </c>
      <c r="X231" s="14">
        <v>8</v>
      </c>
      <c r="Y231" s="14">
        <v>0</v>
      </c>
      <c r="Z231" s="14">
        <v>0</v>
      </c>
      <c r="AA231" s="14">
        <v>0</v>
      </c>
      <c r="AB231" s="14">
        <v>0</v>
      </c>
      <c r="AC231" s="14">
        <v>8</v>
      </c>
      <c r="AD231" s="14">
        <v>5</v>
      </c>
      <c r="AE231" s="14">
        <v>0</v>
      </c>
      <c r="AF231" s="14">
        <v>8</v>
      </c>
      <c r="AG231" s="14">
        <v>8</v>
      </c>
      <c r="AH231" s="14">
        <v>0</v>
      </c>
      <c r="AI231" s="25">
        <f t="shared" si="9"/>
        <v>154</v>
      </c>
    </row>
    <row r="232" spans="1:35" ht="15.75" customHeight="1">
      <c r="A232" s="193">
        <v>2212009009</v>
      </c>
      <c r="B232" s="195" t="s">
        <v>241</v>
      </c>
      <c r="C232" s="267" t="s">
        <v>6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25">
        <f t="shared" si="9"/>
        <v>0</v>
      </c>
    </row>
    <row r="233" spans="1:35" ht="15.75" customHeight="1">
      <c r="A233" s="193">
        <v>2212009010</v>
      </c>
      <c r="B233" s="195" t="s">
        <v>242</v>
      </c>
      <c r="C233" s="267" t="s">
        <v>6</v>
      </c>
      <c r="D233" s="14">
        <v>1</v>
      </c>
      <c r="E233" s="14">
        <v>1</v>
      </c>
      <c r="F233" s="14">
        <v>2</v>
      </c>
      <c r="G233" s="14">
        <v>1</v>
      </c>
      <c r="H233" s="14">
        <v>2</v>
      </c>
      <c r="I233" s="14">
        <v>1</v>
      </c>
      <c r="J233" s="14">
        <v>1</v>
      </c>
      <c r="K233" s="14">
        <v>1</v>
      </c>
      <c r="L233" s="14">
        <v>1</v>
      </c>
      <c r="M233" s="14">
        <v>2</v>
      </c>
      <c r="N233" s="14">
        <v>1</v>
      </c>
      <c r="O233" s="14">
        <v>1</v>
      </c>
      <c r="P233" s="14">
        <v>1</v>
      </c>
      <c r="Q233" s="14">
        <v>1</v>
      </c>
      <c r="R233" s="14">
        <v>1</v>
      </c>
      <c r="S233" s="14">
        <v>1</v>
      </c>
      <c r="T233" s="14">
        <v>2</v>
      </c>
      <c r="U233" s="14">
        <v>1</v>
      </c>
      <c r="V233" s="14">
        <v>1</v>
      </c>
      <c r="W233" s="14">
        <v>1</v>
      </c>
      <c r="X233" s="14">
        <v>1</v>
      </c>
      <c r="Y233" s="14">
        <v>1</v>
      </c>
      <c r="Z233" s="14">
        <v>1</v>
      </c>
      <c r="AA233" s="14">
        <v>1</v>
      </c>
      <c r="AB233" s="14">
        <v>1</v>
      </c>
      <c r="AC233" s="14">
        <v>1</v>
      </c>
      <c r="AD233" s="14">
        <v>1</v>
      </c>
      <c r="AE233" s="14">
        <v>1</v>
      </c>
      <c r="AF233" s="14">
        <v>1</v>
      </c>
      <c r="AG233" s="14">
        <v>1</v>
      </c>
      <c r="AH233" s="14">
        <v>1</v>
      </c>
      <c r="AI233" s="25">
        <f t="shared" si="9"/>
        <v>35</v>
      </c>
    </row>
    <row r="234" spans="1:35" ht="15.75" customHeight="1">
      <c r="A234" s="193">
        <v>2212009011</v>
      </c>
      <c r="B234" s="195" t="s">
        <v>243</v>
      </c>
      <c r="C234" s="267" t="s">
        <v>6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25">
        <f t="shared" si="9"/>
        <v>0</v>
      </c>
    </row>
    <row r="235" spans="1:35" ht="15.75" customHeight="1">
      <c r="A235" s="193">
        <v>2212009012</v>
      </c>
      <c r="B235" s="195" t="s">
        <v>244</v>
      </c>
      <c r="C235" s="267" t="s">
        <v>6</v>
      </c>
      <c r="D235" s="14">
        <v>1</v>
      </c>
      <c r="E235" s="14">
        <v>1</v>
      </c>
      <c r="F235" s="14">
        <v>1</v>
      </c>
      <c r="G235" s="14">
        <v>2</v>
      </c>
      <c r="H235" s="14">
        <v>1</v>
      </c>
      <c r="I235" s="14">
        <v>1</v>
      </c>
      <c r="J235" s="14">
        <v>1</v>
      </c>
      <c r="K235" s="14">
        <v>1</v>
      </c>
      <c r="L235" s="14">
        <v>1</v>
      </c>
      <c r="M235" s="14">
        <v>1</v>
      </c>
      <c r="N235" s="14">
        <v>1</v>
      </c>
      <c r="O235" s="14">
        <v>1</v>
      </c>
      <c r="P235" s="14">
        <v>1</v>
      </c>
      <c r="Q235" s="14">
        <v>2</v>
      </c>
      <c r="R235" s="14">
        <v>1</v>
      </c>
      <c r="S235" s="14">
        <v>0</v>
      </c>
      <c r="T235" s="14">
        <v>0</v>
      </c>
      <c r="U235" s="14">
        <v>1</v>
      </c>
      <c r="V235" s="14">
        <v>1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25">
        <f t="shared" si="9"/>
        <v>19</v>
      </c>
    </row>
    <row r="236" spans="1:35" ht="15.75" customHeight="1">
      <c r="A236" s="193">
        <v>2212009013</v>
      </c>
      <c r="B236" s="195" t="s">
        <v>245</v>
      </c>
      <c r="C236" s="267" t="s">
        <v>6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25">
        <f t="shared" si="9"/>
        <v>0</v>
      </c>
    </row>
    <row r="237" spans="1:35" ht="15.75" customHeight="1">
      <c r="A237" s="193">
        <v>2212009014</v>
      </c>
      <c r="B237" s="195" t="s">
        <v>246</v>
      </c>
      <c r="C237" s="267" t="s">
        <v>6</v>
      </c>
      <c r="D237" s="14">
        <v>1</v>
      </c>
      <c r="E237" s="14">
        <v>0</v>
      </c>
      <c r="F237" s="14">
        <v>1</v>
      </c>
      <c r="G237" s="14">
        <v>1</v>
      </c>
      <c r="H237" s="14">
        <v>1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1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1</v>
      </c>
      <c r="AD237" s="14">
        <v>1</v>
      </c>
      <c r="AE237" s="14">
        <v>1</v>
      </c>
      <c r="AF237" s="14">
        <v>1</v>
      </c>
      <c r="AG237" s="14">
        <v>1</v>
      </c>
      <c r="AH237" s="14">
        <v>0</v>
      </c>
      <c r="AI237" s="25">
        <f t="shared" si="9"/>
        <v>10</v>
      </c>
    </row>
    <row r="238" spans="1:35" ht="15.75" customHeight="1">
      <c r="A238" s="193">
        <v>2212009015</v>
      </c>
      <c r="B238" s="195" t="s">
        <v>247</v>
      </c>
      <c r="C238" s="267" t="s">
        <v>6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25">
        <f t="shared" si="9"/>
        <v>0</v>
      </c>
    </row>
    <row r="239" spans="1:35" ht="15.75" customHeight="1">
      <c r="A239" s="193">
        <v>2212009016</v>
      </c>
      <c r="B239" s="195" t="s">
        <v>248</v>
      </c>
      <c r="C239" s="267" t="s">
        <v>6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25">
        <f t="shared" si="9"/>
        <v>0</v>
      </c>
    </row>
    <row r="240" spans="1:35" ht="15.75" customHeight="1">
      <c r="A240" s="193">
        <v>2212009017</v>
      </c>
      <c r="B240" s="195" t="s">
        <v>249</v>
      </c>
      <c r="C240" s="267" t="s">
        <v>6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25">
        <f t="shared" si="9"/>
        <v>0</v>
      </c>
    </row>
    <row r="241" spans="1:35" ht="15.75" customHeight="1">
      <c r="A241" s="193">
        <v>2212009018</v>
      </c>
      <c r="B241" s="195" t="s">
        <v>250</v>
      </c>
      <c r="C241" s="267" t="s">
        <v>6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25">
        <f t="shared" si="9"/>
        <v>0</v>
      </c>
    </row>
    <row r="242" spans="1:35" ht="15.75" customHeight="1">
      <c r="A242" s="193">
        <v>2212009019</v>
      </c>
      <c r="B242" s="195" t="s">
        <v>251</v>
      </c>
      <c r="C242" s="267" t="s">
        <v>6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25">
        <f t="shared" si="9"/>
        <v>0</v>
      </c>
    </row>
    <row r="243" spans="1:35" ht="15.75" customHeight="1">
      <c r="A243" s="193">
        <v>2212009020</v>
      </c>
      <c r="B243" s="195" t="s">
        <v>252</v>
      </c>
      <c r="C243" s="267" t="s">
        <v>6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25">
        <f t="shared" si="9"/>
        <v>0</v>
      </c>
    </row>
    <row r="244" spans="1:35" ht="15.75" customHeight="1">
      <c r="A244" s="193">
        <v>2212009021</v>
      </c>
      <c r="B244" s="195" t="s">
        <v>253</v>
      </c>
      <c r="C244" s="267" t="s">
        <v>6</v>
      </c>
      <c r="D244" s="14">
        <v>12</v>
      </c>
      <c r="E244" s="14">
        <v>12</v>
      </c>
      <c r="F244" s="14">
        <v>19</v>
      </c>
      <c r="G244" s="14">
        <v>19</v>
      </c>
      <c r="H244" s="14">
        <v>19</v>
      </c>
      <c r="I244" s="14">
        <v>19</v>
      </c>
      <c r="J244" s="14">
        <v>19</v>
      </c>
      <c r="K244" s="14">
        <v>29</v>
      </c>
      <c r="L244" s="14">
        <v>19</v>
      </c>
      <c r="M244" s="14">
        <v>29</v>
      </c>
      <c r="N244" s="14">
        <v>19</v>
      </c>
      <c r="O244" s="14">
        <v>29</v>
      </c>
      <c r="P244" s="14">
        <v>19</v>
      </c>
      <c r="Q244" s="14">
        <v>19</v>
      </c>
      <c r="R244" s="14">
        <v>19</v>
      </c>
      <c r="S244" s="14">
        <v>19</v>
      </c>
      <c r="T244" s="14">
        <v>29</v>
      </c>
      <c r="U244" s="14">
        <v>19</v>
      </c>
      <c r="V244" s="14">
        <v>19</v>
      </c>
      <c r="W244" s="14">
        <v>29</v>
      </c>
      <c r="X244" s="14">
        <v>19</v>
      </c>
      <c r="Y244" s="14">
        <v>29</v>
      </c>
      <c r="Z244" s="14">
        <v>19</v>
      </c>
      <c r="AA244" s="14">
        <v>19</v>
      </c>
      <c r="AB244" s="14">
        <v>19</v>
      </c>
      <c r="AC244" s="14">
        <v>19</v>
      </c>
      <c r="AD244" s="14">
        <v>19</v>
      </c>
      <c r="AE244" s="14">
        <v>19</v>
      </c>
      <c r="AF244" s="14">
        <v>19</v>
      </c>
      <c r="AG244" s="14">
        <v>19</v>
      </c>
      <c r="AH244" s="14">
        <v>29</v>
      </c>
      <c r="AI244" s="25">
        <f t="shared" si="9"/>
        <v>645</v>
      </c>
    </row>
    <row r="245" spans="1:35" ht="15.75" customHeight="1">
      <c r="A245" s="193">
        <v>2212009022</v>
      </c>
      <c r="B245" s="195" t="s">
        <v>254</v>
      </c>
      <c r="C245" s="267" t="s">
        <v>6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25">
        <f t="shared" si="9"/>
        <v>0</v>
      </c>
    </row>
    <row r="246" spans="1:35" ht="15.75" customHeight="1">
      <c r="A246" s="193">
        <v>2212009023</v>
      </c>
      <c r="B246" s="195" t="s">
        <v>255</v>
      </c>
      <c r="C246" s="267" t="s">
        <v>6</v>
      </c>
      <c r="D246" s="14">
        <v>1</v>
      </c>
      <c r="E246" s="14">
        <v>0</v>
      </c>
      <c r="F246" s="14">
        <v>0</v>
      </c>
      <c r="G246" s="14">
        <v>0</v>
      </c>
      <c r="H246" s="14">
        <v>1</v>
      </c>
      <c r="I246" s="14">
        <v>1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1</v>
      </c>
      <c r="Q246" s="14">
        <v>1</v>
      </c>
      <c r="R246" s="14">
        <v>0</v>
      </c>
      <c r="S246" s="14">
        <v>0</v>
      </c>
      <c r="T246" s="14">
        <v>1</v>
      </c>
      <c r="U246" s="14">
        <v>1</v>
      </c>
      <c r="V246" s="14">
        <v>0</v>
      </c>
      <c r="W246" s="14">
        <v>2</v>
      </c>
      <c r="X246" s="14">
        <v>0</v>
      </c>
      <c r="Y246" s="14">
        <v>1</v>
      </c>
      <c r="Z246" s="14">
        <v>1</v>
      </c>
      <c r="AA246" s="14">
        <v>1</v>
      </c>
      <c r="AB246" s="14">
        <v>0</v>
      </c>
      <c r="AC246" s="14">
        <v>1</v>
      </c>
      <c r="AD246" s="14">
        <v>1</v>
      </c>
      <c r="AE246" s="14">
        <v>0</v>
      </c>
      <c r="AF246" s="14">
        <v>0</v>
      </c>
      <c r="AG246" s="14">
        <v>0</v>
      </c>
      <c r="AH246" s="14">
        <v>0</v>
      </c>
      <c r="AI246" s="25">
        <f t="shared" si="9"/>
        <v>14</v>
      </c>
    </row>
    <row r="247" spans="1:35" ht="15.75" customHeight="1">
      <c r="A247" s="193">
        <v>2212009024</v>
      </c>
      <c r="B247" s="195" t="s">
        <v>256</v>
      </c>
      <c r="C247" s="267" t="s">
        <v>6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25">
        <f t="shared" si="9"/>
        <v>0</v>
      </c>
    </row>
    <row r="248" spans="1:35" ht="15.75" customHeight="1">
      <c r="A248" s="193">
        <v>2212009025</v>
      </c>
      <c r="B248" s="195" t="s">
        <v>257</v>
      </c>
      <c r="C248" s="267" t="s">
        <v>6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25">
        <f t="shared" si="9"/>
        <v>0</v>
      </c>
    </row>
    <row r="249" spans="1:35" ht="15.75" customHeight="1">
      <c r="A249" s="193">
        <v>2212009026</v>
      </c>
      <c r="B249" s="195" t="s">
        <v>258</v>
      </c>
      <c r="C249" s="267" t="s">
        <v>6</v>
      </c>
      <c r="D249" s="14">
        <v>0</v>
      </c>
      <c r="E249" s="14">
        <v>3</v>
      </c>
      <c r="F249" s="14">
        <v>0</v>
      </c>
      <c r="G249" s="14">
        <v>0</v>
      </c>
      <c r="H249" s="14">
        <v>0</v>
      </c>
      <c r="I249" s="14">
        <v>3</v>
      </c>
      <c r="J249" s="14">
        <v>0</v>
      </c>
      <c r="K249" s="14">
        <v>0</v>
      </c>
      <c r="L249" s="14">
        <v>0</v>
      </c>
      <c r="M249" s="14">
        <v>2</v>
      </c>
      <c r="N249" s="14">
        <v>4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3</v>
      </c>
      <c r="U249" s="14">
        <v>0</v>
      </c>
      <c r="V249" s="14">
        <v>2</v>
      </c>
      <c r="W249" s="14">
        <v>0</v>
      </c>
      <c r="X249" s="14">
        <v>0</v>
      </c>
      <c r="Y249" s="14">
        <v>0</v>
      </c>
      <c r="Z249" s="14">
        <v>0</v>
      </c>
      <c r="AA249" s="14">
        <v>2</v>
      </c>
      <c r="AB249" s="14">
        <v>0</v>
      </c>
      <c r="AC249" s="14">
        <v>0</v>
      </c>
      <c r="AD249" s="14">
        <v>0</v>
      </c>
      <c r="AE249" s="14">
        <v>3</v>
      </c>
      <c r="AF249" s="14">
        <v>0</v>
      </c>
      <c r="AG249" s="14">
        <v>0</v>
      </c>
      <c r="AH249" s="14">
        <v>2</v>
      </c>
      <c r="AI249" s="25">
        <f t="shared" si="9"/>
        <v>24</v>
      </c>
    </row>
    <row r="250" spans="1:35" ht="15.75" customHeight="1">
      <c r="A250" s="193">
        <v>2212009028</v>
      </c>
      <c r="B250" s="195" t="s">
        <v>259</v>
      </c>
      <c r="C250" s="267" t="s">
        <v>6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25">
        <f t="shared" si="9"/>
        <v>0</v>
      </c>
    </row>
    <row r="251" spans="1:35" ht="15.75" customHeight="1">
      <c r="A251" s="193">
        <v>2212009029</v>
      </c>
      <c r="B251" s="195" t="s">
        <v>260</v>
      </c>
      <c r="C251" s="267" t="s">
        <v>6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25">
        <f t="shared" si="9"/>
        <v>0</v>
      </c>
    </row>
    <row r="252" spans="1:35" ht="15.75" customHeight="1">
      <c r="A252" s="193">
        <v>2212009030</v>
      </c>
      <c r="B252" s="195" t="s">
        <v>261</v>
      </c>
      <c r="C252" s="267" t="s">
        <v>6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25">
        <f t="shared" si="9"/>
        <v>0</v>
      </c>
    </row>
    <row r="253" spans="1:35" ht="15.75" customHeight="1">
      <c r="A253" s="193">
        <v>2212009031</v>
      </c>
      <c r="B253" s="195" t="s">
        <v>262</v>
      </c>
      <c r="C253" s="267" t="s">
        <v>6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25">
        <f t="shared" si="9"/>
        <v>0</v>
      </c>
    </row>
    <row r="254" spans="1:35" ht="15.75" customHeight="1">
      <c r="A254" s="193">
        <v>2212009032</v>
      </c>
      <c r="B254" s="195" t="s">
        <v>263</v>
      </c>
      <c r="C254" s="267" t="s">
        <v>6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25">
        <f t="shared" si="9"/>
        <v>0</v>
      </c>
    </row>
    <row r="255" spans="1:35" ht="15.75" customHeight="1">
      <c r="A255" s="193">
        <v>2212009033</v>
      </c>
      <c r="B255" s="195" t="s">
        <v>264</v>
      </c>
      <c r="C255" s="267" t="s">
        <v>6</v>
      </c>
      <c r="D255" s="14">
        <v>0</v>
      </c>
      <c r="E255" s="14">
        <v>0</v>
      </c>
      <c r="F255" s="14">
        <v>5</v>
      </c>
      <c r="G255" s="14">
        <v>2</v>
      </c>
      <c r="H255" s="14">
        <v>1</v>
      </c>
      <c r="I255" s="14">
        <v>2</v>
      </c>
      <c r="J255" s="14">
        <v>2</v>
      </c>
      <c r="K255" s="14">
        <v>0</v>
      </c>
      <c r="L255" s="14">
        <v>2</v>
      </c>
      <c r="M255" s="14">
        <v>2</v>
      </c>
      <c r="N255" s="14">
        <v>0</v>
      </c>
      <c r="O255" s="14">
        <v>1</v>
      </c>
      <c r="P255" s="14">
        <v>2</v>
      </c>
      <c r="Q255" s="14">
        <v>2</v>
      </c>
      <c r="R255" s="14">
        <v>2</v>
      </c>
      <c r="S255" s="14">
        <v>2</v>
      </c>
      <c r="T255" s="14">
        <v>0</v>
      </c>
      <c r="U255" s="14">
        <v>3</v>
      </c>
      <c r="V255" s="14">
        <v>2</v>
      </c>
      <c r="W255" s="14">
        <v>1</v>
      </c>
      <c r="X255" s="14">
        <v>1</v>
      </c>
      <c r="Y255" s="14">
        <v>2</v>
      </c>
      <c r="Z255" s="14">
        <v>0</v>
      </c>
      <c r="AA255" s="14">
        <v>1</v>
      </c>
      <c r="AB255" s="14">
        <v>2</v>
      </c>
      <c r="AC255" s="14">
        <v>1</v>
      </c>
      <c r="AD255" s="14">
        <v>2</v>
      </c>
      <c r="AE255" s="14">
        <v>1</v>
      </c>
      <c r="AF255" s="14">
        <v>5</v>
      </c>
      <c r="AG255" s="14">
        <v>1</v>
      </c>
      <c r="AH255" s="14">
        <v>2</v>
      </c>
      <c r="AI255" s="25">
        <f t="shared" si="9"/>
        <v>49</v>
      </c>
    </row>
    <row r="256" spans="1:35" ht="15.75" customHeight="1">
      <c r="A256" s="193">
        <v>2212009034</v>
      </c>
      <c r="B256" s="195" t="s">
        <v>265</v>
      </c>
      <c r="C256" s="267" t="s">
        <v>6</v>
      </c>
      <c r="D256" s="14">
        <v>0</v>
      </c>
      <c r="E256" s="14">
        <v>0</v>
      </c>
      <c r="F256" s="14">
        <v>0</v>
      </c>
      <c r="G256" s="14">
        <v>2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2</v>
      </c>
      <c r="R256" s="14">
        <v>0</v>
      </c>
      <c r="S256" s="14">
        <v>3</v>
      </c>
      <c r="T256" s="14">
        <v>0</v>
      </c>
      <c r="U256" s="14">
        <v>0</v>
      </c>
      <c r="V256" s="14">
        <v>0</v>
      </c>
      <c r="W256" s="14">
        <v>3</v>
      </c>
      <c r="X256" s="14">
        <v>2</v>
      </c>
      <c r="Y256" s="14">
        <v>0</v>
      </c>
      <c r="Z256" s="14">
        <v>0</v>
      </c>
      <c r="AA256" s="14">
        <v>3</v>
      </c>
      <c r="AB256" s="14">
        <v>0</v>
      </c>
      <c r="AC256" s="14">
        <v>2</v>
      </c>
      <c r="AD256" s="14">
        <v>2</v>
      </c>
      <c r="AE256" s="14">
        <v>0</v>
      </c>
      <c r="AF256" s="14">
        <v>2</v>
      </c>
      <c r="AG256" s="14">
        <v>0</v>
      </c>
      <c r="AH256" s="14">
        <v>0</v>
      </c>
      <c r="AI256" s="25">
        <f t="shared" si="9"/>
        <v>21</v>
      </c>
    </row>
    <row r="257" spans="1:35" ht="15.75" customHeight="1">
      <c r="A257" s="193">
        <v>2212009035</v>
      </c>
      <c r="B257" s="195" t="s">
        <v>266</v>
      </c>
      <c r="C257" s="267" t="s">
        <v>267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25">
        <f t="shared" si="9"/>
        <v>0</v>
      </c>
    </row>
    <row r="258" spans="1:35" ht="15.75" customHeight="1">
      <c r="A258" s="193">
        <v>2212009036</v>
      </c>
      <c r="B258" s="195" t="s">
        <v>268</v>
      </c>
      <c r="C258" s="267" t="s">
        <v>6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25">
        <f t="shared" si="9"/>
        <v>0</v>
      </c>
    </row>
    <row r="259" spans="1:35" ht="15.75" customHeight="1">
      <c r="A259" s="193">
        <v>2212009037</v>
      </c>
      <c r="B259" s="195" t="s">
        <v>269</v>
      </c>
      <c r="C259" s="267" t="s">
        <v>6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25">
        <f t="shared" si="9"/>
        <v>0</v>
      </c>
    </row>
    <row r="260" spans="1:35" ht="15.75" customHeight="1">
      <c r="A260" s="193">
        <v>2212009038</v>
      </c>
      <c r="B260" s="195" t="s">
        <v>270</v>
      </c>
      <c r="C260" s="267" t="s">
        <v>6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25">
        <f t="shared" si="9"/>
        <v>0</v>
      </c>
    </row>
    <row r="261" spans="1:35" ht="15.75" customHeight="1">
      <c r="A261" s="209">
        <v>2212009041</v>
      </c>
      <c r="B261" s="210" t="s">
        <v>271</v>
      </c>
      <c r="C261" s="300" t="s">
        <v>86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25">
        <f t="shared" si="9"/>
        <v>0</v>
      </c>
    </row>
    <row r="262" spans="1:35" ht="18.75" customHeight="1">
      <c r="A262" s="635" t="s">
        <v>272</v>
      </c>
      <c r="B262" s="631"/>
      <c r="C262" s="631"/>
      <c r="D262" s="631"/>
      <c r="E262" s="631"/>
      <c r="F262" s="631"/>
      <c r="G262" s="631"/>
      <c r="H262" s="631"/>
      <c r="I262" s="631"/>
      <c r="J262" s="631"/>
      <c r="K262" s="631"/>
      <c r="L262" s="631"/>
      <c r="M262" s="631"/>
      <c r="N262" s="631"/>
      <c r="O262" s="631"/>
      <c r="P262" s="631"/>
      <c r="Q262" s="631"/>
      <c r="R262" s="631"/>
      <c r="S262" s="631"/>
      <c r="T262" s="631"/>
      <c r="U262" s="631"/>
      <c r="V262" s="631"/>
      <c r="W262" s="631"/>
      <c r="X262" s="631"/>
      <c r="Y262" s="631"/>
      <c r="Z262" s="631"/>
      <c r="AA262" s="631"/>
      <c r="AB262" s="631"/>
      <c r="AC262" s="631"/>
      <c r="AD262" s="631"/>
      <c r="AE262" s="631"/>
      <c r="AF262" s="631"/>
      <c r="AG262" s="631"/>
      <c r="AH262" s="631"/>
      <c r="AI262" s="632"/>
    </row>
    <row r="263" spans="1:35" ht="15.75" customHeight="1">
      <c r="A263" s="214">
        <v>2212011002</v>
      </c>
      <c r="B263" s="301" t="s">
        <v>273</v>
      </c>
      <c r="C263" s="302" t="s">
        <v>86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25">
        <f t="shared" ref="AI263:AI280" si="10">SUM(D263:AH263)</f>
        <v>0</v>
      </c>
    </row>
    <row r="264" spans="1:35" ht="15.75" customHeight="1">
      <c r="A264" s="220">
        <v>2212011003</v>
      </c>
      <c r="B264" s="221" t="s">
        <v>274</v>
      </c>
      <c r="C264" s="305" t="s">
        <v>6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25">
        <f t="shared" si="10"/>
        <v>0</v>
      </c>
    </row>
    <row r="265" spans="1:35" ht="15.75" customHeight="1">
      <c r="A265" s="220">
        <v>2212011004</v>
      </c>
      <c r="B265" s="221" t="s">
        <v>275</v>
      </c>
      <c r="C265" s="305" t="s">
        <v>6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25">
        <f t="shared" si="10"/>
        <v>0</v>
      </c>
    </row>
    <row r="266" spans="1:35" ht="15.75" customHeight="1">
      <c r="A266" s="220">
        <v>2212011006</v>
      </c>
      <c r="B266" s="221" t="s">
        <v>276</v>
      </c>
      <c r="C266" s="305" t="s">
        <v>6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37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25">
        <f t="shared" si="10"/>
        <v>37</v>
      </c>
    </row>
    <row r="267" spans="1:35" ht="15.75" customHeight="1">
      <c r="A267" s="220">
        <v>2212011007</v>
      </c>
      <c r="B267" s="221" t="s">
        <v>277</v>
      </c>
      <c r="C267" s="305" t="s">
        <v>6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25">
        <f t="shared" si="10"/>
        <v>0</v>
      </c>
    </row>
    <row r="268" spans="1:35" ht="15.75" customHeight="1">
      <c r="A268" s="220">
        <v>2212011008</v>
      </c>
      <c r="B268" s="221" t="s">
        <v>278</v>
      </c>
      <c r="C268" s="305" t="s">
        <v>6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25">
        <f t="shared" si="10"/>
        <v>0</v>
      </c>
    </row>
    <row r="269" spans="1:35" ht="15.75" customHeight="1">
      <c r="A269" s="220">
        <v>2212011009</v>
      </c>
      <c r="B269" s="221" t="s">
        <v>279</v>
      </c>
      <c r="C269" s="305" t="s">
        <v>6</v>
      </c>
      <c r="D269" s="14">
        <v>0</v>
      </c>
      <c r="E269" s="14">
        <v>6</v>
      </c>
      <c r="F269" s="14">
        <v>0</v>
      </c>
      <c r="G269" s="14">
        <v>0</v>
      </c>
      <c r="H269" s="14">
        <v>12</v>
      </c>
      <c r="I269" s="14">
        <v>0</v>
      </c>
      <c r="J269" s="14">
        <v>0</v>
      </c>
      <c r="K269" s="14">
        <v>0</v>
      </c>
      <c r="L269" s="14">
        <v>4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4</v>
      </c>
      <c r="Y269" s="14">
        <v>6</v>
      </c>
      <c r="Z269" s="14">
        <v>0</v>
      </c>
      <c r="AA269" s="14">
        <v>0</v>
      </c>
      <c r="AB269" s="14">
        <v>0</v>
      </c>
      <c r="AC269" s="14">
        <v>6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25">
        <f t="shared" si="10"/>
        <v>38</v>
      </c>
    </row>
    <row r="270" spans="1:35" ht="15.75" customHeight="1">
      <c r="A270" s="220">
        <v>2212011010</v>
      </c>
      <c r="B270" s="221" t="s">
        <v>280</v>
      </c>
      <c r="C270" s="305" t="s">
        <v>6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25">
        <f t="shared" si="10"/>
        <v>0</v>
      </c>
    </row>
    <row r="271" spans="1:35" ht="15.75" customHeight="1">
      <c r="A271" s="220">
        <v>2212011011</v>
      </c>
      <c r="B271" s="221" t="s">
        <v>281</v>
      </c>
      <c r="C271" s="305" t="s">
        <v>6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6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6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25">
        <f t="shared" si="10"/>
        <v>12</v>
      </c>
    </row>
    <row r="272" spans="1:35" ht="15.75" customHeight="1">
      <c r="A272" s="220">
        <v>2212011012</v>
      </c>
      <c r="B272" s="221" t="s">
        <v>282</v>
      </c>
      <c r="C272" s="305" t="s">
        <v>6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25">
        <f t="shared" si="10"/>
        <v>0</v>
      </c>
    </row>
    <row r="273" spans="1:35" ht="15.75" customHeight="1">
      <c r="A273" s="220">
        <v>2212011013</v>
      </c>
      <c r="B273" s="221" t="s">
        <v>283</v>
      </c>
      <c r="C273" s="305" t="s">
        <v>6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25">
        <f t="shared" si="10"/>
        <v>0</v>
      </c>
    </row>
    <row r="274" spans="1:35" ht="15.75" customHeight="1">
      <c r="A274" s="220">
        <v>2212011014</v>
      </c>
      <c r="B274" s="221" t="s">
        <v>284</v>
      </c>
      <c r="C274" s="305" t="s">
        <v>6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25">
        <f t="shared" si="10"/>
        <v>0</v>
      </c>
    </row>
    <row r="275" spans="1:35" ht="15.75" customHeight="1">
      <c r="A275" s="220">
        <v>2212011015</v>
      </c>
      <c r="B275" s="221" t="s">
        <v>285</v>
      </c>
      <c r="C275" s="305" t="s">
        <v>6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25">
        <f t="shared" si="10"/>
        <v>0</v>
      </c>
    </row>
    <row r="276" spans="1:35" ht="15.75" customHeight="1">
      <c r="A276" s="220">
        <v>2212011016</v>
      </c>
      <c r="B276" s="221" t="s">
        <v>286</v>
      </c>
      <c r="C276" s="305" t="s">
        <v>6</v>
      </c>
      <c r="D276" s="14">
        <v>6</v>
      </c>
      <c r="E276" s="14">
        <v>10</v>
      </c>
      <c r="F276" s="14">
        <v>6</v>
      </c>
      <c r="G276" s="14">
        <v>0</v>
      </c>
      <c r="H276" s="14">
        <v>4</v>
      </c>
      <c r="I276" s="14">
        <v>0</v>
      </c>
      <c r="J276" s="14">
        <v>0</v>
      </c>
      <c r="K276" s="14">
        <v>4</v>
      </c>
      <c r="L276" s="14">
        <v>2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2</v>
      </c>
      <c r="AB276" s="14">
        <v>0</v>
      </c>
      <c r="AC276" s="14">
        <v>8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25">
        <f t="shared" si="10"/>
        <v>42</v>
      </c>
    </row>
    <row r="277" spans="1:35" ht="15.75" customHeight="1">
      <c r="A277" s="220">
        <v>2212011017</v>
      </c>
      <c r="B277" s="221" t="s">
        <v>287</v>
      </c>
      <c r="C277" s="305" t="s">
        <v>6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25">
        <f t="shared" si="10"/>
        <v>0</v>
      </c>
    </row>
    <row r="278" spans="1:35" ht="15.75" customHeight="1">
      <c r="A278" s="220">
        <v>2212011018</v>
      </c>
      <c r="B278" s="221" t="s">
        <v>288</v>
      </c>
      <c r="C278" s="305" t="s">
        <v>6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25">
        <f t="shared" si="10"/>
        <v>0</v>
      </c>
    </row>
    <row r="279" spans="1:35" ht="15.75" customHeight="1">
      <c r="A279" s="220">
        <v>2212011019</v>
      </c>
      <c r="B279" s="221" t="s">
        <v>289</v>
      </c>
      <c r="C279" s="305" t="s">
        <v>6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25">
        <f t="shared" si="10"/>
        <v>0</v>
      </c>
    </row>
    <row r="280" spans="1:35" ht="15.75" customHeight="1">
      <c r="A280" s="226">
        <v>2212011026</v>
      </c>
      <c r="B280" s="227" t="s">
        <v>290</v>
      </c>
      <c r="C280" s="310" t="s">
        <v>86</v>
      </c>
      <c r="D280" s="14">
        <v>0</v>
      </c>
      <c r="E280" s="14">
        <v>6</v>
      </c>
      <c r="F280" s="14">
        <v>1</v>
      </c>
      <c r="G280" s="14">
        <v>0</v>
      </c>
      <c r="H280" s="14">
        <v>2</v>
      </c>
      <c r="I280" s="14">
        <v>1</v>
      </c>
      <c r="J280" s="14">
        <v>0</v>
      </c>
      <c r="K280" s="14">
        <v>2</v>
      </c>
      <c r="L280" s="14">
        <v>0</v>
      </c>
      <c r="M280" s="14">
        <v>0</v>
      </c>
      <c r="N280" s="14">
        <v>0</v>
      </c>
      <c r="O280" s="14">
        <v>0</v>
      </c>
      <c r="P280" s="14">
        <v>2</v>
      </c>
      <c r="Q280" s="14">
        <v>1</v>
      </c>
      <c r="R280" s="14">
        <v>0</v>
      </c>
      <c r="S280" s="14">
        <v>0</v>
      </c>
      <c r="T280" s="14">
        <v>0</v>
      </c>
      <c r="U280" s="14">
        <v>1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2</v>
      </c>
      <c r="AB280" s="14">
        <v>0</v>
      </c>
      <c r="AC280" s="14">
        <v>1</v>
      </c>
      <c r="AD280" s="14">
        <v>2</v>
      </c>
      <c r="AE280" s="14">
        <v>0</v>
      </c>
      <c r="AF280" s="14">
        <v>0</v>
      </c>
      <c r="AG280" s="14">
        <v>0</v>
      </c>
      <c r="AH280" s="14">
        <v>0</v>
      </c>
      <c r="AI280" s="25">
        <f t="shared" si="10"/>
        <v>21</v>
      </c>
    </row>
    <row r="281" spans="1:35" ht="18.75" customHeight="1">
      <c r="A281" s="636" t="s">
        <v>291</v>
      </c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1"/>
      <c r="P281" s="631"/>
      <c r="Q281" s="631"/>
      <c r="R281" s="631"/>
      <c r="S281" s="631"/>
      <c r="T281" s="631"/>
      <c r="U281" s="631"/>
      <c r="V281" s="631"/>
      <c r="W281" s="631"/>
      <c r="X281" s="631"/>
      <c r="Y281" s="631"/>
      <c r="Z281" s="631"/>
      <c r="AA281" s="631"/>
      <c r="AB281" s="631"/>
      <c r="AC281" s="631"/>
      <c r="AD281" s="631"/>
      <c r="AE281" s="631"/>
      <c r="AF281" s="631"/>
      <c r="AG281" s="631"/>
      <c r="AH281" s="631"/>
      <c r="AI281" s="632"/>
    </row>
    <row r="282" spans="1:35" ht="15.75" customHeight="1">
      <c r="A282" s="233">
        <v>2212001001</v>
      </c>
      <c r="B282" s="313" t="s">
        <v>292</v>
      </c>
      <c r="C282" s="314" t="s">
        <v>293</v>
      </c>
      <c r="D282" s="14">
        <v>1</v>
      </c>
      <c r="E282" s="14">
        <v>0</v>
      </c>
      <c r="F282" s="14">
        <v>1</v>
      </c>
      <c r="G282" s="14">
        <v>0</v>
      </c>
      <c r="H282" s="14">
        <v>0</v>
      </c>
      <c r="I282" s="14">
        <v>1</v>
      </c>
      <c r="J282" s="14">
        <v>0</v>
      </c>
      <c r="K282" s="14">
        <v>1</v>
      </c>
      <c r="L282" s="14">
        <v>0</v>
      </c>
      <c r="M282" s="14">
        <v>1</v>
      </c>
      <c r="N282" s="14">
        <v>0</v>
      </c>
      <c r="O282" s="14">
        <v>0</v>
      </c>
      <c r="P282" s="14">
        <v>1</v>
      </c>
      <c r="Q282" s="14">
        <v>0</v>
      </c>
      <c r="R282" s="14">
        <v>1</v>
      </c>
      <c r="S282" s="14">
        <v>0</v>
      </c>
      <c r="T282" s="14">
        <v>1</v>
      </c>
      <c r="U282" s="14">
        <v>0</v>
      </c>
      <c r="V282" s="14">
        <v>0</v>
      </c>
      <c r="W282" s="14">
        <v>1</v>
      </c>
      <c r="X282" s="14">
        <v>0</v>
      </c>
      <c r="Y282" s="14">
        <v>1</v>
      </c>
      <c r="Z282" s="14">
        <v>0</v>
      </c>
      <c r="AA282" s="14">
        <v>1</v>
      </c>
      <c r="AB282" s="14">
        <v>0</v>
      </c>
      <c r="AC282" s="14">
        <v>0</v>
      </c>
      <c r="AD282" s="14">
        <v>1</v>
      </c>
      <c r="AE282" s="14">
        <v>0</v>
      </c>
      <c r="AF282" s="14">
        <v>1</v>
      </c>
      <c r="AG282" s="14">
        <v>0</v>
      </c>
      <c r="AH282" s="14">
        <v>1</v>
      </c>
      <c r="AI282" s="25">
        <f t="shared" ref="AI282:AI384" si="11">SUM(D282:AH282)</f>
        <v>14</v>
      </c>
    </row>
    <row r="283" spans="1:35" ht="15.75" customHeight="1">
      <c r="A283" s="238">
        <v>2212001002</v>
      </c>
      <c r="B283" s="239" t="s">
        <v>294</v>
      </c>
      <c r="C283" s="316" t="s">
        <v>175</v>
      </c>
      <c r="D283" s="14">
        <v>0</v>
      </c>
      <c r="E283" s="14">
        <v>0</v>
      </c>
      <c r="F283" s="14">
        <v>0</v>
      </c>
      <c r="G283" s="14">
        <v>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1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25">
        <f t="shared" si="11"/>
        <v>2</v>
      </c>
    </row>
    <row r="284" spans="1:35" ht="15.75" customHeight="1">
      <c r="A284" s="238">
        <v>2212001006</v>
      </c>
      <c r="B284" s="239" t="s">
        <v>295</v>
      </c>
      <c r="C284" s="316" t="s">
        <v>296</v>
      </c>
      <c r="D284" s="14">
        <v>0</v>
      </c>
      <c r="E284" s="14">
        <v>15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25">
        <f t="shared" si="11"/>
        <v>15</v>
      </c>
    </row>
    <row r="285" spans="1:35" ht="15.75" customHeight="1">
      <c r="A285" s="238">
        <v>2212001007</v>
      </c>
      <c r="B285" s="239" t="s">
        <v>297</v>
      </c>
      <c r="C285" s="316" t="s">
        <v>6</v>
      </c>
      <c r="D285" s="14">
        <v>8</v>
      </c>
      <c r="E285" s="14">
        <v>8</v>
      </c>
      <c r="F285" s="14">
        <v>10</v>
      </c>
      <c r="G285" s="14">
        <v>8</v>
      </c>
      <c r="H285" s="14">
        <v>8</v>
      </c>
      <c r="I285" s="14">
        <v>8</v>
      </c>
      <c r="J285" s="14">
        <v>8</v>
      </c>
      <c r="K285" s="14">
        <v>8</v>
      </c>
      <c r="L285" s="14">
        <v>12</v>
      </c>
      <c r="M285" s="14">
        <v>8</v>
      </c>
      <c r="N285" s="14">
        <v>8</v>
      </c>
      <c r="O285" s="14">
        <v>8</v>
      </c>
      <c r="P285" s="14">
        <v>8</v>
      </c>
      <c r="Q285" s="14">
        <v>8</v>
      </c>
      <c r="R285" s="14">
        <v>8</v>
      </c>
      <c r="S285" s="14">
        <v>10</v>
      </c>
      <c r="T285" s="14">
        <v>8</v>
      </c>
      <c r="U285" s="14">
        <v>7</v>
      </c>
      <c r="V285" s="14">
        <v>8</v>
      </c>
      <c r="W285" s="14">
        <v>8</v>
      </c>
      <c r="X285" s="14">
        <v>8</v>
      </c>
      <c r="Y285" s="14">
        <v>8</v>
      </c>
      <c r="Z285" s="14">
        <v>8</v>
      </c>
      <c r="AA285" s="14">
        <v>8</v>
      </c>
      <c r="AB285" s="14">
        <v>8</v>
      </c>
      <c r="AC285" s="14">
        <v>8</v>
      </c>
      <c r="AD285" s="14">
        <v>8</v>
      </c>
      <c r="AE285" s="14">
        <v>8</v>
      </c>
      <c r="AF285" s="14">
        <v>10</v>
      </c>
      <c r="AG285" s="14">
        <v>8</v>
      </c>
      <c r="AH285" s="14">
        <v>8</v>
      </c>
      <c r="AI285" s="25">
        <f t="shared" si="11"/>
        <v>257</v>
      </c>
    </row>
    <row r="286" spans="1:35" ht="15.75" customHeight="1">
      <c r="A286" s="241">
        <v>2212007011</v>
      </c>
      <c r="B286" s="242" t="s">
        <v>298</v>
      </c>
      <c r="C286" s="241" t="s">
        <v>86</v>
      </c>
      <c r="D286" s="14">
        <v>4</v>
      </c>
      <c r="E286" s="14">
        <v>4</v>
      </c>
      <c r="F286" s="14">
        <v>4</v>
      </c>
      <c r="G286" s="14">
        <v>4</v>
      </c>
      <c r="H286" s="14">
        <v>4</v>
      </c>
      <c r="I286" s="14">
        <v>4</v>
      </c>
      <c r="J286" s="14">
        <v>4</v>
      </c>
      <c r="K286" s="14">
        <v>4</v>
      </c>
      <c r="L286" s="14">
        <v>4</v>
      </c>
      <c r="M286" s="14">
        <v>4</v>
      </c>
      <c r="N286" s="14">
        <v>4</v>
      </c>
      <c r="O286" s="14">
        <v>4</v>
      </c>
      <c r="P286" s="14">
        <v>4</v>
      </c>
      <c r="Q286" s="14">
        <v>4</v>
      </c>
      <c r="R286" s="14">
        <v>4</v>
      </c>
      <c r="S286" s="14">
        <v>4</v>
      </c>
      <c r="T286" s="14">
        <v>4</v>
      </c>
      <c r="U286" s="14">
        <v>4</v>
      </c>
      <c r="V286" s="14">
        <v>4</v>
      </c>
      <c r="W286" s="14">
        <v>4</v>
      </c>
      <c r="X286" s="14">
        <v>4</v>
      </c>
      <c r="Y286" s="14">
        <v>4</v>
      </c>
      <c r="Z286" s="14">
        <v>4</v>
      </c>
      <c r="AA286" s="14">
        <v>4</v>
      </c>
      <c r="AB286" s="14">
        <v>4</v>
      </c>
      <c r="AC286" s="14">
        <v>4</v>
      </c>
      <c r="AD286" s="14">
        <v>4</v>
      </c>
      <c r="AE286" s="14">
        <v>4</v>
      </c>
      <c r="AF286" s="14">
        <v>4</v>
      </c>
      <c r="AG286" s="14">
        <v>4</v>
      </c>
      <c r="AH286" s="14">
        <v>4</v>
      </c>
      <c r="AI286" s="25">
        <f t="shared" si="11"/>
        <v>124</v>
      </c>
    </row>
    <row r="287" spans="1:35" ht="15.75" customHeight="1">
      <c r="A287" s="238">
        <v>2212001010</v>
      </c>
      <c r="B287" s="239" t="s">
        <v>299</v>
      </c>
      <c r="C287" s="316" t="s">
        <v>267</v>
      </c>
      <c r="D287" s="14">
        <v>0</v>
      </c>
      <c r="E287" s="14">
        <v>0</v>
      </c>
      <c r="F287" s="14">
        <v>0</v>
      </c>
      <c r="G287" s="14">
        <v>2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25">
        <f t="shared" si="11"/>
        <v>2</v>
      </c>
    </row>
    <row r="288" spans="1:35" ht="15.75" customHeight="1">
      <c r="A288" s="238">
        <v>2212001013</v>
      </c>
      <c r="B288" s="239" t="s">
        <v>300</v>
      </c>
      <c r="C288" s="316" t="s">
        <v>86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25">
        <f t="shared" si="11"/>
        <v>0</v>
      </c>
    </row>
    <row r="289" spans="1:35" ht="15.75" customHeight="1">
      <c r="A289" s="238">
        <v>2212001014</v>
      </c>
      <c r="B289" s="239" t="s">
        <v>301</v>
      </c>
      <c r="C289" s="316" t="s">
        <v>86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25">
        <f t="shared" si="11"/>
        <v>0</v>
      </c>
    </row>
    <row r="290" spans="1:35" ht="15.75" customHeight="1">
      <c r="A290" s="238">
        <v>2212001015</v>
      </c>
      <c r="B290" s="239" t="s">
        <v>302</v>
      </c>
      <c r="C290" s="316" t="s">
        <v>86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25">
        <f t="shared" si="11"/>
        <v>0</v>
      </c>
    </row>
    <row r="291" spans="1:35" ht="15.75" customHeight="1">
      <c r="A291" s="238">
        <v>2212001016</v>
      </c>
      <c r="B291" s="239" t="s">
        <v>303</v>
      </c>
      <c r="C291" s="316" t="s">
        <v>296</v>
      </c>
      <c r="D291" s="14">
        <v>4</v>
      </c>
      <c r="E291" s="14">
        <v>0</v>
      </c>
      <c r="F291" s="14">
        <v>0</v>
      </c>
      <c r="G291" s="14">
        <v>3</v>
      </c>
      <c r="H291" s="14">
        <v>0</v>
      </c>
      <c r="I291" s="14">
        <v>0</v>
      </c>
      <c r="J291" s="14">
        <v>4</v>
      </c>
      <c r="K291" s="14">
        <v>4</v>
      </c>
      <c r="L291" s="14">
        <v>5</v>
      </c>
      <c r="M291" s="14">
        <v>0</v>
      </c>
      <c r="N291" s="14">
        <v>5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5</v>
      </c>
      <c r="V291" s="14">
        <v>5</v>
      </c>
      <c r="W291" s="14">
        <v>0</v>
      </c>
      <c r="X291" s="14">
        <v>3</v>
      </c>
      <c r="Y291" s="14">
        <v>0</v>
      </c>
      <c r="Z291" s="14">
        <v>0</v>
      </c>
      <c r="AA291" s="14">
        <v>0</v>
      </c>
      <c r="AB291" s="14">
        <v>5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25">
        <f t="shared" si="11"/>
        <v>43</v>
      </c>
    </row>
    <row r="292" spans="1:35" ht="15.75" customHeight="1">
      <c r="A292" s="238">
        <v>2212001018</v>
      </c>
      <c r="B292" s="239" t="s">
        <v>304</v>
      </c>
      <c r="C292" s="316" t="s">
        <v>296</v>
      </c>
      <c r="D292" s="14">
        <v>0</v>
      </c>
      <c r="E292" s="14">
        <v>0</v>
      </c>
      <c r="F292" s="14">
        <v>0</v>
      </c>
      <c r="G292" s="14">
        <v>0</v>
      </c>
      <c r="H292" s="14">
        <v>2</v>
      </c>
      <c r="I292" s="14">
        <v>0</v>
      </c>
      <c r="J292" s="14">
        <v>1</v>
      </c>
      <c r="K292" s="14">
        <v>0</v>
      </c>
      <c r="L292" s="14">
        <v>1</v>
      </c>
      <c r="M292" s="14">
        <v>0</v>
      </c>
      <c r="N292" s="14">
        <v>0</v>
      </c>
      <c r="O292" s="14">
        <v>0</v>
      </c>
      <c r="P292" s="14">
        <v>1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1</v>
      </c>
      <c r="AA292" s="14">
        <v>0</v>
      </c>
      <c r="AB292" s="14">
        <v>0</v>
      </c>
      <c r="AC292" s="14">
        <v>1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25">
        <f t="shared" si="11"/>
        <v>7</v>
      </c>
    </row>
    <row r="293" spans="1:35" ht="15.75" customHeight="1">
      <c r="A293" s="241">
        <v>2212007018</v>
      </c>
      <c r="B293" s="242" t="s">
        <v>308</v>
      </c>
      <c r="C293" s="241" t="s">
        <v>86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25">
        <f t="shared" si="11"/>
        <v>0</v>
      </c>
    </row>
    <row r="294" spans="1:35" ht="15.75" customHeight="1">
      <c r="A294" s="238">
        <v>2212001022</v>
      </c>
      <c r="B294" s="239" t="s">
        <v>306</v>
      </c>
      <c r="C294" s="316" t="s">
        <v>307</v>
      </c>
      <c r="D294" s="14">
        <v>3</v>
      </c>
      <c r="E294" s="14">
        <v>0</v>
      </c>
      <c r="F294" s="14">
        <v>0</v>
      </c>
      <c r="G294" s="14">
        <v>0</v>
      </c>
      <c r="H294" s="14">
        <v>3</v>
      </c>
      <c r="I294" s="14">
        <v>0</v>
      </c>
      <c r="J294" s="14">
        <v>0</v>
      </c>
      <c r="K294" s="14">
        <v>3</v>
      </c>
      <c r="L294" s="14">
        <v>3</v>
      </c>
      <c r="M294" s="14">
        <v>0</v>
      </c>
      <c r="N294" s="14">
        <v>0</v>
      </c>
      <c r="O294" s="14">
        <v>0</v>
      </c>
      <c r="P294" s="14">
        <v>3</v>
      </c>
      <c r="Q294" s="14">
        <v>0</v>
      </c>
      <c r="R294" s="14">
        <v>0</v>
      </c>
      <c r="S294" s="14">
        <v>0</v>
      </c>
      <c r="T294" s="14">
        <v>0</v>
      </c>
      <c r="U294" s="14">
        <v>3</v>
      </c>
      <c r="V294" s="14">
        <v>0</v>
      </c>
      <c r="W294" s="14">
        <v>3</v>
      </c>
      <c r="X294" s="14">
        <v>0</v>
      </c>
      <c r="Y294" s="14">
        <v>3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25">
        <f t="shared" si="11"/>
        <v>24</v>
      </c>
    </row>
    <row r="295" spans="1:35" ht="15.75" customHeight="1">
      <c r="A295" s="238">
        <v>2212001023</v>
      </c>
      <c r="B295" s="239" t="s">
        <v>419</v>
      </c>
      <c r="C295" s="316" t="s">
        <v>86</v>
      </c>
      <c r="D295" s="14">
        <v>0</v>
      </c>
      <c r="E295" s="14">
        <v>0</v>
      </c>
      <c r="F295" s="14">
        <v>3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3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1</v>
      </c>
      <c r="AH295" s="14">
        <v>0</v>
      </c>
      <c r="AI295" s="25">
        <f t="shared" si="11"/>
        <v>7</v>
      </c>
    </row>
    <row r="296" spans="1:35" ht="15.75" customHeight="1">
      <c r="A296" s="238">
        <v>2212001026</v>
      </c>
      <c r="B296" s="239" t="s">
        <v>309</v>
      </c>
      <c r="C296" s="316" t="s">
        <v>6</v>
      </c>
      <c r="D296" s="14">
        <v>1</v>
      </c>
      <c r="E296" s="14">
        <v>1</v>
      </c>
      <c r="F296" s="14">
        <v>1</v>
      </c>
      <c r="G296" s="14">
        <v>1</v>
      </c>
      <c r="H296" s="14">
        <v>1</v>
      </c>
      <c r="I296" s="14">
        <v>2</v>
      </c>
      <c r="J296" s="14">
        <v>1</v>
      </c>
      <c r="K296" s="14">
        <v>1</v>
      </c>
      <c r="L296" s="14">
        <v>2</v>
      </c>
      <c r="M296" s="14">
        <v>2</v>
      </c>
      <c r="N296" s="14">
        <v>1</v>
      </c>
      <c r="O296" s="14">
        <v>2</v>
      </c>
      <c r="P296" s="14">
        <v>2</v>
      </c>
      <c r="Q296" s="14">
        <v>2</v>
      </c>
      <c r="R296" s="14">
        <v>2</v>
      </c>
      <c r="S296" s="14">
        <v>2</v>
      </c>
      <c r="T296" s="14">
        <v>2</v>
      </c>
      <c r="U296" s="14">
        <v>2</v>
      </c>
      <c r="V296" s="14">
        <v>1</v>
      </c>
      <c r="W296" s="14">
        <v>2</v>
      </c>
      <c r="X296" s="14">
        <v>2</v>
      </c>
      <c r="Y296" s="14">
        <v>2</v>
      </c>
      <c r="Z296" s="14">
        <v>2</v>
      </c>
      <c r="AA296" s="14">
        <v>2</v>
      </c>
      <c r="AB296" s="14">
        <v>2</v>
      </c>
      <c r="AC296" s="14">
        <v>1</v>
      </c>
      <c r="AD296" s="14">
        <v>1</v>
      </c>
      <c r="AE296" s="14">
        <v>1</v>
      </c>
      <c r="AF296" s="14">
        <v>2</v>
      </c>
      <c r="AG296" s="14">
        <v>1</v>
      </c>
      <c r="AH296" s="14">
        <v>1</v>
      </c>
      <c r="AI296" s="25">
        <f t="shared" si="11"/>
        <v>48</v>
      </c>
    </row>
    <row r="297" spans="1:35" ht="15.75" customHeight="1">
      <c r="A297" s="238">
        <v>2212001027</v>
      </c>
      <c r="B297" s="239" t="s">
        <v>310</v>
      </c>
      <c r="C297" s="316" t="s">
        <v>171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1</v>
      </c>
      <c r="AI297" s="25">
        <f t="shared" si="11"/>
        <v>1</v>
      </c>
    </row>
    <row r="298" spans="1:35" ht="15.75" customHeight="1">
      <c r="A298" s="238">
        <v>2212001028</v>
      </c>
      <c r="B298" s="239" t="s">
        <v>311</v>
      </c>
      <c r="C298" s="316" t="s">
        <v>296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25">
        <f t="shared" si="11"/>
        <v>0</v>
      </c>
    </row>
    <row r="299" spans="1:35" ht="15.75" customHeight="1">
      <c r="A299" s="238">
        <v>2212001029</v>
      </c>
      <c r="B299" s="243" t="s">
        <v>312</v>
      </c>
      <c r="C299" s="316" t="s">
        <v>313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25">
        <f t="shared" si="11"/>
        <v>0</v>
      </c>
    </row>
    <row r="300" spans="1:35" ht="15.75" customHeight="1">
      <c r="A300" s="238">
        <v>2212001030</v>
      </c>
      <c r="B300" s="239" t="s">
        <v>314</v>
      </c>
      <c r="C300" s="316" t="s">
        <v>86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25">
        <f t="shared" si="11"/>
        <v>0</v>
      </c>
    </row>
    <row r="301" spans="1:35" ht="15.75" customHeight="1">
      <c r="A301" s="238">
        <v>2212001031</v>
      </c>
      <c r="B301" s="239" t="s">
        <v>315</v>
      </c>
      <c r="C301" s="316" t="s">
        <v>6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2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2</v>
      </c>
      <c r="AG301" s="14">
        <v>0</v>
      </c>
      <c r="AH301" s="14">
        <v>0</v>
      </c>
      <c r="AI301" s="25">
        <f t="shared" si="11"/>
        <v>4</v>
      </c>
    </row>
    <row r="302" spans="1:35" ht="15.75" customHeight="1">
      <c r="A302" s="238">
        <v>2212001032</v>
      </c>
      <c r="B302" s="239" t="s">
        <v>316</v>
      </c>
      <c r="C302" s="316" t="s">
        <v>86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25">
        <f t="shared" si="11"/>
        <v>0</v>
      </c>
    </row>
    <row r="303" spans="1:35" ht="15.75" customHeight="1">
      <c r="A303" s="238">
        <v>2212001033</v>
      </c>
      <c r="B303" s="239" t="s">
        <v>317</v>
      </c>
      <c r="C303" s="316" t="s">
        <v>86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25">
        <f t="shared" si="11"/>
        <v>0</v>
      </c>
    </row>
    <row r="304" spans="1:35" ht="15.75" customHeight="1">
      <c r="A304" s="238">
        <v>2212001034</v>
      </c>
      <c r="B304" s="239" t="s">
        <v>318</v>
      </c>
      <c r="C304" s="316" t="s">
        <v>6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25">
        <f t="shared" si="11"/>
        <v>0</v>
      </c>
    </row>
    <row r="305" spans="1:35" ht="15.75" customHeight="1">
      <c r="A305" s="238">
        <v>2212001035</v>
      </c>
      <c r="B305" s="239" t="s">
        <v>319</v>
      </c>
      <c r="C305" s="316" t="s">
        <v>313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2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25">
        <f t="shared" si="11"/>
        <v>2</v>
      </c>
    </row>
    <row r="306" spans="1:35" ht="15.75" customHeight="1">
      <c r="A306" s="238">
        <v>2212001036</v>
      </c>
      <c r="B306" s="239" t="s">
        <v>320</v>
      </c>
      <c r="C306" s="316" t="s">
        <v>6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25">
        <f t="shared" si="11"/>
        <v>0</v>
      </c>
    </row>
    <row r="307" spans="1:35" ht="15.75" customHeight="1">
      <c r="A307" s="238">
        <v>2212001037</v>
      </c>
      <c r="B307" s="239" t="s">
        <v>321</v>
      </c>
      <c r="C307" s="316" t="s">
        <v>6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25">
        <f t="shared" si="11"/>
        <v>0</v>
      </c>
    </row>
    <row r="308" spans="1:35" ht="15.75" customHeight="1">
      <c r="A308" s="238">
        <v>2212001038</v>
      </c>
      <c r="B308" s="239" t="s">
        <v>322</v>
      </c>
      <c r="C308" s="316" t="s">
        <v>86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25">
        <f t="shared" si="11"/>
        <v>0</v>
      </c>
    </row>
    <row r="309" spans="1:35" ht="15.75" customHeight="1">
      <c r="A309" s="238">
        <v>2212001040</v>
      </c>
      <c r="B309" s="239" t="s">
        <v>323</v>
      </c>
      <c r="C309" s="316" t="s">
        <v>6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25">
        <f t="shared" si="11"/>
        <v>0</v>
      </c>
    </row>
    <row r="310" spans="1:35" ht="15.75" customHeight="1">
      <c r="A310" s="238">
        <v>2212001041</v>
      </c>
      <c r="B310" s="239" t="s">
        <v>324</v>
      </c>
      <c r="C310" s="316" t="s">
        <v>6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15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15</v>
      </c>
      <c r="AE310" s="14">
        <v>0</v>
      </c>
      <c r="AF310" s="14">
        <v>0</v>
      </c>
      <c r="AG310" s="14">
        <v>0</v>
      </c>
      <c r="AH310" s="14">
        <v>0</v>
      </c>
      <c r="AI310" s="25">
        <f t="shared" si="11"/>
        <v>30</v>
      </c>
    </row>
    <row r="311" spans="1:35" ht="15.75" customHeight="1">
      <c r="A311" s="238">
        <v>2212001042</v>
      </c>
      <c r="B311" s="239" t="s">
        <v>325</v>
      </c>
      <c r="C311" s="316" t="s">
        <v>313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25">
        <f t="shared" si="11"/>
        <v>0</v>
      </c>
    </row>
    <row r="312" spans="1:35" ht="15.75" customHeight="1">
      <c r="A312" s="238">
        <v>2212001044</v>
      </c>
      <c r="B312" s="239" t="s">
        <v>326</v>
      </c>
      <c r="C312" s="316" t="s">
        <v>8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10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10</v>
      </c>
      <c r="AF312" s="14">
        <v>0</v>
      </c>
      <c r="AG312" s="14">
        <v>0</v>
      </c>
      <c r="AH312" s="14">
        <v>0</v>
      </c>
      <c r="AI312" s="25">
        <f t="shared" si="11"/>
        <v>20</v>
      </c>
    </row>
    <row r="313" spans="1:35" ht="15.75" customHeight="1">
      <c r="A313" s="238">
        <v>2212001045</v>
      </c>
      <c r="B313" s="239" t="s">
        <v>327</v>
      </c>
      <c r="C313" s="316" t="s">
        <v>296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25">
        <f t="shared" si="11"/>
        <v>0</v>
      </c>
    </row>
    <row r="314" spans="1:35" ht="15.75" customHeight="1">
      <c r="A314" s="238">
        <v>2212001046</v>
      </c>
      <c r="B314" s="239" t="s">
        <v>328</v>
      </c>
      <c r="C314" s="316" t="s">
        <v>267</v>
      </c>
      <c r="D314" s="14">
        <v>0</v>
      </c>
      <c r="E314" s="14">
        <v>1</v>
      </c>
      <c r="F314" s="14">
        <v>0</v>
      </c>
      <c r="G314" s="14">
        <v>1</v>
      </c>
      <c r="H314" s="14">
        <v>2</v>
      </c>
      <c r="I314" s="14">
        <v>0</v>
      </c>
      <c r="J314" s="14">
        <v>0</v>
      </c>
      <c r="K314" s="14">
        <v>0</v>
      </c>
      <c r="L314" s="14">
        <v>1</v>
      </c>
      <c r="M314" s="14">
        <v>0</v>
      </c>
      <c r="N314" s="14">
        <v>1</v>
      </c>
      <c r="O314" s="14">
        <v>0</v>
      </c>
      <c r="P314" s="14">
        <v>1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1</v>
      </c>
      <c r="Z314" s="14">
        <v>0</v>
      </c>
      <c r="AA314" s="14">
        <v>0</v>
      </c>
      <c r="AB314" s="14">
        <v>0</v>
      </c>
      <c r="AC314" s="14">
        <v>1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25">
        <f t="shared" si="11"/>
        <v>9</v>
      </c>
    </row>
    <row r="315" spans="1:35" ht="15.75" customHeight="1">
      <c r="A315" s="238">
        <v>2212001047</v>
      </c>
      <c r="B315" s="239" t="s">
        <v>329</v>
      </c>
      <c r="C315" s="316" t="s">
        <v>8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25">
        <f t="shared" si="11"/>
        <v>0</v>
      </c>
    </row>
    <row r="316" spans="1:35" ht="15.75" customHeight="1">
      <c r="A316" s="238">
        <v>2212001049</v>
      </c>
      <c r="B316" s="239" t="s">
        <v>330</v>
      </c>
      <c r="C316" s="316" t="s">
        <v>296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3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3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25">
        <f t="shared" si="11"/>
        <v>6</v>
      </c>
    </row>
    <row r="317" spans="1:35" ht="15.75" customHeight="1">
      <c r="A317" s="238">
        <v>2212001050</v>
      </c>
      <c r="B317" s="239" t="s">
        <v>331</v>
      </c>
      <c r="C317" s="316" t="s">
        <v>267</v>
      </c>
      <c r="D317" s="14">
        <v>0</v>
      </c>
      <c r="E317" s="14">
        <v>1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25">
        <f t="shared" si="11"/>
        <v>1</v>
      </c>
    </row>
    <row r="318" spans="1:35" ht="15.75" customHeight="1">
      <c r="A318" s="238">
        <v>2212001051</v>
      </c>
      <c r="B318" s="239" t="s">
        <v>332</v>
      </c>
      <c r="C318" s="316" t="s">
        <v>175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25">
        <f t="shared" si="11"/>
        <v>0</v>
      </c>
    </row>
    <row r="319" spans="1:35" ht="15.75" customHeight="1">
      <c r="A319" s="238">
        <v>2212001053</v>
      </c>
      <c r="B319" s="239" t="s">
        <v>333</v>
      </c>
      <c r="C319" s="316" t="s">
        <v>313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25">
        <f t="shared" si="11"/>
        <v>0</v>
      </c>
    </row>
    <row r="320" spans="1:35" ht="15.75" customHeight="1">
      <c r="A320" s="238">
        <v>2212001054</v>
      </c>
      <c r="B320" s="239" t="s">
        <v>334</v>
      </c>
      <c r="C320" s="316" t="s">
        <v>313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4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4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25">
        <f t="shared" si="11"/>
        <v>8</v>
      </c>
    </row>
    <row r="321" spans="1:35" ht="15.75" customHeight="1">
      <c r="A321" s="238">
        <v>2212001055</v>
      </c>
      <c r="B321" s="239" t="s">
        <v>335</v>
      </c>
      <c r="C321" s="316" t="s">
        <v>313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25">
        <f t="shared" si="11"/>
        <v>0</v>
      </c>
    </row>
    <row r="322" spans="1:35" ht="15.75" customHeight="1">
      <c r="A322" s="238">
        <v>2212001057</v>
      </c>
      <c r="B322" s="239" t="s">
        <v>336</v>
      </c>
      <c r="C322" s="316" t="s">
        <v>296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25">
        <f t="shared" si="11"/>
        <v>0</v>
      </c>
    </row>
    <row r="323" spans="1:35" ht="15.75" customHeight="1">
      <c r="A323" s="238">
        <v>2212001058</v>
      </c>
      <c r="B323" s="239" t="s">
        <v>337</v>
      </c>
      <c r="C323" s="316" t="s">
        <v>296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10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25">
        <f t="shared" si="11"/>
        <v>10</v>
      </c>
    </row>
    <row r="324" spans="1:35" ht="15.75" customHeight="1">
      <c r="A324" s="238">
        <v>2212001060</v>
      </c>
      <c r="B324" s="239" t="s">
        <v>338</v>
      </c>
      <c r="C324" s="316" t="s">
        <v>296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25">
        <f t="shared" si="11"/>
        <v>0</v>
      </c>
    </row>
    <row r="325" spans="1:35" ht="15.75" customHeight="1">
      <c r="A325" s="238">
        <v>2212001062</v>
      </c>
      <c r="B325" s="239" t="s">
        <v>339</v>
      </c>
      <c r="C325" s="316" t="s">
        <v>6</v>
      </c>
      <c r="D325" s="14">
        <v>2</v>
      </c>
      <c r="E325" s="14">
        <v>2</v>
      </c>
      <c r="F325" s="14">
        <v>2</v>
      </c>
      <c r="G325" s="14">
        <v>2</v>
      </c>
      <c r="H325" s="14">
        <v>2</v>
      </c>
      <c r="I325" s="14">
        <v>2</v>
      </c>
      <c r="J325" s="14">
        <v>2</v>
      </c>
      <c r="K325" s="14">
        <v>2</v>
      </c>
      <c r="L325" s="14">
        <v>2</v>
      </c>
      <c r="M325" s="14">
        <v>2</v>
      </c>
      <c r="N325" s="14">
        <v>2</v>
      </c>
      <c r="O325" s="14">
        <v>2</v>
      </c>
      <c r="P325" s="14">
        <v>2</v>
      </c>
      <c r="Q325" s="14">
        <v>2</v>
      </c>
      <c r="R325" s="14">
        <v>2</v>
      </c>
      <c r="S325" s="14">
        <v>2</v>
      </c>
      <c r="T325" s="14">
        <v>2</v>
      </c>
      <c r="U325" s="14">
        <v>2</v>
      </c>
      <c r="V325" s="14">
        <v>2</v>
      </c>
      <c r="W325" s="14">
        <v>2</v>
      </c>
      <c r="X325" s="14">
        <v>2</v>
      </c>
      <c r="Y325" s="14">
        <v>2</v>
      </c>
      <c r="Z325" s="14">
        <v>2</v>
      </c>
      <c r="AA325" s="14">
        <v>2</v>
      </c>
      <c r="AB325" s="14">
        <v>2</v>
      </c>
      <c r="AC325" s="14">
        <v>2</v>
      </c>
      <c r="AD325" s="14">
        <v>2</v>
      </c>
      <c r="AE325" s="14">
        <v>2</v>
      </c>
      <c r="AF325" s="14">
        <v>2</v>
      </c>
      <c r="AG325" s="14">
        <v>2</v>
      </c>
      <c r="AH325" s="14">
        <v>2</v>
      </c>
      <c r="AI325" s="25">
        <f t="shared" si="11"/>
        <v>62</v>
      </c>
    </row>
    <row r="326" spans="1:35" ht="15.75" customHeight="1">
      <c r="A326" s="238">
        <v>2212001063</v>
      </c>
      <c r="B326" s="239" t="s">
        <v>340</v>
      </c>
      <c r="C326" s="316" t="s">
        <v>6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25">
        <f t="shared" si="11"/>
        <v>0</v>
      </c>
    </row>
    <row r="327" spans="1:35" ht="15.75" customHeight="1">
      <c r="A327" s="238">
        <v>2212001065</v>
      </c>
      <c r="B327" s="239" t="s">
        <v>341</v>
      </c>
      <c r="C327" s="316" t="s">
        <v>8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25">
        <f t="shared" si="11"/>
        <v>0</v>
      </c>
    </row>
    <row r="328" spans="1:35" ht="15.75" customHeight="1">
      <c r="A328" s="238">
        <v>2212001066</v>
      </c>
      <c r="B328" s="239" t="s">
        <v>342</v>
      </c>
      <c r="C328" s="316" t="s">
        <v>171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25">
        <f t="shared" si="11"/>
        <v>0</v>
      </c>
    </row>
    <row r="329" spans="1:35" ht="15.75" customHeight="1">
      <c r="A329" s="238">
        <v>2212001067</v>
      </c>
      <c r="B329" s="239" t="s">
        <v>343</v>
      </c>
      <c r="C329" s="316" t="s">
        <v>267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25">
        <f t="shared" si="11"/>
        <v>0</v>
      </c>
    </row>
    <row r="330" spans="1:35" ht="15.75" customHeight="1">
      <c r="A330" s="241">
        <v>2212007013</v>
      </c>
      <c r="B330" s="242" t="s">
        <v>344</v>
      </c>
      <c r="C330" s="241" t="s">
        <v>313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25">
        <f t="shared" si="11"/>
        <v>0</v>
      </c>
    </row>
    <row r="331" spans="1:35" ht="15.75" customHeight="1">
      <c r="A331" s="241">
        <v>2212007014</v>
      </c>
      <c r="B331" s="242" t="s">
        <v>345</v>
      </c>
      <c r="C331" s="241" t="s">
        <v>313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25">
        <f t="shared" si="11"/>
        <v>0</v>
      </c>
    </row>
    <row r="332" spans="1:35" ht="15.75" customHeight="1">
      <c r="A332" s="241">
        <v>2212007015</v>
      </c>
      <c r="B332" s="252" t="s">
        <v>346</v>
      </c>
      <c r="C332" s="253" t="s">
        <v>313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25">
        <f t="shared" si="11"/>
        <v>0</v>
      </c>
    </row>
    <row r="333" spans="1:35" ht="15.75" customHeight="1">
      <c r="A333" s="241">
        <v>2212007016</v>
      </c>
      <c r="B333" s="242" t="s">
        <v>347</v>
      </c>
      <c r="C333" s="241" t="s">
        <v>313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25">
        <f t="shared" si="11"/>
        <v>0</v>
      </c>
    </row>
    <row r="334" spans="1:35" ht="15.75" customHeight="1">
      <c r="A334" s="241">
        <v>2212007017</v>
      </c>
      <c r="B334" s="242" t="s">
        <v>348</v>
      </c>
      <c r="C334" s="241" t="s">
        <v>313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25">
        <f t="shared" si="11"/>
        <v>0</v>
      </c>
    </row>
    <row r="335" spans="1:35" ht="15.75" customHeight="1">
      <c r="A335" s="238">
        <v>2212001071</v>
      </c>
      <c r="B335" s="239" t="s">
        <v>349</v>
      </c>
      <c r="C335" s="316" t="s">
        <v>171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1</v>
      </c>
      <c r="AE335" s="14">
        <v>0</v>
      </c>
      <c r="AF335" s="14">
        <v>0</v>
      </c>
      <c r="AG335" s="14">
        <v>0</v>
      </c>
      <c r="AH335" s="14">
        <v>0</v>
      </c>
      <c r="AI335" s="25">
        <f t="shared" si="11"/>
        <v>1</v>
      </c>
    </row>
    <row r="336" spans="1:35" ht="15.75" customHeight="1">
      <c r="A336" s="238">
        <v>2212001072</v>
      </c>
      <c r="B336" s="239" t="s">
        <v>350</v>
      </c>
      <c r="C336" s="316" t="s">
        <v>307</v>
      </c>
      <c r="D336" s="14">
        <v>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25">
        <f t="shared" si="11"/>
        <v>0</v>
      </c>
    </row>
    <row r="337" spans="1:35" ht="15.75" customHeight="1">
      <c r="A337" s="238">
        <v>2212001075</v>
      </c>
      <c r="B337" s="239" t="s">
        <v>351</v>
      </c>
      <c r="C337" s="316" t="s">
        <v>8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208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25">
        <f t="shared" si="11"/>
        <v>208</v>
      </c>
    </row>
    <row r="338" spans="1:35" ht="15.75" customHeight="1">
      <c r="A338" s="238">
        <v>2212001079</v>
      </c>
      <c r="B338" s="239" t="s">
        <v>352</v>
      </c>
      <c r="C338" s="316" t="s">
        <v>86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25">
        <f t="shared" si="11"/>
        <v>0</v>
      </c>
    </row>
    <row r="339" spans="1:35" ht="15.75" customHeight="1">
      <c r="A339" s="238">
        <v>2212001080</v>
      </c>
      <c r="B339" s="239" t="s">
        <v>353</v>
      </c>
      <c r="C339" s="316" t="s">
        <v>86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25">
        <f t="shared" si="11"/>
        <v>0</v>
      </c>
    </row>
    <row r="340" spans="1:35" ht="15.75" customHeight="1">
      <c r="A340" s="238">
        <v>2212001085</v>
      </c>
      <c r="B340" s="239" t="s">
        <v>354</v>
      </c>
      <c r="C340" s="316" t="s">
        <v>8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25">
        <f t="shared" si="11"/>
        <v>0</v>
      </c>
    </row>
    <row r="341" spans="1:35" ht="15.75" customHeight="1">
      <c r="A341" s="238">
        <v>2212001086</v>
      </c>
      <c r="B341" s="239" t="s">
        <v>355</v>
      </c>
      <c r="C341" s="316" t="s">
        <v>307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3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3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25">
        <f t="shared" si="11"/>
        <v>6</v>
      </c>
    </row>
    <row r="342" spans="1:35" ht="15.75" customHeight="1">
      <c r="A342" s="238">
        <v>2212001087</v>
      </c>
      <c r="B342" s="239" t="s">
        <v>356</v>
      </c>
      <c r="C342" s="316" t="s">
        <v>313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25">
        <f t="shared" si="11"/>
        <v>0</v>
      </c>
    </row>
    <row r="343" spans="1:35" ht="15.75" customHeight="1">
      <c r="A343" s="238">
        <v>2212001089</v>
      </c>
      <c r="B343" s="239" t="s">
        <v>357</v>
      </c>
      <c r="C343" s="316" t="s">
        <v>296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25">
        <f t="shared" si="11"/>
        <v>0</v>
      </c>
    </row>
    <row r="344" spans="1:35" ht="15.75" customHeight="1">
      <c r="A344" s="238">
        <v>2212001100</v>
      </c>
      <c r="B344" s="239" t="s">
        <v>358</v>
      </c>
      <c r="C344" s="316" t="s">
        <v>313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25">
        <f t="shared" si="11"/>
        <v>0</v>
      </c>
    </row>
    <row r="345" spans="1:35" ht="15.75" customHeight="1">
      <c r="A345" s="238">
        <v>2212001101</v>
      </c>
      <c r="B345" s="239" t="s">
        <v>359</v>
      </c>
      <c r="C345" s="316" t="s">
        <v>313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1</v>
      </c>
      <c r="M345" s="14">
        <v>0</v>
      </c>
      <c r="N345" s="14">
        <v>1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1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25">
        <f t="shared" si="11"/>
        <v>3</v>
      </c>
    </row>
    <row r="346" spans="1:35" ht="15.75" customHeight="1">
      <c r="A346" s="238">
        <v>2212001102</v>
      </c>
      <c r="B346" s="239" t="s">
        <v>360</v>
      </c>
      <c r="C346" s="316" t="s">
        <v>313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25">
        <f t="shared" si="11"/>
        <v>0</v>
      </c>
    </row>
    <row r="347" spans="1:35" ht="15.75" customHeight="1">
      <c r="A347" s="238">
        <v>2212001103</v>
      </c>
      <c r="B347" s="239" t="s">
        <v>361</v>
      </c>
      <c r="C347" s="316" t="s">
        <v>313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25">
        <f t="shared" si="11"/>
        <v>0</v>
      </c>
    </row>
    <row r="348" spans="1:35" ht="15.75" customHeight="1">
      <c r="A348" s="256">
        <v>2212001106</v>
      </c>
      <c r="B348" s="257" t="s">
        <v>362</v>
      </c>
      <c r="C348" s="331" t="s">
        <v>171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25">
        <f t="shared" si="11"/>
        <v>0</v>
      </c>
    </row>
    <row r="349" spans="1:35" ht="15.75" customHeight="1">
      <c r="A349" s="259">
        <v>2212001107</v>
      </c>
      <c r="B349" s="260" t="s">
        <v>363</v>
      </c>
      <c r="C349" s="333" t="s">
        <v>171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25">
        <f t="shared" si="11"/>
        <v>0</v>
      </c>
    </row>
    <row r="350" spans="1:35" ht="15.75" customHeight="1">
      <c r="A350" s="238">
        <v>2212001109</v>
      </c>
      <c r="B350" s="239" t="s">
        <v>364</v>
      </c>
      <c r="C350" s="316" t="s">
        <v>6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25">
        <f t="shared" si="11"/>
        <v>0</v>
      </c>
    </row>
    <row r="351" spans="1:35" ht="15.75" customHeight="1">
      <c r="A351" s="238">
        <v>2212001111</v>
      </c>
      <c r="B351" s="239" t="s">
        <v>365</v>
      </c>
      <c r="C351" s="316" t="s">
        <v>296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25">
        <f t="shared" si="11"/>
        <v>0</v>
      </c>
    </row>
    <row r="352" spans="1:35" ht="15.75" customHeight="1">
      <c r="A352" s="238">
        <v>2212001114</v>
      </c>
      <c r="B352" s="239" t="s">
        <v>366</v>
      </c>
      <c r="C352" s="316" t="s">
        <v>86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25">
        <f t="shared" si="11"/>
        <v>0</v>
      </c>
    </row>
    <row r="353" spans="1:35" ht="15.75" customHeight="1">
      <c r="A353" s="238">
        <v>2212001121</v>
      </c>
      <c r="B353" s="239" t="s">
        <v>367</v>
      </c>
      <c r="C353" s="316" t="s">
        <v>8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25">
        <f t="shared" si="11"/>
        <v>0</v>
      </c>
    </row>
    <row r="354" spans="1:35" ht="15.75" customHeight="1">
      <c r="A354" s="238">
        <v>2212001122</v>
      </c>
      <c r="B354" s="239" t="s">
        <v>368</v>
      </c>
      <c r="C354" s="316" t="s">
        <v>296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2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2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1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4</v>
      </c>
      <c r="AI354" s="25">
        <f t="shared" si="11"/>
        <v>9</v>
      </c>
    </row>
    <row r="355" spans="1:35" ht="15.75" customHeight="1">
      <c r="A355" s="238">
        <v>2212001123</v>
      </c>
      <c r="B355" s="239" t="s">
        <v>369</v>
      </c>
      <c r="C355" s="316" t="s">
        <v>171</v>
      </c>
      <c r="D355" s="14">
        <v>0</v>
      </c>
      <c r="E355" s="14">
        <v>4</v>
      </c>
      <c r="F355" s="14">
        <v>0</v>
      </c>
      <c r="G355" s="14">
        <v>0</v>
      </c>
      <c r="H355" s="14">
        <v>0</v>
      </c>
      <c r="I355" s="14">
        <v>0</v>
      </c>
      <c r="J355" s="14">
        <v>3</v>
      </c>
      <c r="K355" s="14">
        <v>3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3</v>
      </c>
      <c r="S355" s="14">
        <v>3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3</v>
      </c>
      <c r="AA355" s="14">
        <v>0</v>
      </c>
      <c r="AB355" s="14">
        <v>3</v>
      </c>
      <c r="AC355" s="14">
        <v>0</v>
      </c>
      <c r="AD355" s="14">
        <v>0</v>
      </c>
      <c r="AE355" s="14">
        <v>3</v>
      </c>
      <c r="AF355" s="14">
        <v>0</v>
      </c>
      <c r="AG355" s="14">
        <v>0</v>
      </c>
      <c r="AH355" s="14">
        <v>0</v>
      </c>
      <c r="AI355" s="25">
        <f t="shared" si="11"/>
        <v>25</v>
      </c>
    </row>
    <row r="356" spans="1:35" ht="15.75" customHeight="1">
      <c r="A356" s="238">
        <v>2212001125</v>
      </c>
      <c r="B356" s="239" t="s">
        <v>370</v>
      </c>
      <c r="C356" s="316" t="s">
        <v>8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25">
        <f t="shared" si="11"/>
        <v>0</v>
      </c>
    </row>
    <row r="357" spans="1:35" ht="15.75" customHeight="1">
      <c r="A357" s="338">
        <v>2212001126</v>
      </c>
      <c r="B357" s="239" t="s">
        <v>371</v>
      </c>
      <c r="C357" s="316" t="s">
        <v>8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25">
        <f t="shared" si="11"/>
        <v>0</v>
      </c>
    </row>
    <row r="358" spans="1:35" ht="15.75" customHeight="1">
      <c r="A358" s="238">
        <v>2212001129</v>
      </c>
      <c r="B358" s="239" t="s">
        <v>372</v>
      </c>
      <c r="C358" s="316" t="s">
        <v>313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25">
        <f t="shared" si="11"/>
        <v>0</v>
      </c>
    </row>
    <row r="359" spans="1:35" ht="15.75" customHeight="1">
      <c r="A359" s="238">
        <v>2212001130</v>
      </c>
      <c r="B359" s="239" t="s">
        <v>373</v>
      </c>
      <c r="C359" s="316" t="s">
        <v>171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25">
        <f t="shared" si="11"/>
        <v>0</v>
      </c>
    </row>
    <row r="360" spans="1:35" ht="15.75" customHeight="1">
      <c r="A360" s="238">
        <v>2212001133</v>
      </c>
      <c r="B360" s="239" t="s">
        <v>374</v>
      </c>
      <c r="C360" s="316" t="s">
        <v>267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25">
        <f t="shared" si="11"/>
        <v>0</v>
      </c>
    </row>
    <row r="361" spans="1:35" ht="15.75" customHeight="1">
      <c r="A361" s="238">
        <v>2212001144</v>
      </c>
      <c r="B361" s="239" t="s">
        <v>375</v>
      </c>
      <c r="C361" s="316" t="s">
        <v>171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25">
        <f t="shared" si="11"/>
        <v>0</v>
      </c>
    </row>
    <row r="362" spans="1:35" ht="15.75" customHeight="1">
      <c r="A362" s="341">
        <v>2212001146</v>
      </c>
      <c r="B362" s="263" t="s">
        <v>376</v>
      </c>
      <c r="C362" s="333" t="s">
        <v>296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25">
        <f t="shared" si="11"/>
        <v>0</v>
      </c>
    </row>
    <row r="363" spans="1:35" ht="15.75" customHeight="1">
      <c r="A363" s="238">
        <v>2212001151</v>
      </c>
      <c r="B363" s="239" t="s">
        <v>377</v>
      </c>
      <c r="C363" s="316" t="s">
        <v>267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25">
        <f t="shared" si="11"/>
        <v>0</v>
      </c>
    </row>
    <row r="364" spans="1:35" ht="15.75" customHeight="1">
      <c r="A364" s="238">
        <v>2212001152</v>
      </c>
      <c r="B364" s="239" t="s">
        <v>378</v>
      </c>
      <c r="C364" s="316" t="s">
        <v>379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25">
        <f t="shared" si="11"/>
        <v>0</v>
      </c>
    </row>
    <row r="365" spans="1:35" ht="15.75" customHeight="1">
      <c r="A365" s="238">
        <v>2212001155</v>
      </c>
      <c r="B365" s="239" t="s">
        <v>380</v>
      </c>
      <c r="C365" s="316" t="s">
        <v>177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25">
        <f t="shared" si="11"/>
        <v>0</v>
      </c>
    </row>
    <row r="366" spans="1:35" ht="15.75" customHeight="1">
      <c r="A366" s="238">
        <v>2212001159</v>
      </c>
      <c r="B366" s="239" t="s">
        <v>381</v>
      </c>
      <c r="C366" s="316" t="s">
        <v>175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25">
        <f t="shared" si="11"/>
        <v>0</v>
      </c>
    </row>
    <row r="367" spans="1:35" ht="15.75" customHeight="1">
      <c r="A367" s="238">
        <v>2212001162</v>
      </c>
      <c r="B367" s="239" t="s">
        <v>382</v>
      </c>
      <c r="C367" s="316" t="s">
        <v>86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25">
        <f t="shared" si="11"/>
        <v>0</v>
      </c>
    </row>
    <row r="368" spans="1:35" ht="15.75" customHeight="1">
      <c r="A368" s="238">
        <v>2212001163</v>
      </c>
      <c r="B368" s="239" t="s">
        <v>383</v>
      </c>
      <c r="C368" s="316" t="s">
        <v>384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25">
        <f t="shared" si="11"/>
        <v>0</v>
      </c>
    </row>
    <row r="369" spans="1:35" ht="15.75" customHeight="1">
      <c r="A369" s="238">
        <v>2212001164</v>
      </c>
      <c r="B369" s="239" t="s">
        <v>385</v>
      </c>
      <c r="C369" s="316" t="s">
        <v>86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25">
        <f t="shared" si="11"/>
        <v>0</v>
      </c>
    </row>
    <row r="370" spans="1:35" ht="15.75" customHeight="1">
      <c r="A370" s="238">
        <v>2212001165</v>
      </c>
      <c r="B370" s="239" t="s">
        <v>386</v>
      </c>
      <c r="C370" s="316" t="s">
        <v>6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25">
        <f t="shared" si="11"/>
        <v>0</v>
      </c>
    </row>
    <row r="371" spans="1:35" ht="15.75" customHeight="1">
      <c r="A371" s="238">
        <v>2212001167</v>
      </c>
      <c r="B371" s="239" t="s">
        <v>387</v>
      </c>
      <c r="C371" s="316" t="s">
        <v>388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25">
        <f t="shared" si="11"/>
        <v>0</v>
      </c>
    </row>
    <row r="372" spans="1:35" ht="15.75" customHeight="1">
      <c r="A372" s="238">
        <v>2212001172</v>
      </c>
      <c r="B372" s="239" t="s">
        <v>389</v>
      </c>
      <c r="C372" s="316" t="s">
        <v>177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25">
        <f t="shared" si="11"/>
        <v>0</v>
      </c>
    </row>
    <row r="373" spans="1:35" ht="15.75" customHeight="1">
      <c r="A373" s="238">
        <v>2212001173</v>
      </c>
      <c r="B373" s="239" t="s">
        <v>390</v>
      </c>
      <c r="C373" s="316" t="s">
        <v>267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3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1</v>
      </c>
      <c r="AI373" s="25">
        <f t="shared" si="11"/>
        <v>4</v>
      </c>
    </row>
    <row r="374" spans="1:35" ht="15.75" customHeight="1">
      <c r="A374" s="238">
        <v>2212001174</v>
      </c>
      <c r="B374" s="239" t="s">
        <v>391</v>
      </c>
      <c r="C374" s="316" t="s">
        <v>267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25">
        <f t="shared" si="11"/>
        <v>0</v>
      </c>
    </row>
    <row r="375" spans="1:35" ht="15.75" customHeight="1">
      <c r="A375" s="238">
        <v>2212001175</v>
      </c>
      <c r="B375" s="239" t="s">
        <v>392</v>
      </c>
      <c r="C375" s="316" t="s">
        <v>267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25">
        <f t="shared" si="11"/>
        <v>0</v>
      </c>
    </row>
    <row r="376" spans="1:35" ht="15.75" customHeight="1">
      <c r="A376" s="238">
        <v>2212001186</v>
      </c>
      <c r="B376" s="239" t="s">
        <v>393</v>
      </c>
      <c r="C376" s="316" t="s">
        <v>296</v>
      </c>
      <c r="D376" s="14">
        <v>0</v>
      </c>
      <c r="E376" s="14">
        <v>0</v>
      </c>
      <c r="F376" s="14">
        <v>0</v>
      </c>
      <c r="G376" s="14">
        <v>25</v>
      </c>
      <c r="H376" s="14">
        <v>0</v>
      </c>
      <c r="I376" s="14">
        <v>0</v>
      </c>
      <c r="J376" s="14">
        <v>0</v>
      </c>
      <c r="K376" s="14">
        <v>0</v>
      </c>
      <c r="L376" s="14">
        <v>20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25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25">
        <f t="shared" si="11"/>
        <v>70</v>
      </c>
    </row>
    <row r="377" spans="1:35" ht="15.75" customHeight="1">
      <c r="A377" s="238">
        <v>2212001187</v>
      </c>
      <c r="B377" s="239" t="s">
        <v>394</v>
      </c>
      <c r="C377" s="316" t="s">
        <v>86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25">
        <f t="shared" si="11"/>
        <v>0</v>
      </c>
    </row>
    <row r="378" spans="1:35" ht="15.75" customHeight="1">
      <c r="A378" s="238">
        <v>2212001189</v>
      </c>
      <c r="B378" s="239" t="s">
        <v>395</v>
      </c>
      <c r="C378" s="316" t="s">
        <v>6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25">
        <f t="shared" si="11"/>
        <v>0</v>
      </c>
    </row>
    <row r="379" spans="1:35" ht="15.75" customHeight="1">
      <c r="A379" s="238">
        <v>2212001190</v>
      </c>
      <c r="B379" s="239" t="s">
        <v>396</v>
      </c>
      <c r="C379" s="316" t="s">
        <v>6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25">
        <f t="shared" si="11"/>
        <v>0</v>
      </c>
    </row>
    <row r="380" spans="1:35" ht="15.75" customHeight="1">
      <c r="A380" s="238">
        <v>2212001191</v>
      </c>
      <c r="B380" s="239" t="s">
        <v>397</v>
      </c>
      <c r="C380" s="316" t="s">
        <v>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25">
        <f t="shared" si="11"/>
        <v>0</v>
      </c>
    </row>
    <row r="381" spans="1:35" ht="15.75" customHeight="1">
      <c r="A381" s="238">
        <v>2212001193</v>
      </c>
      <c r="B381" s="239" t="s">
        <v>398</v>
      </c>
      <c r="C381" s="316" t="s">
        <v>8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25">
        <f t="shared" si="11"/>
        <v>0</v>
      </c>
    </row>
    <row r="382" spans="1:35" ht="15.75" customHeight="1">
      <c r="A382" s="238">
        <v>2212001194</v>
      </c>
      <c r="B382" s="271" t="s">
        <v>399</v>
      </c>
      <c r="C382" s="333" t="s">
        <v>384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25">
        <f t="shared" si="11"/>
        <v>0</v>
      </c>
    </row>
    <row r="383" spans="1:35" ht="15.75" customHeight="1">
      <c r="A383" s="238">
        <v>2212003016</v>
      </c>
      <c r="B383" s="239" t="s">
        <v>400</v>
      </c>
      <c r="C383" s="316" t="s">
        <v>171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25">
        <f t="shared" si="11"/>
        <v>0</v>
      </c>
    </row>
    <row r="384" spans="1:35" ht="15.75" customHeight="1">
      <c r="A384" s="347" t="s">
        <v>421</v>
      </c>
      <c r="B384" s="344" t="s">
        <v>401</v>
      </c>
      <c r="C384" s="345" t="s">
        <v>8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349">
        <f t="shared" si="11"/>
        <v>0</v>
      </c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7">
    <mergeCell ref="A142:AI142"/>
    <mergeCell ref="A153:AI153"/>
    <mergeCell ref="A3:AI3"/>
    <mergeCell ref="A35:AI35"/>
    <mergeCell ref="A90:AI90"/>
    <mergeCell ref="A112:AI112"/>
    <mergeCell ref="A132:AI132"/>
    <mergeCell ref="A164:AI164"/>
    <mergeCell ref="A190:AI190"/>
    <mergeCell ref="A225:AI225"/>
    <mergeCell ref="A262:AI262"/>
    <mergeCell ref="A281:AI281"/>
    <mergeCell ref="AG1:AG2"/>
    <mergeCell ref="AH1:AH2"/>
    <mergeCell ref="AI1:AI2"/>
    <mergeCell ref="V1:V2"/>
    <mergeCell ref="W1:W2"/>
    <mergeCell ref="X1:X2"/>
    <mergeCell ref="Y1:Y2"/>
    <mergeCell ref="Z1:Z2"/>
    <mergeCell ref="AA1:AA2"/>
    <mergeCell ref="AB1:AB2"/>
    <mergeCell ref="U1:U2"/>
    <mergeCell ref="AC1:AC2"/>
    <mergeCell ref="AD1:AD2"/>
    <mergeCell ref="AE1:AE2"/>
    <mergeCell ref="AF1:AF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AW9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/>
  <cols>
    <col min="1" max="1" width="10.5703125" customWidth="1"/>
    <col min="2" max="2" width="38.140625" customWidth="1"/>
    <col min="3" max="3" width="6.42578125" customWidth="1"/>
    <col min="4" max="34" width="3.85546875" customWidth="1"/>
    <col min="35" max="49" width="6.42578125" customWidth="1"/>
  </cols>
  <sheetData>
    <row r="1" spans="1:49" ht="15.75" customHeight="1">
      <c r="A1" s="600" t="s">
        <v>2</v>
      </c>
      <c r="B1" s="600" t="s">
        <v>0</v>
      </c>
      <c r="C1" s="621" t="s">
        <v>1</v>
      </c>
      <c r="D1" s="600">
        <v>1</v>
      </c>
      <c r="E1" s="600">
        <v>2</v>
      </c>
      <c r="F1" s="600">
        <v>3</v>
      </c>
      <c r="G1" s="600">
        <v>4</v>
      </c>
      <c r="H1" s="600">
        <v>5</v>
      </c>
      <c r="I1" s="600">
        <v>6</v>
      </c>
      <c r="J1" s="600">
        <v>7</v>
      </c>
      <c r="K1" s="600">
        <v>8</v>
      </c>
      <c r="L1" s="600">
        <v>9</v>
      </c>
      <c r="M1" s="600">
        <v>10</v>
      </c>
      <c r="N1" s="600">
        <v>11</v>
      </c>
      <c r="O1" s="600">
        <v>12</v>
      </c>
      <c r="P1" s="600">
        <v>13</v>
      </c>
      <c r="Q1" s="600">
        <v>14</v>
      </c>
      <c r="R1" s="600">
        <v>15</v>
      </c>
      <c r="S1" s="600">
        <v>16</v>
      </c>
      <c r="T1" s="600">
        <v>17</v>
      </c>
      <c r="U1" s="600">
        <v>18</v>
      </c>
      <c r="V1" s="600">
        <v>19</v>
      </c>
      <c r="W1" s="600">
        <v>20</v>
      </c>
      <c r="X1" s="600">
        <v>21</v>
      </c>
      <c r="Y1" s="600">
        <v>22</v>
      </c>
      <c r="Z1" s="600">
        <v>23</v>
      </c>
      <c r="AA1" s="600">
        <v>24</v>
      </c>
      <c r="AB1" s="600">
        <v>25</v>
      </c>
      <c r="AC1" s="600">
        <v>26</v>
      </c>
      <c r="AD1" s="600">
        <v>27</v>
      </c>
      <c r="AE1" s="600">
        <v>28</v>
      </c>
      <c r="AF1" s="600">
        <v>29</v>
      </c>
      <c r="AG1" s="600">
        <v>30</v>
      </c>
      <c r="AH1" s="600">
        <v>31</v>
      </c>
      <c r="AI1" s="622" t="s">
        <v>3</v>
      </c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</row>
    <row r="2" spans="1:49" ht="18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</row>
    <row r="3" spans="1:49" ht="18.75" customHeight="1">
      <c r="A3" s="627" t="s">
        <v>4</v>
      </c>
      <c r="B3" s="606"/>
      <c r="C3" s="614"/>
      <c r="D3" s="643"/>
      <c r="E3" s="644"/>
      <c r="F3" s="644"/>
      <c r="G3" s="644"/>
      <c r="H3" s="644"/>
      <c r="I3" s="644"/>
      <c r="J3" s="644"/>
      <c r="K3" s="644"/>
      <c r="L3" s="644"/>
      <c r="M3" s="644"/>
      <c r="N3" s="644"/>
      <c r="O3" s="644"/>
      <c r="P3" s="644"/>
      <c r="Q3" s="644"/>
      <c r="R3" s="644"/>
      <c r="S3" s="644"/>
      <c r="T3" s="644"/>
      <c r="U3" s="644"/>
      <c r="V3" s="644"/>
      <c r="W3" s="644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5"/>
      <c r="AJ3" s="319"/>
      <c r="AK3" s="319"/>
      <c r="AL3" s="319"/>
      <c r="AM3" s="319"/>
      <c r="AN3" s="319"/>
      <c r="AO3" s="319"/>
      <c r="AP3" s="319"/>
      <c r="AQ3" s="319"/>
      <c r="AR3" s="319"/>
      <c r="AS3" s="319"/>
      <c r="AT3" s="319"/>
      <c r="AU3" s="319"/>
      <c r="AV3" s="319"/>
      <c r="AW3" s="319"/>
    </row>
    <row r="4" spans="1:49" ht="15.75" customHeight="1">
      <c r="A4" s="3">
        <v>2212004001</v>
      </c>
      <c r="B4" s="4" t="s">
        <v>5</v>
      </c>
      <c r="C4" s="320" t="s">
        <v>6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32">
        <v>0</v>
      </c>
      <c r="AH4" s="32">
        <v>0</v>
      </c>
      <c r="AI4" s="321">
        <v>0</v>
      </c>
      <c r="AJ4" s="322"/>
      <c r="AK4" s="322"/>
      <c r="AL4" s="322"/>
      <c r="AM4" s="322"/>
      <c r="AN4" s="322"/>
      <c r="AO4" s="322"/>
      <c r="AP4" s="322"/>
      <c r="AQ4" s="322"/>
      <c r="AR4" s="322"/>
      <c r="AS4" s="322"/>
      <c r="AT4" s="322"/>
      <c r="AU4" s="322"/>
      <c r="AV4" s="322"/>
      <c r="AW4" s="322"/>
    </row>
    <row r="5" spans="1:49" ht="15.75" customHeight="1">
      <c r="A5" s="10">
        <v>2212004002</v>
      </c>
      <c r="B5" s="11" t="s">
        <v>7</v>
      </c>
      <c r="C5" s="323" t="s">
        <v>8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4">
        <f>SUM(E5:AH5)</f>
        <v>0</v>
      </c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</row>
    <row r="6" spans="1:49" ht="15.75" customHeight="1">
      <c r="A6" s="10">
        <v>2212004003</v>
      </c>
      <c r="B6" s="11" t="s">
        <v>9</v>
      </c>
      <c r="C6" s="323" t="s">
        <v>6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4">
        <f t="shared" ref="AI6:AI260" si="0">SUM(D6:AH6)</f>
        <v>0</v>
      </c>
      <c r="AJ6" s="322"/>
      <c r="AK6" s="322"/>
      <c r="AL6" s="322"/>
      <c r="AM6" s="322"/>
      <c r="AN6" s="322"/>
      <c r="AO6" s="322"/>
      <c r="AP6" s="322"/>
      <c r="AQ6" s="322"/>
      <c r="AR6" s="322"/>
      <c r="AS6" s="322"/>
      <c r="AT6" s="322"/>
      <c r="AU6" s="322"/>
      <c r="AV6" s="322"/>
      <c r="AW6" s="322"/>
    </row>
    <row r="7" spans="1:49" ht="15.75" customHeight="1">
      <c r="A7" s="10">
        <v>2212004004</v>
      </c>
      <c r="B7" s="11" t="s">
        <v>10</v>
      </c>
      <c r="C7" s="323" t="s">
        <v>6</v>
      </c>
      <c r="D7" s="32">
        <v>0</v>
      </c>
      <c r="E7" s="32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30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324">
        <f t="shared" si="0"/>
        <v>30</v>
      </c>
      <c r="AJ7" s="322"/>
      <c r="AK7" s="322"/>
      <c r="AL7" s="322"/>
      <c r="AM7" s="322"/>
      <c r="AN7" s="322"/>
      <c r="AO7" s="322"/>
      <c r="AP7" s="322"/>
      <c r="AQ7" s="322"/>
      <c r="AR7" s="322"/>
      <c r="AS7" s="322"/>
      <c r="AT7" s="322"/>
      <c r="AU7" s="322"/>
      <c r="AV7" s="322"/>
      <c r="AW7" s="322"/>
    </row>
    <row r="8" spans="1:49" ht="15.75" customHeight="1">
      <c r="A8" s="10">
        <v>2212004005</v>
      </c>
      <c r="B8" s="11" t="s">
        <v>11</v>
      </c>
      <c r="C8" s="323" t="s">
        <v>6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4">
        <f t="shared" si="0"/>
        <v>0</v>
      </c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</row>
    <row r="9" spans="1:49" ht="15.75" customHeight="1">
      <c r="A9" s="10">
        <v>2212004006</v>
      </c>
      <c r="B9" s="11" t="s">
        <v>12</v>
      </c>
      <c r="C9" s="323" t="s">
        <v>6</v>
      </c>
      <c r="D9" s="32">
        <v>0</v>
      </c>
      <c r="E9" s="32">
        <v>0</v>
      </c>
      <c r="F9" s="28">
        <v>25</v>
      </c>
      <c r="G9" s="325"/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28">
        <v>30</v>
      </c>
      <c r="N9" s="28">
        <v>0</v>
      </c>
      <c r="O9" s="28">
        <v>30</v>
      </c>
      <c r="P9" s="32">
        <v>0</v>
      </c>
      <c r="Q9" s="32">
        <v>0</v>
      </c>
      <c r="R9" s="32">
        <v>0</v>
      </c>
      <c r="S9" s="32">
        <v>0</v>
      </c>
      <c r="T9" s="28">
        <v>30</v>
      </c>
      <c r="U9" s="28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28">
        <v>0</v>
      </c>
      <c r="AB9" s="28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28">
        <v>0</v>
      </c>
      <c r="AI9" s="324">
        <f t="shared" si="0"/>
        <v>115</v>
      </c>
      <c r="AJ9" s="322"/>
      <c r="AK9" s="322"/>
      <c r="AL9" s="322"/>
      <c r="AM9" s="322"/>
      <c r="AN9" s="322"/>
      <c r="AO9" s="322"/>
      <c r="AP9" s="322"/>
      <c r="AQ9" s="322"/>
      <c r="AR9" s="322"/>
      <c r="AS9" s="322"/>
      <c r="AT9" s="322"/>
      <c r="AU9" s="322"/>
      <c r="AV9" s="322"/>
      <c r="AW9" s="322"/>
    </row>
    <row r="10" spans="1:49" ht="15.75" customHeight="1">
      <c r="A10" s="10">
        <v>2212004007</v>
      </c>
      <c r="B10" s="11" t="s">
        <v>13</v>
      </c>
      <c r="C10" s="323" t="s">
        <v>6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4">
        <f t="shared" si="0"/>
        <v>0</v>
      </c>
      <c r="AJ10" s="326"/>
      <c r="AK10" s="326"/>
      <c r="AL10" s="326"/>
      <c r="AM10" s="326"/>
      <c r="AN10" s="327"/>
      <c r="AO10" s="326"/>
      <c r="AP10" s="326"/>
      <c r="AQ10" s="326"/>
      <c r="AR10" s="326"/>
      <c r="AS10" s="326"/>
      <c r="AT10" s="326"/>
      <c r="AU10" s="327"/>
      <c r="AV10" s="326"/>
      <c r="AW10" s="326"/>
    </row>
    <row r="11" spans="1:49" ht="15.75" customHeight="1">
      <c r="A11" s="10">
        <v>2212004008</v>
      </c>
      <c r="B11" s="11" t="s">
        <v>14</v>
      </c>
      <c r="C11" s="323" t="s">
        <v>6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28">
        <v>0</v>
      </c>
      <c r="AI11" s="324">
        <f t="shared" si="0"/>
        <v>0</v>
      </c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</row>
    <row r="12" spans="1:49" ht="15.75" customHeight="1">
      <c r="A12" s="10">
        <v>2212004009</v>
      </c>
      <c r="B12" s="11" t="s">
        <v>15</v>
      </c>
      <c r="C12" s="323" t="s">
        <v>6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32">
        <v>0</v>
      </c>
      <c r="AI12" s="324">
        <f t="shared" si="0"/>
        <v>0</v>
      </c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22"/>
      <c r="AU12" s="322"/>
      <c r="AV12" s="322"/>
      <c r="AW12" s="322"/>
    </row>
    <row r="13" spans="1:49" ht="15.75" customHeight="1">
      <c r="A13" s="10">
        <v>2212004011</v>
      </c>
      <c r="B13" s="11" t="s">
        <v>16</v>
      </c>
      <c r="C13" s="323" t="s">
        <v>6</v>
      </c>
      <c r="D13" s="32">
        <v>0</v>
      </c>
      <c r="E13" s="32">
        <v>0</v>
      </c>
      <c r="F13" s="28">
        <v>75</v>
      </c>
      <c r="G13" s="28">
        <v>55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28">
        <v>30</v>
      </c>
      <c r="N13" s="28">
        <v>85</v>
      </c>
      <c r="O13" s="28">
        <v>0</v>
      </c>
      <c r="P13" s="32">
        <v>0</v>
      </c>
      <c r="Q13" s="32">
        <v>0</v>
      </c>
      <c r="R13" s="32">
        <v>0</v>
      </c>
      <c r="S13" s="32">
        <v>0</v>
      </c>
      <c r="T13" s="28">
        <v>0</v>
      </c>
      <c r="U13" s="28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28">
        <v>0</v>
      </c>
      <c r="AB13" s="28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28">
        <v>0</v>
      </c>
      <c r="AI13" s="324">
        <f t="shared" si="0"/>
        <v>245</v>
      </c>
      <c r="AJ13" s="322"/>
      <c r="AK13" s="322"/>
      <c r="AL13" s="322"/>
      <c r="AM13" s="322"/>
      <c r="AN13" s="322"/>
      <c r="AO13" s="322"/>
      <c r="AP13" s="322"/>
      <c r="AQ13" s="322"/>
      <c r="AR13" s="322"/>
      <c r="AS13" s="322"/>
      <c r="AT13" s="322"/>
      <c r="AU13" s="322"/>
      <c r="AV13" s="322"/>
      <c r="AW13" s="322"/>
    </row>
    <row r="14" spans="1:49" ht="15.75" customHeight="1">
      <c r="A14" s="10">
        <v>2212004012</v>
      </c>
      <c r="B14" s="11" t="s">
        <v>17</v>
      </c>
      <c r="C14" s="323" t="s">
        <v>6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80</v>
      </c>
      <c r="P14" s="32">
        <v>0</v>
      </c>
      <c r="Q14" s="32">
        <v>0</v>
      </c>
      <c r="R14" s="32">
        <v>0</v>
      </c>
      <c r="S14" s="32">
        <v>0</v>
      </c>
      <c r="T14" s="32">
        <v>80</v>
      </c>
      <c r="U14" s="32">
        <v>90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90</v>
      </c>
      <c r="AB14" s="32">
        <v>60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60</v>
      </c>
      <c r="AI14" s="324">
        <f t="shared" si="0"/>
        <v>460</v>
      </c>
      <c r="AJ14" s="322"/>
      <c r="AK14" s="322"/>
      <c r="AL14" s="322"/>
      <c r="AM14" s="322"/>
      <c r="AN14" s="322"/>
      <c r="AO14" s="322"/>
      <c r="AP14" s="322"/>
      <c r="AQ14" s="322"/>
      <c r="AR14" s="322"/>
      <c r="AS14" s="322"/>
      <c r="AT14" s="322"/>
      <c r="AU14" s="322"/>
      <c r="AV14" s="322"/>
      <c r="AW14" s="322"/>
    </row>
    <row r="15" spans="1:49" ht="15.75" customHeight="1">
      <c r="A15" s="10">
        <v>2212004013</v>
      </c>
      <c r="B15" s="11" t="s">
        <v>18</v>
      </c>
      <c r="C15" s="323" t="s">
        <v>6</v>
      </c>
      <c r="D15" s="32">
        <v>0</v>
      </c>
      <c r="E15" s="32">
        <v>0</v>
      </c>
      <c r="F15" s="28">
        <v>0</v>
      </c>
      <c r="G15" s="28">
        <v>70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28">
        <v>30</v>
      </c>
      <c r="N15" s="28">
        <v>0</v>
      </c>
      <c r="O15" s="28">
        <v>30</v>
      </c>
      <c r="P15" s="32">
        <v>0</v>
      </c>
      <c r="Q15" s="32">
        <v>0</v>
      </c>
      <c r="R15" s="32">
        <v>0</v>
      </c>
      <c r="S15" s="32">
        <v>0</v>
      </c>
      <c r="T15" s="28">
        <v>30</v>
      </c>
      <c r="U15" s="28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28">
        <v>30</v>
      </c>
      <c r="AB15" s="28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28">
        <v>30</v>
      </c>
      <c r="AI15" s="324">
        <f t="shared" si="0"/>
        <v>220</v>
      </c>
      <c r="AJ15" s="322"/>
      <c r="AK15" s="322"/>
      <c r="AL15" s="322"/>
      <c r="AM15" s="322"/>
      <c r="AN15" s="322"/>
      <c r="AO15" s="322"/>
      <c r="AP15" s="322"/>
      <c r="AQ15" s="322"/>
      <c r="AR15" s="322"/>
      <c r="AS15" s="322"/>
      <c r="AT15" s="322"/>
      <c r="AU15" s="322"/>
      <c r="AV15" s="322"/>
      <c r="AW15" s="322"/>
    </row>
    <row r="16" spans="1:49" ht="15.75" customHeight="1">
      <c r="A16" s="10">
        <v>2212004014</v>
      </c>
      <c r="B16" s="11" t="s">
        <v>19</v>
      </c>
      <c r="C16" s="323" t="s">
        <v>6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4">
        <f t="shared" si="0"/>
        <v>0</v>
      </c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22"/>
      <c r="AU16" s="322"/>
      <c r="AV16" s="322"/>
      <c r="AW16" s="322"/>
    </row>
    <row r="17" spans="1:49" ht="15.75" customHeight="1">
      <c r="A17" s="10">
        <v>2212004015</v>
      </c>
      <c r="B17" s="11" t="s">
        <v>20</v>
      </c>
      <c r="C17" s="323" t="s">
        <v>6</v>
      </c>
      <c r="D17" s="28">
        <v>0</v>
      </c>
      <c r="E17" s="28">
        <v>0</v>
      </c>
      <c r="F17" s="28">
        <v>50</v>
      </c>
      <c r="G17" s="28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28">
        <v>45</v>
      </c>
      <c r="N17" s="28">
        <v>20</v>
      </c>
      <c r="O17" s="28">
        <v>80</v>
      </c>
      <c r="P17" s="32">
        <v>0</v>
      </c>
      <c r="Q17" s="32">
        <v>0</v>
      </c>
      <c r="R17" s="32">
        <v>0</v>
      </c>
      <c r="S17" s="32">
        <v>0</v>
      </c>
      <c r="T17" s="28">
        <v>60</v>
      </c>
      <c r="U17" s="28">
        <v>30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28">
        <v>0</v>
      </c>
      <c r="AB17" s="28">
        <v>10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28">
        <v>60</v>
      </c>
      <c r="AI17" s="324">
        <f t="shared" si="0"/>
        <v>355</v>
      </c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22"/>
      <c r="AU17" s="322"/>
      <c r="AV17" s="322"/>
      <c r="AW17" s="322"/>
    </row>
    <row r="18" spans="1:49" ht="15.75" customHeight="1">
      <c r="A18" s="10">
        <v>2212004016</v>
      </c>
      <c r="B18" s="11" t="s">
        <v>21</v>
      </c>
      <c r="C18" s="323" t="s">
        <v>6</v>
      </c>
      <c r="D18" s="32">
        <v>0</v>
      </c>
      <c r="E18" s="32">
        <v>0</v>
      </c>
      <c r="F18" s="32">
        <v>0</v>
      </c>
      <c r="G18" s="32">
        <v>60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65</v>
      </c>
      <c r="N18" s="32">
        <v>40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50</v>
      </c>
      <c r="U18" s="32">
        <v>15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45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50</v>
      </c>
      <c r="AI18" s="324">
        <f t="shared" si="0"/>
        <v>325</v>
      </c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</row>
    <row r="19" spans="1:49" ht="15.75" customHeight="1">
      <c r="A19" s="10">
        <v>2212004017</v>
      </c>
      <c r="B19" s="11" t="s">
        <v>22</v>
      </c>
      <c r="C19" s="323" t="s">
        <v>6</v>
      </c>
      <c r="D19" s="28">
        <v>0</v>
      </c>
      <c r="E19" s="28">
        <v>0</v>
      </c>
      <c r="F19" s="28">
        <v>0</v>
      </c>
      <c r="G19" s="28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28">
        <v>0</v>
      </c>
      <c r="N19" s="28">
        <v>0</v>
      </c>
      <c r="O19" s="28">
        <v>0</v>
      </c>
      <c r="P19" s="32">
        <v>0</v>
      </c>
      <c r="Q19" s="32">
        <v>0</v>
      </c>
      <c r="R19" s="32">
        <v>0</v>
      </c>
      <c r="S19" s="32">
        <v>0</v>
      </c>
      <c r="T19" s="28">
        <v>0</v>
      </c>
      <c r="U19" s="28">
        <v>0</v>
      </c>
      <c r="V19" s="328">
        <v>0</v>
      </c>
      <c r="W19" s="32">
        <v>0</v>
      </c>
      <c r="X19" s="32">
        <v>0</v>
      </c>
      <c r="Y19" s="32">
        <v>0</v>
      </c>
      <c r="Z19" s="32">
        <v>0</v>
      </c>
      <c r="AA19" s="28">
        <v>0</v>
      </c>
      <c r="AB19" s="28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28">
        <v>0</v>
      </c>
      <c r="AI19" s="324">
        <f t="shared" si="0"/>
        <v>0</v>
      </c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22"/>
      <c r="AU19" s="322"/>
      <c r="AV19" s="322"/>
      <c r="AW19" s="322"/>
    </row>
    <row r="20" spans="1:49" ht="15.75" customHeight="1">
      <c r="A20" s="10">
        <v>2212004018</v>
      </c>
      <c r="B20" s="11" t="s">
        <v>23</v>
      </c>
      <c r="C20" s="323" t="s">
        <v>6</v>
      </c>
      <c r="D20" s="32">
        <v>0</v>
      </c>
      <c r="E20" s="32">
        <v>0</v>
      </c>
      <c r="F20" s="32">
        <v>40</v>
      </c>
      <c r="G20" s="32">
        <v>30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35</v>
      </c>
      <c r="N20" s="32">
        <v>30</v>
      </c>
      <c r="O20" s="32">
        <v>50</v>
      </c>
      <c r="P20" s="32">
        <v>0</v>
      </c>
      <c r="Q20" s="32">
        <v>0</v>
      </c>
      <c r="R20" s="32">
        <v>0</v>
      </c>
      <c r="S20" s="32">
        <v>0</v>
      </c>
      <c r="T20" s="32">
        <v>30</v>
      </c>
      <c r="U20" s="32">
        <v>35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60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30</v>
      </c>
      <c r="AI20" s="324">
        <f t="shared" si="0"/>
        <v>340</v>
      </c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22"/>
      <c r="AU20" s="322"/>
      <c r="AV20" s="322"/>
      <c r="AW20" s="322"/>
    </row>
    <row r="21" spans="1:49" ht="15.75" customHeight="1">
      <c r="A21" s="10">
        <v>2212004019</v>
      </c>
      <c r="B21" s="11" t="s">
        <v>24</v>
      </c>
      <c r="C21" s="323" t="s">
        <v>6</v>
      </c>
      <c r="D21" s="28">
        <v>0</v>
      </c>
      <c r="E21" s="28">
        <v>0</v>
      </c>
      <c r="F21" s="28">
        <v>0</v>
      </c>
      <c r="G21" s="28">
        <v>0</v>
      </c>
      <c r="H21" s="32">
        <v>0</v>
      </c>
      <c r="I21" s="32">
        <v>0</v>
      </c>
      <c r="J21" s="32">
        <v>0</v>
      </c>
      <c r="K21" s="32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32">
        <v>0</v>
      </c>
      <c r="R21" s="32">
        <v>0</v>
      </c>
      <c r="S21" s="32">
        <v>0</v>
      </c>
      <c r="T21" s="28">
        <v>0</v>
      </c>
      <c r="U21" s="28">
        <v>0</v>
      </c>
      <c r="V21" s="28">
        <v>0</v>
      </c>
      <c r="W21" s="32">
        <v>0</v>
      </c>
      <c r="X21" s="32">
        <v>0</v>
      </c>
      <c r="Y21" s="32">
        <v>0</v>
      </c>
      <c r="Z21" s="32">
        <v>0</v>
      </c>
      <c r="AA21" s="28">
        <v>0</v>
      </c>
      <c r="AB21" s="28">
        <v>0</v>
      </c>
      <c r="AC21" s="28">
        <v>0</v>
      </c>
      <c r="AD21" s="28">
        <v>0</v>
      </c>
      <c r="AE21" s="32">
        <v>0</v>
      </c>
      <c r="AF21" s="32">
        <v>0</v>
      </c>
      <c r="AG21" s="32">
        <v>0</v>
      </c>
      <c r="AH21" s="28">
        <v>0</v>
      </c>
      <c r="AI21" s="324">
        <f t="shared" si="0"/>
        <v>0</v>
      </c>
      <c r="AJ21" s="322"/>
      <c r="AK21" s="322"/>
      <c r="AL21" s="322"/>
      <c r="AM21" s="322"/>
      <c r="AN21" s="322"/>
      <c r="AO21" s="322"/>
      <c r="AP21" s="322"/>
      <c r="AQ21" s="322"/>
      <c r="AR21" s="322"/>
      <c r="AS21" s="322"/>
      <c r="AT21" s="322"/>
      <c r="AU21" s="322"/>
      <c r="AV21" s="322"/>
      <c r="AW21" s="322"/>
    </row>
    <row r="22" spans="1:49" ht="15.75" customHeight="1">
      <c r="A22" s="10">
        <v>2212004020</v>
      </c>
      <c r="B22" s="11" t="s">
        <v>25</v>
      </c>
      <c r="C22" s="323" t="s">
        <v>6</v>
      </c>
      <c r="D22" s="32">
        <v>0</v>
      </c>
      <c r="E22" s="32">
        <v>0</v>
      </c>
      <c r="F22" s="32">
        <v>25</v>
      </c>
      <c r="G22" s="32">
        <v>30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45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30</v>
      </c>
      <c r="U22" s="32">
        <v>50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60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4">
        <f t="shared" si="0"/>
        <v>240</v>
      </c>
      <c r="AJ22" s="322"/>
      <c r="AK22" s="322"/>
      <c r="AL22" s="322"/>
      <c r="AM22" s="322"/>
      <c r="AN22" s="322"/>
      <c r="AO22" s="322"/>
      <c r="AP22" s="322"/>
      <c r="AQ22" s="322"/>
      <c r="AR22" s="322"/>
      <c r="AS22" s="322"/>
      <c r="AT22" s="322"/>
      <c r="AU22" s="322"/>
      <c r="AV22" s="322"/>
      <c r="AW22" s="322"/>
    </row>
    <row r="23" spans="1:49" ht="15.75" customHeight="1">
      <c r="A23" s="10">
        <v>2212004021</v>
      </c>
      <c r="B23" s="11" t="s">
        <v>26</v>
      </c>
      <c r="C23" s="323" t="s">
        <v>6</v>
      </c>
      <c r="D23" s="28">
        <v>0</v>
      </c>
      <c r="E23" s="28">
        <v>0</v>
      </c>
      <c r="F23" s="28">
        <v>0</v>
      </c>
      <c r="G23" s="28">
        <v>30</v>
      </c>
      <c r="H23" s="32">
        <v>0</v>
      </c>
      <c r="I23" s="32">
        <v>0</v>
      </c>
      <c r="J23" s="32">
        <v>0</v>
      </c>
      <c r="K23" s="32">
        <v>0</v>
      </c>
      <c r="L23" s="28">
        <v>0</v>
      </c>
      <c r="M23" s="28">
        <v>30</v>
      </c>
      <c r="N23" s="28">
        <v>0</v>
      </c>
      <c r="O23" s="28">
        <v>0</v>
      </c>
      <c r="P23" s="28">
        <v>0</v>
      </c>
      <c r="Q23" s="32">
        <v>0</v>
      </c>
      <c r="R23" s="32">
        <v>0</v>
      </c>
      <c r="S23" s="32">
        <v>0</v>
      </c>
      <c r="T23" s="28">
        <v>0</v>
      </c>
      <c r="U23" s="28">
        <v>30</v>
      </c>
      <c r="V23" s="28">
        <v>0</v>
      </c>
      <c r="W23" s="32">
        <v>0</v>
      </c>
      <c r="X23" s="32">
        <v>0</v>
      </c>
      <c r="Y23" s="32">
        <v>0</v>
      </c>
      <c r="Z23" s="32">
        <v>0</v>
      </c>
      <c r="AA23" s="28">
        <v>30</v>
      </c>
      <c r="AB23" s="28">
        <v>30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25</v>
      </c>
      <c r="AI23" s="324">
        <f t="shared" si="0"/>
        <v>175</v>
      </c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22"/>
      <c r="AU23" s="322"/>
      <c r="AV23" s="322"/>
      <c r="AW23" s="322"/>
    </row>
    <row r="24" spans="1:49" ht="15.75" customHeight="1">
      <c r="A24" s="10">
        <v>2212004022</v>
      </c>
      <c r="B24" s="11" t="s">
        <v>27</v>
      </c>
      <c r="C24" s="323" t="s">
        <v>6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4">
        <f t="shared" si="0"/>
        <v>0</v>
      </c>
      <c r="AJ24" s="322"/>
      <c r="AK24" s="322"/>
      <c r="AL24" s="322"/>
      <c r="AM24" s="322"/>
      <c r="AN24" s="322"/>
      <c r="AO24" s="322"/>
      <c r="AP24" s="322"/>
      <c r="AQ24" s="322"/>
      <c r="AR24" s="322"/>
      <c r="AS24" s="322"/>
      <c r="AT24" s="322"/>
      <c r="AU24" s="322"/>
      <c r="AV24" s="322"/>
      <c r="AW24" s="322"/>
    </row>
    <row r="25" spans="1:49" ht="15.75" customHeight="1">
      <c r="A25" s="10">
        <v>2212004023</v>
      </c>
      <c r="B25" s="11" t="s">
        <v>28</v>
      </c>
      <c r="C25" s="323" t="s">
        <v>6</v>
      </c>
      <c r="D25" s="28">
        <v>0</v>
      </c>
      <c r="E25" s="28">
        <v>0</v>
      </c>
      <c r="F25" s="28">
        <v>0</v>
      </c>
      <c r="G25" s="28">
        <v>0</v>
      </c>
      <c r="H25" s="32">
        <v>0</v>
      </c>
      <c r="I25" s="32">
        <v>0</v>
      </c>
      <c r="J25" s="32">
        <v>0</v>
      </c>
      <c r="K25" s="32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32">
        <v>0</v>
      </c>
      <c r="R25" s="32">
        <v>0</v>
      </c>
      <c r="S25" s="32">
        <v>0</v>
      </c>
      <c r="T25" s="28">
        <v>0</v>
      </c>
      <c r="U25" s="28">
        <v>0</v>
      </c>
      <c r="V25" s="28">
        <v>0</v>
      </c>
      <c r="W25" s="32">
        <v>0</v>
      </c>
      <c r="X25" s="32">
        <v>0</v>
      </c>
      <c r="Y25" s="32">
        <v>0</v>
      </c>
      <c r="Z25" s="32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324">
        <f t="shared" si="0"/>
        <v>0</v>
      </c>
      <c r="AJ25" s="322"/>
      <c r="AK25" s="322"/>
      <c r="AL25" s="322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</row>
    <row r="26" spans="1:49" ht="15.75" customHeight="1">
      <c r="A26" s="10">
        <v>2212004025</v>
      </c>
      <c r="B26" s="11" t="s">
        <v>29</v>
      </c>
      <c r="C26" s="323" t="s">
        <v>6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4">
        <f t="shared" si="0"/>
        <v>0</v>
      </c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22"/>
      <c r="AU26" s="322"/>
      <c r="AV26" s="322"/>
      <c r="AW26" s="322"/>
    </row>
    <row r="27" spans="1:49" ht="15.75" customHeight="1">
      <c r="A27" s="33">
        <v>2212004028</v>
      </c>
      <c r="B27" s="36" t="s">
        <v>30</v>
      </c>
      <c r="C27" s="323" t="s">
        <v>6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32">
        <v>0</v>
      </c>
      <c r="J27" s="32">
        <v>0</v>
      </c>
      <c r="K27" s="32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32">
        <v>0</v>
      </c>
      <c r="R27" s="32">
        <v>0</v>
      </c>
      <c r="S27" s="32">
        <v>0</v>
      </c>
      <c r="T27" s="28">
        <v>0</v>
      </c>
      <c r="U27" s="28">
        <v>0</v>
      </c>
      <c r="V27" s="328">
        <v>0</v>
      </c>
      <c r="W27" s="32">
        <v>0</v>
      </c>
      <c r="X27" s="32">
        <v>0</v>
      </c>
      <c r="Y27" s="32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324">
        <f t="shared" si="0"/>
        <v>0</v>
      </c>
      <c r="AJ27" s="322"/>
      <c r="AK27" s="322"/>
      <c r="AL27" s="322"/>
      <c r="AM27" s="322"/>
      <c r="AN27" s="322"/>
      <c r="AO27" s="322"/>
      <c r="AP27" s="322"/>
      <c r="AQ27" s="322"/>
      <c r="AR27" s="322"/>
      <c r="AS27" s="322"/>
      <c r="AT27" s="322"/>
      <c r="AU27" s="322"/>
      <c r="AV27" s="322"/>
      <c r="AW27" s="322"/>
    </row>
    <row r="28" spans="1:49" ht="15.75" customHeight="1">
      <c r="A28" s="10">
        <v>2212004029</v>
      </c>
      <c r="B28" s="11" t="s">
        <v>31</v>
      </c>
      <c r="C28" s="323" t="s">
        <v>6</v>
      </c>
      <c r="D28" s="32">
        <v>0</v>
      </c>
      <c r="E28" s="32">
        <v>0</v>
      </c>
      <c r="F28" s="32">
        <v>0</v>
      </c>
      <c r="G28" s="32">
        <v>30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20</v>
      </c>
      <c r="O28" s="32">
        <v>30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40</v>
      </c>
      <c r="AB28" s="32">
        <v>30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30</v>
      </c>
      <c r="AI28" s="324">
        <f t="shared" si="0"/>
        <v>180</v>
      </c>
      <c r="AJ28" s="322"/>
      <c r="AK28" s="322"/>
      <c r="AL28" s="322"/>
      <c r="AM28" s="322"/>
      <c r="AN28" s="322"/>
      <c r="AO28" s="322"/>
      <c r="AP28" s="322"/>
      <c r="AQ28" s="322"/>
      <c r="AR28" s="322"/>
      <c r="AS28" s="322"/>
      <c r="AT28" s="322"/>
      <c r="AU28" s="322"/>
      <c r="AV28" s="322"/>
      <c r="AW28" s="322"/>
    </row>
    <row r="29" spans="1:49" ht="15.75" customHeight="1">
      <c r="A29" s="10">
        <v>2212004030</v>
      </c>
      <c r="B29" s="11" t="s">
        <v>32</v>
      </c>
      <c r="C29" s="323" t="s">
        <v>6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28">
        <v>0</v>
      </c>
      <c r="AG29" s="28">
        <v>0</v>
      </c>
      <c r="AH29" s="28">
        <v>0</v>
      </c>
      <c r="AI29" s="324">
        <f t="shared" si="0"/>
        <v>0</v>
      </c>
      <c r="AJ29" s="322"/>
      <c r="AK29" s="322"/>
      <c r="AL29" s="322"/>
      <c r="AM29" s="322"/>
      <c r="AN29" s="322"/>
      <c r="AO29" s="322"/>
      <c r="AP29" s="322"/>
      <c r="AQ29" s="322"/>
      <c r="AR29" s="322"/>
      <c r="AS29" s="322"/>
      <c r="AT29" s="322"/>
      <c r="AU29" s="322"/>
      <c r="AV29" s="322"/>
      <c r="AW29" s="322"/>
    </row>
    <row r="30" spans="1:49" ht="15.75" customHeight="1">
      <c r="A30" s="10">
        <v>2212004031</v>
      </c>
      <c r="B30" s="11" t="s">
        <v>33</v>
      </c>
      <c r="C30" s="323" t="s">
        <v>6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4">
        <f t="shared" si="0"/>
        <v>0</v>
      </c>
      <c r="AJ30" s="322"/>
      <c r="AK30" s="322"/>
      <c r="AL30" s="322"/>
      <c r="AM30" s="322"/>
      <c r="AN30" s="322"/>
      <c r="AO30" s="322"/>
      <c r="AP30" s="322"/>
      <c r="AQ30" s="322"/>
      <c r="AR30" s="322"/>
      <c r="AS30" s="322"/>
      <c r="AT30" s="322"/>
      <c r="AU30" s="322"/>
      <c r="AV30" s="322"/>
      <c r="AW30" s="322"/>
    </row>
    <row r="31" spans="1:49" ht="15.75" customHeight="1">
      <c r="A31" s="10">
        <v>2212004032</v>
      </c>
      <c r="B31" s="11" t="s">
        <v>34</v>
      </c>
      <c r="C31" s="323" t="s">
        <v>6</v>
      </c>
      <c r="D31" s="332" t="s">
        <v>420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324">
        <f t="shared" si="0"/>
        <v>0</v>
      </c>
      <c r="AJ31" s="322"/>
      <c r="AK31" s="322"/>
      <c r="AL31" s="322"/>
      <c r="AM31" s="322"/>
      <c r="AN31" s="322"/>
      <c r="AO31" s="322"/>
      <c r="AP31" s="322"/>
      <c r="AQ31" s="322"/>
      <c r="AR31" s="322"/>
      <c r="AS31" s="322"/>
      <c r="AT31" s="322"/>
      <c r="AU31" s="322"/>
      <c r="AV31" s="322"/>
      <c r="AW31" s="322"/>
    </row>
    <row r="32" spans="1:49" ht="15.75" customHeight="1">
      <c r="A32" s="10">
        <v>2212004034</v>
      </c>
      <c r="B32" s="11" t="s">
        <v>35</v>
      </c>
      <c r="C32" s="323" t="s">
        <v>6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4">
        <f t="shared" si="0"/>
        <v>0</v>
      </c>
      <c r="AJ32" s="322"/>
      <c r="AK32" s="322"/>
      <c r="AL32" s="322"/>
      <c r="AM32" s="322"/>
      <c r="AN32" s="322"/>
      <c r="AO32" s="322"/>
      <c r="AP32" s="322"/>
      <c r="AQ32" s="322"/>
      <c r="AR32" s="322"/>
      <c r="AS32" s="322"/>
      <c r="AT32" s="322"/>
      <c r="AU32" s="322"/>
      <c r="AV32" s="322"/>
      <c r="AW32" s="322"/>
    </row>
    <row r="33" spans="1:49" ht="15.75" customHeight="1">
      <c r="A33" s="10">
        <v>2212004035</v>
      </c>
      <c r="B33" s="11" t="s">
        <v>36</v>
      </c>
      <c r="C33" s="323" t="s">
        <v>6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324">
        <f t="shared" si="0"/>
        <v>0</v>
      </c>
      <c r="AJ33" s="322"/>
      <c r="AK33" s="322"/>
      <c r="AL33" s="322"/>
      <c r="AM33" s="322"/>
      <c r="AN33" s="322"/>
      <c r="AO33" s="322"/>
      <c r="AP33" s="322"/>
      <c r="AQ33" s="322"/>
      <c r="AR33" s="322"/>
      <c r="AS33" s="322"/>
      <c r="AT33" s="322"/>
      <c r="AU33" s="322"/>
      <c r="AV33" s="322"/>
      <c r="AW33" s="322"/>
    </row>
    <row r="34" spans="1:49" ht="15.75" customHeight="1">
      <c r="A34" s="37">
        <v>2212004038</v>
      </c>
      <c r="B34" s="38" t="s">
        <v>37</v>
      </c>
      <c r="C34" s="334" t="s">
        <v>8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35">
        <v>0</v>
      </c>
      <c r="AI34" s="324">
        <f t="shared" si="0"/>
        <v>0</v>
      </c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  <c r="AW34" s="322"/>
    </row>
    <row r="35" spans="1:49" ht="18.75" customHeight="1">
      <c r="A35" s="615" t="s">
        <v>38</v>
      </c>
      <c r="B35" s="606"/>
      <c r="C35" s="607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  <c r="AA35" s="336"/>
      <c r="AB35" s="336"/>
      <c r="AC35" s="336"/>
      <c r="AD35" s="336"/>
      <c r="AE35" s="336"/>
      <c r="AF35" s="336"/>
      <c r="AG35" s="336"/>
      <c r="AH35" s="336"/>
      <c r="AI35" s="131">
        <f t="shared" si="0"/>
        <v>0</v>
      </c>
      <c r="AJ35" s="322"/>
      <c r="AK35" s="322"/>
      <c r="AL35" s="322"/>
      <c r="AM35" s="322"/>
      <c r="AN35" s="322"/>
      <c r="AO35" s="322"/>
      <c r="AP35" s="322"/>
      <c r="AQ35" s="322"/>
      <c r="AR35" s="322"/>
      <c r="AS35" s="322"/>
      <c r="AT35" s="322"/>
      <c r="AU35" s="322"/>
      <c r="AV35" s="322"/>
      <c r="AW35" s="322"/>
    </row>
    <row r="36" spans="1:49" ht="15.75" customHeight="1">
      <c r="A36" s="45">
        <v>2212010003</v>
      </c>
      <c r="B36" s="46" t="s">
        <v>39</v>
      </c>
      <c r="C36" s="337" t="s">
        <v>6</v>
      </c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  <c r="AA36" s="339"/>
      <c r="AB36" s="339"/>
      <c r="AC36" s="339"/>
      <c r="AD36" s="339"/>
      <c r="AE36" s="339"/>
      <c r="AF36" s="339"/>
      <c r="AG36" s="339"/>
      <c r="AH36" s="339"/>
      <c r="AI36" s="324">
        <f t="shared" si="0"/>
        <v>0</v>
      </c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22"/>
      <c r="AU36" s="322"/>
      <c r="AV36" s="322"/>
      <c r="AW36" s="322"/>
    </row>
    <row r="37" spans="1:49" ht="15.75" customHeight="1">
      <c r="A37" s="49">
        <v>2212010004</v>
      </c>
      <c r="B37" s="50" t="s">
        <v>40</v>
      </c>
      <c r="C37" s="342" t="s">
        <v>6</v>
      </c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4">
        <f t="shared" si="0"/>
        <v>0</v>
      </c>
      <c r="AJ37" s="322"/>
      <c r="AK37" s="322"/>
      <c r="AL37" s="322"/>
      <c r="AM37" s="322"/>
      <c r="AN37" s="322"/>
      <c r="AO37" s="322"/>
      <c r="AP37" s="322"/>
      <c r="AQ37" s="322"/>
      <c r="AR37" s="322"/>
      <c r="AS37" s="322"/>
      <c r="AT37" s="322"/>
      <c r="AU37" s="322"/>
      <c r="AV37" s="322"/>
      <c r="AW37" s="322"/>
    </row>
    <row r="38" spans="1:49" ht="15.75" customHeight="1">
      <c r="A38" s="49">
        <v>2212010005</v>
      </c>
      <c r="B38" s="50" t="s">
        <v>41</v>
      </c>
      <c r="C38" s="342" t="s">
        <v>42</v>
      </c>
      <c r="D38" s="339"/>
      <c r="E38" s="339"/>
      <c r="F38" s="32">
        <v>2</v>
      </c>
      <c r="G38" s="32">
        <v>2</v>
      </c>
      <c r="H38" s="339"/>
      <c r="I38" s="339"/>
      <c r="J38" s="339"/>
      <c r="K38" s="339"/>
      <c r="L38" s="339"/>
      <c r="M38" s="32">
        <v>2</v>
      </c>
      <c r="N38" s="32">
        <v>2</v>
      </c>
      <c r="O38" s="339"/>
      <c r="P38" s="339"/>
      <c r="Q38" s="339"/>
      <c r="R38" s="339"/>
      <c r="S38" s="339"/>
      <c r="T38" s="32"/>
      <c r="U38" s="339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24">
        <f t="shared" si="0"/>
        <v>8</v>
      </c>
      <c r="AJ38" s="322"/>
      <c r="AK38" s="322"/>
      <c r="AL38" s="322"/>
      <c r="AM38" s="322"/>
      <c r="AN38" s="322"/>
      <c r="AO38" s="322"/>
      <c r="AP38" s="322"/>
      <c r="AQ38" s="322"/>
      <c r="AR38" s="322"/>
      <c r="AS38" s="322"/>
      <c r="AT38" s="322"/>
      <c r="AU38" s="322"/>
      <c r="AV38" s="322"/>
      <c r="AW38" s="322"/>
    </row>
    <row r="39" spans="1:49" ht="15.75" customHeight="1">
      <c r="A39" s="49">
        <v>2212010006</v>
      </c>
      <c r="B39" s="50" t="s">
        <v>43</v>
      </c>
      <c r="C39" s="342" t="s">
        <v>42</v>
      </c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4">
        <f t="shared" si="0"/>
        <v>0</v>
      </c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22"/>
      <c r="AU39" s="322"/>
      <c r="AV39" s="322"/>
      <c r="AW39" s="322"/>
    </row>
    <row r="40" spans="1:49" ht="15.75" customHeight="1">
      <c r="A40" s="49">
        <v>2212010007</v>
      </c>
      <c r="B40" s="50" t="s">
        <v>44</v>
      </c>
      <c r="C40" s="342" t="s">
        <v>42</v>
      </c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39"/>
      <c r="AB40" s="339"/>
      <c r="AC40" s="339"/>
      <c r="AD40" s="339"/>
      <c r="AE40" s="339"/>
      <c r="AF40" s="339"/>
      <c r="AG40" s="339"/>
      <c r="AH40" s="339"/>
      <c r="AI40" s="324">
        <f t="shared" si="0"/>
        <v>0</v>
      </c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22"/>
      <c r="AU40" s="322"/>
      <c r="AV40" s="322"/>
      <c r="AW40" s="322"/>
    </row>
    <row r="41" spans="1:49" ht="15.75" customHeight="1">
      <c r="A41" s="49">
        <v>2212010008</v>
      </c>
      <c r="B41" s="50" t="s">
        <v>45</v>
      </c>
      <c r="C41" s="342" t="s">
        <v>6</v>
      </c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25"/>
      <c r="AI41" s="324">
        <f t="shared" si="0"/>
        <v>0</v>
      </c>
      <c r="AJ41" s="322"/>
      <c r="AK41" s="322"/>
      <c r="AL41" s="322"/>
      <c r="AM41" s="322"/>
      <c r="AN41" s="322"/>
      <c r="AO41" s="322"/>
      <c r="AP41" s="322"/>
      <c r="AQ41" s="322"/>
      <c r="AR41" s="322"/>
      <c r="AS41" s="322"/>
      <c r="AT41" s="322"/>
      <c r="AU41" s="322"/>
      <c r="AV41" s="322"/>
      <c r="AW41" s="322"/>
    </row>
    <row r="42" spans="1:49" ht="15.75" customHeight="1">
      <c r="A42" s="49">
        <v>2212010009</v>
      </c>
      <c r="B42" s="50" t="s">
        <v>46</v>
      </c>
      <c r="C42" s="342" t="s">
        <v>6</v>
      </c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24">
        <f t="shared" si="0"/>
        <v>0</v>
      </c>
      <c r="AJ42" s="322"/>
      <c r="AK42" s="322"/>
      <c r="AL42" s="322"/>
      <c r="AM42" s="322"/>
      <c r="AN42" s="322"/>
      <c r="AO42" s="322"/>
      <c r="AP42" s="322"/>
      <c r="AQ42" s="322"/>
      <c r="AR42" s="322"/>
      <c r="AS42" s="322"/>
      <c r="AT42" s="322"/>
      <c r="AU42" s="322"/>
      <c r="AV42" s="322"/>
      <c r="AW42" s="322"/>
    </row>
    <row r="43" spans="1:49" ht="15.75" customHeight="1">
      <c r="A43" s="49">
        <v>2212010010</v>
      </c>
      <c r="B43" s="50" t="s">
        <v>47</v>
      </c>
      <c r="C43" s="342" t="s">
        <v>42</v>
      </c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4">
        <f t="shared" si="0"/>
        <v>0</v>
      </c>
      <c r="AJ43" s="322"/>
      <c r="AK43" s="322"/>
      <c r="AL43" s="322"/>
      <c r="AM43" s="322"/>
      <c r="AN43" s="322"/>
      <c r="AO43" s="322"/>
      <c r="AP43" s="322"/>
      <c r="AQ43" s="322"/>
      <c r="AR43" s="322"/>
      <c r="AS43" s="322"/>
      <c r="AT43" s="322"/>
      <c r="AU43" s="322"/>
      <c r="AV43" s="322"/>
      <c r="AW43" s="322"/>
    </row>
    <row r="44" spans="1:49" ht="15.75" customHeight="1">
      <c r="A44" s="49">
        <v>2212010011</v>
      </c>
      <c r="B44" s="50" t="s">
        <v>48</v>
      </c>
      <c r="C44" s="342" t="s">
        <v>6</v>
      </c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339"/>
      <c r="AE44" s="339"/>
      <c r="AF44" s="339"/>
      <c r="AG44" s="339"/>
      <c r="AH44" s="339"/>
      <c r="AI44" s="324">
        <f t="shared" si="0"/>
        <v>0</v>
      </c>
      <c r="AJ44" s="322"/>
      <c r="AK44" s="322"/>
      <c r="AL44" s="322"/>
      <c r="AM44" s="322"/>
      <c r="AN44" s="322"/>
      <c r="AO44" s="322"/>
      <c r="AP44" s="322"/>
      <c r="AQ44" s="322"/>
      <c r="AR44" s="322"/>
      <c r="AS44" s="322"/>
      <c r="AT44" s="322"/>
      <c r="AU44" s="322"/>
      <c r="AV44" s="322"/>
      <c r="AW44" s="322"/>
    </row>
    <row r="45" spans="1:49" ht="15.75" customHeight="1">
      <c r="A45" s="49">
        <v>2212010012</v>
      </c>
      <c r="B45" s="50" t="s">
        <v>49</v>
      </c>
      <c r="C45" s="342" t="s">
        <v>6</v>
      </c>
      <c r="D45" s="325"/>
      <c r="E45" s="325"/>
      <c r="F45" s="28">
        <v>30</v>
      </c>
      <c r="G45" s="28">
        <v>65</v>
      </c>
      <c r="H45" s="325"/>
      <c r="I45" s="325"/>
      <c r="J45" s="325"/>
      <c r="K45" s="325"/>
      <c r="L45" s="325"/>
      <c r="M45" s="28">
        <v>45</v>
      </c>
      <c r="N45" s="28">
        <v>30</v>
      </c>
      <c r="O45" s="28">
        <v>55</v>
      </c>
      <c r="P45" s="325"/>
      <c r="Q45" s="325"/>
      <c r="R45" s="325"/>
      <c r="S45" s="325"/>
      <c r="T45" s="28">
        <v>55</v>
      </c>
      <c r="U45" s="28">
        <v>50</v>
      </c>
      <c r="V45" s="325"/>
      <c r="W45" s="325"/>
      <c r="X45" s="325"/>
      <c r="Y45" s="325"/>
      <c r="Z45" s="325"/>
      <c r="AA45" s="28">
        <v>20</v>
      </c>
      <c r="AB45" s="28">
        <v>55</v>
      </c>
      <c r="AC45" s="325"/>
      <c r="AD45" s="325"/>
      <c r="AE45" s="325"/>
      <c r="AF45" s="325"/>
      <c r="AG45" s="325"/>
      <c r="AH45" s="28">
        <v>30</v>
      </c>
      <c r="AI45" s="324">
        <f t="shared" si="0"/>
        <v>435</v>
      </c>
      <c r="AJ45" s="322"/>
      <c r="AK45" s="322"/>
      <c r="AL45" s="322"/>
      <c r="AM45" s="322"/>
      <c r="AN45" s="322"/>
      <c r="AO45" s="322"/>
      <c r="AP45" s="322"/>
      <c r="AQ45" s="322"/>
      <c r="AR45" s="322"/>
      <c r="AS45" s="322"/>
      <c r="AT45" s="322"/>
      <c r="AU45" s="322"/>
      <c r="AV45" s="322"/>
      <c r="AW45" s="322"/>
    </row>
    <row r="46" spans="1:49" ht="15.75" customHeight="1">
      <c r="A46" s="49">
        <v>2212010013</v>
      </c>
      <c r="B46" s="50" t="s">
        <v>50</v>
      </c>
      <c r="C46" s="342" t="s">
        <v>6</v>
      </c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  <c r="AD46" s="339"/>
      <c r="AE46" s="339"/>
      <c r="AF46" s="339"/>
      <c r="AG46" s="339"/>
      <c r="AH46" s="339"/>
      <c r="AI46" s="324">
        <f t="shared" si="0"/>
        <v>0</v>
      </c>
      <c r="AJ46" s="322"/>
      <c r="AK46" s="322"/>
      <c r="AL46" s="322"/>
      <c r="AM46" s="322"/>
      <c r="AN46" s="322"/>
      <c r="AO46" s="322"/>
      <c r="AP46" s="322"/>
      <c r="AQ46" s="322"/>
      <c r="AR46" s="322"/>
      <c r="AS46" s="322"/>
      <c r="AT46" s="322"/>
      <c r="AU46" s="322"/>
      <c r="AV46" s="322"/>
      <c r="AW46" s="322"/>
    </row>
    <row r="47" spans="1:49" ht="15.75" customHeight="1">
      <c r="A47" s="49">
        <v>2212010014</v>
      </c>
      <c r="B47" s="50" t="s">
        <v>51</v>
      </c>
      <c r="C47" s="342" t="s">
        <v>6</v>
      </c>
      <c r="D47" s="325"/>
      <c r="E47" s="325"/>
      <c r="F47" s="28">
        <v>20</v>
      </c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  <c r="AA47" s="28">
        <v>20</v>
      </c>
      <c r="AB47" s="325"/>
      <c r="AC47" s="325"/>
      <c r="AD47" s="325"/>
      <c r="AE47" s="325"/>
      <c r="AF47" s="325"/>
      <c r="AG47" s="325"/>
      <c r="AH47" s="325"/>
      <c r="AI47" s="324">
        <f t="shared" si="0"/>
        <v>40</v>
      </c>
      <c r="AJ47" s="322"/>
      <c r="AK47" s="322"/>
      <c r="AL47" s="322"/>
      <c r="AM47" s="322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</row>
    <row r="48" spans="1:49" ht="15.75" customHeight="1">
      <c r="A48" s="49">
        <v>2212010015</v>
      </c>
      <c r="B48" s="50" t="s">
        <v>52</v>
      </c>
      <c r="C48" s="342" t="s">
        <v>6</v>
      </c>
      <c r="D48" s="339"/>
      <c r="E48" s="339"/>
      <c r="F48" s="32">
        <v>10</v>
      </c>
      <c r="G48" s="32">
        <v>10</v>
      </c>
      <c r="H48" s="339"/>
      <c r="I48" s="339"/>
      <c r="J48" s="339"/>
      <c r="K48" s="339"/>
      <c r="L48" s="339"/>
      <c r="M48" s="32">
        <v>12</v>
      </c>
      <c r="N48" s="32">
        <v>12</v>
      </c>
      <c r="O48" s="32">
        <v>10</v>
      </c>
      <c r="P48" s="339"/>
      <c r="Q48" s="339"/>
      <c r="R48" s="339"/>
      <c r="S48" s="339"/>
      <c r="T48" s="32">
        <v>10</v>
      </c>
      <c r="U48" s="32">
        <v>10</v>
      </c>
      <c r="V48" s="339"/>
      <c r="W48" s="339"/>
      <c r="X48" s="339"/>
      <c r="Y48" s="339"/>
      <c r="Z48" s="339"/>
      <c r="AA48" s="32">
        <v>12</v>
      </c>
      <c r="AB48" s="32">
        <v>10</v>
      </c>
      <c r="AC48" s="339"/>
      <c r="AD48" s="339"/>
      <c r="AE48" s="339"/>
      <c r="AF48" s="339"/>
      <c r="AG48" s="339"/>
      <c r="AH48" s="32">
        <v>12</v>
      </c>
      <c r="AI48" s="324">
        <f t="shared" si="0"/>
        <v>108</v>
      </c>
      <c r="AJ48" s="322"/>
      <c r="AK48" s="322"/>
      <c r="AL48" s="322"/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</row>
    <row r="49" spans="1:49" ht="15.75" customHeight="1">
      <c r="A49" s="49">
        <v>2212010016</v>
      </c>
      <c r="B49" s="50" t="s">
        <v>53</v>
      </c>
      <c r="C49" s="342" t="s">
        <v>42</v>
      </c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4">
        <f t="shared" si="0"/>
        <v>0</v>
      </c>
      <c r="AJ49" s="322"/>
      <c r="AK49" s="322"/>
      <c r="AL49" s="322"/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</row>
    <row r="50" spans="1:49" ht="15.75" customHeight="1">
      <c r="A50" s="49">
        <v>2212010017</v>
      </c>
      <c r="B50" s="50" t="s">
        <v>54</v>
      </c>
      <c r="C50" s="342" t="s">
        <v>6</v>
      </c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  <c r="AD50" s="339"/>
      <c r="AE50" s="339"/>
      <c r="AF50" s="339"/>
      <c r="AG50" s="339"/>
      <c r="AH50" s="339"/>
      <c r="AI50" s="324">
        <f t="shared" si="0"/>
        <v>0</v>
      </c>
      <c r="AJ50" s="322"/>
      <c r="AK50" s="322"/>
      <c r="AL50" s="322"/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</row>
    <row r="51" spans="1:49" ht="15.75" customHeight="1">
      <c r="A51" s="49">
        <v>2212010019</v>
      </c>
      <c r="B51" s="50" t="s">
        <v>55</v>
      </c>
      <c r="C51" s="342" t="s">
        <v>6</v>
      </c>
      <c r="D51" s="325"/>
      <c r="E51" s="325"/>
      <c r="F51" s="28">
        <v>45</v>
      </c>
      <c r="G51" s="28">
        <v>25</v>
      </c>
      <c r="H51" s="325"/>
      <c r="I51" s="325"/>
      <c r="J51" s="325"/>
      <c r="K51" s="325"/>
      <c r="L51" s="325"/>
      <c r="M51" s="28">
        <v>25</v>
      </c>
      <c r="N51" s="28">
        <v>55</v>
      </c>
      <c r="O51" s="28">
        <v>45</v>
      </c>
      <c r="P51" s="325"/>
      <c r="Q51" s="325"/>
      <c r="R51" s="325"/>
      <c r="S51" s="325"/>
      <c r="T51" s="28">
        <v>45</v>
      </c>
      <c r="U51" s="28">
        <v>35</v>
      </c>
      <c r="V51" s="325"/>
      <c r="W51" s="325"/>
      <c r="X51" s="325"/>
      <c r="Y51" s="325"/>
      <c r="Z51" s="325"/>
      <c r="AA51" s="28">
        <v>50</v>
      </c>
      <c r="AB51" s="28">
        <v>35</v>
      </c>
      <c r="AC51" s="325"/>
      <c r="AD51" s="325"/>
      <c r="AE51" s="325"/>
      <c r="AF51" s="325"/>
      <c r="AG51" s="325"/>
      <c r="AH51" s="28">
        <v>50</v>
      </c>
      <c r="AI51" s="324">
        <f t="shared" si="0"/>
        <v>410</v>
      </c>
      <c r="AJ51" s="322"/>
      <c r="AK51" s="322"/>
      <c r="AL51" s="322"/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</row>
    <row r="52" spans="1:49" ht="15.75" customHeight="1">
      <c r="A52" s="49">
        <v>2212010020</v>
      </c>
      <c r="B52" s="50" t="s">
        <v>56</v>
      </c>
      <c r="C52" s="342" t="s">
        <v>6</v>
      </c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24">
        <f t="shared" si="0"/>
        <v>0</v>
      </c>
      <c r="AJ52" s="322"/>
      <c r="AK52" s="322"/>
      <c r="AL52" s="322"/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</row>
    <row r="53" spans="1:49" ht="15.75" customHeight="1">
      <c r="A53" s="49">
        <v>2212010021</v>
      </c>
      <c r="B53" s="50" t="s">
        <v>57</v>
      </c>
      <c r="C53" s="342" t="s">
        <v>6</v>
      </c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5"/>
      <c r="AI53" s="324">
        <f t="shared" si="0"/>
        <v>0</v>
      </c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</row>
    <row r="54" spans="1:49" ht="15.75" customHeight="1">
      <c r="A54" s="49">
        <v>2212010022</v>
      </c>
      <c r="B54" s="50" t="s">
        <v>58</v>
      </c>
      <c r="C54" s="342" t="s">
        <v>6</v>
      </c>
      <c r="D54" s="339"/>
      <c r="E54" s="339"/>
      <c r="F54" s="32">
        <v>2</v>
      </c>
      <c r="G54" s="339"/>
      <c r="H54" s="339"/>
      <c r="I54" s="339"/>
      <c r="J54" s="339"/>
      <c r="K54" s="339"/>
      <c r="L54" s="339"/>
      <c r="M54" s="32">
        <v>2</v>
      </c>
      <c r="N54" s="339"/>
      <c r="O54" s="32">
        <v>2</v>
      </c>
      <c r="P54" s="339"/>
      <c r="Q54" s="339"/>
      <c r="R54" s="339"/>
      <c r="S54" s="339"/>
      <c r="T54" s="339"/>
      <c r="U54" s="32">
        <v>2</v>
      </c>
      <c r="V54" s="339"/>
      <c r="W54" s="339"/>
      <c r="X54" s="339"/>
      <c r="Y54" s="339"/>
      <c r="Z54" s="339"/>
      <c r="AA54" s="32">
        <v>2</v>
      </c>
      <c r="AB54" s="339"/>
      <c r="AC54" s="339"/>
      <c r="AD54" s="339"/>
      <c r="AE54" s="339"/>
      <c r="AF54" s="339"/>
      <c r="AG54" s="339"/>
      <c r="AH54" s="339"/>
      <c r="AI54" s="324">
        <f t="shared" si="0"/>
        <v>10</v>
      </c>
      <c r="AJ54" s="322"/>
      <c r="AK54" s="322"/>
      <c r="AL54" s="322"/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</row>
    <row r="55" spans="1:49" ht="15.75" customHeight="1">
      <c r="A55" s="49">
        <v>2212010023</v>
      </c>
      <c r="B55" s="50" t="s">
        <v>59</v>
      </c>
      <c r="C55" s="342" t="s">
        <v>6</v>
      </c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25"/>
      <c r="AI55" s="324">
        <f t="shared" si="0"/>
        <v>0</v>
      </c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</row>
    <row r="56" spans="1:49" ht="15.75" customHeight="1">
      <c r="A56" s="49">
        <v>2212010024</v>
      </c>
      <c r="B56" s="50" t="s">
        <v>60</v>
      </c>
      <c r="C56" s="342" t="s">
        <v>6</v>
      </c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  <c r="AD56" s="339"/>
      <c r="AE56" s="339"/>
      <c r="AF56" s="339"/>
      <c r="AG56" s="339"/>
      <c r="AH56" s="339"/>
      <c r="AI56" s="324">
        <f t="shared" si="0"/>
        <v>0</v>
      </c>
      <c r="AJ56" s="322"/>
      <c r="AK56" s="322"/>
      <c r="AL56" s="322"/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</row>
    <row r="57" spans="1:49" ht="15.75" customHeight="1">
      <c r="A57" s="49">
        <v>2212010025</v>
      </c>
      <c r="B57" s="50" t="s">
        <v>61</v>
      </c>
      <c r="C57" s="342" t="s">
        <v>42</v>
      </c>
      <c r="D57" s="325"/>
      <c r="E57" s="325"/>
      <c r="F57" s="28">
        <v>1</v>
      </c>
      <c r="G57" s="28">
        <v>1</v>
      </c>
      <c r="H57" s="325"/>
      <c r="I57" s="325"/>
      <c r="J57" s="325"/>
      <c r="K57" s="325"/>
      <c r="L57" s="325"/>
      <c r="M57" s="325"/>
      <c r="N57" s="28">
        <v>1</v>
      </c>
      <c r="O57" s="28">
        <v>1</v>
      </c>
      <c r="P57" s="325"/>
      <c r="Q57" s="325"/>
      <c r="R57" s="325"/>
      <c r="S57" s="325"/>
      <c r="T57" s="28">
        <v>1</v>
      </c>
      <c r="U57" s="28">
        <v>1</v>
      </c>
      <c r="V57" s="325"/>
      <c r="W57" s="325"/>
      <c r="X57" s="325"/>
      <c r="Y57" s="325"/>
      <c r="Z57" s="325"/>
      <c r="AA57" s="325"/>
      <c r="AB57" s="28">
        <v>1</v>
      </c>
      <c r="AC57" s="325"/>
      <c r="AD57" s="325"/>
      <c r="AE57" s="325"/>
      <c r="AF57" s="325"/>
      <c r="AG57" s="325"/>
      <c r="AH57" s="28">
        <v>1</v>
      </c>
      <c r="AI57" s="324">
        <f t="shared" si="0"/>
        <v>8</v>
      </c>
      <c r="AJ57" s="322"/>
      <c r="AK57" s="322"/>
      <c r="AL57" s="322"/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</row>
    <row r="58" spans="1:49" ht="15.75" customHeight="1">
      <c r="A58" s="49">
        <v>2212010026</v>
      </c>
      <c r="B58" s="50" t="s">
        <v>62</v>
      </c>
      <c r="C58" s="342" t="s">
        <v>6</v>
      </c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24">
        <f t="shared" si="0"/>
        <v>0</v>
      </c>
      <c r="AJ58" s="322"/>
      <c r="AK58" s="322"/>
      <c r="AL58" s="322"/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</row>
    <row r="59" spans="1:49" ht="15.75" customHeight="1">
      <c r="A59" s="49">
        <v>2212010027</v>
      </c>
      <c r="B59" s="50" t="s">
        <v>63</v>
      </c>
      <c r="C59" s="342" t="s">
        <v>6</v>
      </c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  <c r="AA59" s="325"/>
      <c r="AB59" s="325"/>
      <c r="AC59" s="325"/>
      <c r="AD59" s="325"/>
      <c r="AE59" s="325"/>
      <c r="AF59" s="325"/>
      <c r="AG59" s="325"/>
      <c r="AH59" s="325"/>
      <c r="AI59" s="324">
        <f t="shared" si="0"/>
        <v>0</v>
      </c>
      <c r="AJ59" s="322"/>
      <c r="AK59" s="322"/>
      <c r="AL59" s="322"/>
      <c r="AM59" s="322"/>
      <c r="AN59" s="322"/>
      <c r="AO59" s="322"/>
      <c r="AP59" s="322"/>
      <c r="AQ59" s="322"/>
      <c r="AR59" s="322"/>
      <c r="AS59" s="322"/>
      <c r="AT59" s="322"/>
      <c r="AU59" s="322"/>
      <c r="AV59" s="322"/>
      <c r="AW59" s="322"/>
    </row>
    <row r="60" spans="1:49" ht="15.75" customHeight="1">
      <c r="A60" s="49">
        <v>2212010028</v>
      </c>
      <c r="B60" s="50" t="s">
        <v>64</v>
      </c>
      <c r="C60" s="342" t="s">
        <v>6</v>
      </c>
      <c r="D60" s="339"/>
      <c r="E60" s="339"/>
      <c r="F60" s="32"/>
      <c r="G60" s="32"/>
      <c r="H60" s="339"/>
      <c r="I60" s="339"/>
      <c r="J60" s="339"/>
      <c r="K60" s="339"/>
      <c r="L60" s="339"/>
      <c r="M60" s="32">
        <v>10</v>
      </c>
      <c r="N60" s="32"/>
      <c r="O60" s="32">
        <v>20</v>
      </c>
      <c r="P60" s="339"/>
      <c r="Q60" s="339"/>
      <c r="R60" s="339"/>
      <c r="S60" s="339"/>
      <c r="T60" s="32"/>
      <c r="U60" s="32">
        <v>20</v>
      </c>
      <c r="V60" s="339"/>
      <c r="W60" s="339"/>
      <c r="X60" s="339"/>
      <c r="Y60" s="339"/>
      <c r="Z60" s="339"/>
      <c r="AA60" s="32"/>
      <c r="AB60" s="32"/>
      <c r="AC60" s="339"/>
      <c r="AD60" s="339"/>
      <c r="AE60" s="339"/>
      <c r="AF60" s="339"/>
      <c r="AG60" s="339"/>
      <c r="AH60" s="32"/>
      <c r="AI60" s="324">
        <f t="shared" si="0"/>
        <v>50</v>
      </c>
      <c r="AJ60" s="322"/>
      <c r="AK60" s="322"/>
      <c r="AL60" s="322"/>
      <c r="AM60" s="322"/>
      <c r="AN60" s="322"/>
      <c r="AO60" s="322"/>
      <c r="AP60" s="322"/>
      <c r="AQ60" s="322"/>
      <c r="AR60" s="322"/>
      <c r="AS60" s="322"/>
      <c r="AT60" s="322"/>
      <c r="AU60" s="322"/>
      <c r="AV60" s="322"/>
      <c r="AW60" s="322"/>
    </row>
    <row r="61" spans="1:49" ht="15.75" customHeight="1">
      <c r="A61" s="49">
        <v>2212010029</v>
      </c>
      <c r="B61" s="50" t="s">
        <v>65</v>
      </c>
      <c r="C61" s="342" t="s">
        <v>6</v>
      </c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28">
        <v>10</v>
      </c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5"/>
      <c r="AD61" s="325"/>
      <c r="AE61" s="325"/>
      <c r="AF61" s="325"/>
      <c r="AG61" s="325"/>
      <c r="AH61" s="325"/>
      <c r="AI61" s="324">
        <f t="shared" si="0"/>
        <v>10</v>
      </c>
      <c r="AJ61" s="322"/>
      <c r="AK61" s="322"/>
      <c r="AL61" s="322"/>
      <c r="AM61" s="322"/>
      <c r="AN61" s="322"/>
      <c r="AO61" s="322"/>
      <c r="AP61" s="322"/>
      <c r="AQ61" s="322"/>
      <c r="AR61" s="322"/>
      <c r="AS61" s="322"/>
      <c r="AT61" s="322"/>
      <c r="AU61" s="322"/>
      <c r="AV61" s="322"/>
      <c r="AW61" s="322"/>
    </row>
    <row r="62" spans="1:49" ht="15.75" customHeight="1">
      <c r="A62" s="49">
        <v>2212010030</v>
      </c>
      <c r="B62" s="50" t="s">
        <v>66</v>
      </c>
      <c r="C62" s="342" t="s">
        <v>8</v>
      </c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  <c r="AD62" s="339"/>
      <c r="AE62" s="339"/>
      <c r="AF62" s="339"/>
      <c r="AG62" s="339"/>
      <c r="AH62" s="339"/>
      <c r="AI62" s="324">
        <f t="shared" si="0"/>
        <v>0</v>
      </c>
      <c r="AJ62" s="322"/>
      <c r="AK62" s="322"/>
      <c r="AL62" s="322"/>
      <c r="AM62" s="322"/>
      <c r="AN62" s="322"/>
      <c r="AO62" s="322"/>
      <c r="AP62" s="322"/>
      <c r="AQ62" s="322"/>
      <c r="AR62" s="322"/>
      <c r="AS62" s="322"/>
      <c r="AT62" s="322"/>
      <c r="AU62" s="322"/>
      <c r="AV62" s="322"/>
      <c r="AW62" s="322"/>
    </row>
    <row r="63" spans="1:49" ht="15.75" customHeight="1">
      <c r="A63" s="49">
        <v>2212010031</v>
      </c>
      <c r="B63" s="50" t="s">
        <v>67</v>
      </c>
      <c r="C63" s="342" t="s">
        <v>6</v>
      </c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  <c r="AH63" s="325"/>
      <c r="AI63" s="324">
        <f t="shared" si="0"/>
        <v>0</v>
      </c>
      <c r="AJ63" s="322"/>
      <c r="AK63" s="322"/>
      <c r="AL63" s="322"/>
      <c r="AM63" s="322"/>
      <c r="AN63" s="322"/>
      <c r="AO63" s="322"/>
      <c r="AP63" s="322"/>
      <c r="AQ63" s="322"/>
      <c r="AR63" s="322"/>
      <c r="AS63" s="322"/>
      <c r="AT63" s="322"/>
      <c r="AU63" s="322"/>
      <c r="AV63" s="322"/>
      <c r="AW63" s="322"/>
    </row>
    <row r="64" spans="1:49" ht="15.75" customHeight="1">
      <c r="A64" s="49">
        <v>2212010032</v>
      </c>
      <c r="B64" s="50" t="s">
        <v>68</v>
      </c>
      <c r="C64" s="342" t="s">
        <v>6</v>
      </c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339"/>
      <c r="AG64" s="339"/>
      <c r="AH64" s="339"/>
      <c r="AI64" s="324">
        <f t="shared" si="0"/>
        <v>0</v>
      </c>
      <c r="AJ64" s="322"/>
      <c r="AK64" s="322"/>
      <c r="AL64" s="322"/>
      <c r="AM64" s="322"/>
      <c r="AN64" s="322"/>
      <c r="AO64" s="322"/>
      <c r="AP64" s="322"/>
      <c r="AQ64" s="322"/>
      <c r="AR64" s="322"/>
      <c r="AS64" s="322"/>
      <c r="AT64" s="322"/>
      <c r="AU64" s="322"/>
      <c r="AV64" s="322"/>
      <c r="AW64" s="322"/>
    </row>
    <row r="65" spans="1:49" ht="15.75" customHeight="1">
      <c r="A65" s="49">
        <v>2212010033</v>
      </c>
      <c r="B65" s="50" t="s">
        <v>69</v>
      </c>
      <c r="C65" s="342" t="s">
        <v>42</v>
      </c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28">
        <v>1</v>
      </c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25"/>
      <c r="AI65" s="324">
        <f t="shared" si="0"/>
        <v>1</v>
      </c>
      <c r="AJ65" s="322"/>
      <c r="AK65" s="322"/>
      <c r="AL65" s="322"/>
      <c r="AM65" s="322"/>
      <c r="AN65" s="322"/>
      <c r="AO65" s="322"/>
      <c r="AP65" s="322"/>
      <c r="AQ65" s="322"/>
      <c r="AR65" s="322"/>
      <c r="AS65" s="322"/>
      <c r="AT65" s="322"/>
      <c r="AU65" s="322"/>
      <c r="AV65" s="322"/>
      <c r="AW65" s="322"/>
    </row>
    <row r="66" spans="1:49" ht="15.75" customHeight="1">
      <c r="A66" s="49">
        <v>2212010034</v>
      </c>
      <c r="B66" s="50" t="s">
        <v>70</v>
      </c>
      <c r="C66" s="342" t="s">
        <v>6</v>
      </c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24">
        <f t="shared" si="0"/>
        <v>0</v>
      </c>
      <c r="AJ66" s="322"/>
      <c r="AK66" s="322"/>
      <c r="AL66" s="322"/>
      <c r="AM66" s="322"/>
      <c r="AN66" s="322"/>
      <c r="AO66" s="322"/>
      <c r="AP66" s="322"/>
      <c r="AQ66" s="322"/>
      <c r="AR66" s="322"/>
      <c r="AS66" s="322"/>
      <c r="AT66" s="322"/>
      <c r="AU66" s="322"/>
      <c r="AV66" s="322"/>
      <c r="AW66" s="322"/>
    </row>
    <row r="67" spans="1:49" ht="15.75" customHeight="1">
      <c r="A67" s="49">
        <v>2212010035</v>
      </c>
      <c r="B67" s="50" t="s">
        <v>71</v>
      </c>
      <c r="C67" s="342" t="s">
        <v>6</v>
      </c>
      <c r="D67" s="325"/>
      <c r="E67" s="325"/>
      <c r="F67" s="28">
        <v>40</v>
      </c>
      <c r="G67" s="28">
        <v>25</v>
      </c>
      <c r="H67" s="325"/>
      <c r="I67" s="325"/>
      <c r="J67" s="325"/>
      <c r="K67" s="325"/>
      <c r="L67" s="325"/>
      <c r="M67" s="28">
        <v>10</v>
      </c>
      <c r="N67" s="28">
        <v>25</v>
      </c>
      <c r="O67" s="28">
        <v>40</v>
      </c>
      <c r="P67" s="325"/>
      <c r="Q67" s="325"/>
      <c r="R67" s="325"/>
      <c r="S67" s="325"/>
      <c r="T67" s="28">
        <v>35</v>
      </c>
      <c r="U67" s="28">
        <v>20</v>
      </c>
      <c r="V67" s="325"/>
      <c r="W67" s="325"/>
      <c r="X67" s="325"/>
      <c r="Y67" s="325"/>
      <c r="Z67" s="325"/>
      <c r="AA67" s="28">
        <v>20</v>
      </c>
      <c r="AB67" s="28">
        <v>40</v>
      </c>
      <c r="AC67" s="325"/>
      <c r="AD67" s="325"/>
      <c r="AE67" s="325"/>
      <c r="AF67" s="325"/>
      <c r="AG67" s="325"/>
      <c r="AH67" s="28">
        <v>50</v>
      </c>
      <c r="AI67" s="324">
        <f t="shared" si="0"/>
        <v>305</v>
      </c>
      <c r="AJ67" s="322"/>
      <c r="AK67" s="322"/>
      <c r="AL67" s="322"/>
      <c r="AM67" s="322"/>
      <c r="AN67" s="322"/>
      <c r="AO67" s="322"/>
      <c r="AP67" s="322"/>
      <c r="AQ67" s="322"/>
      <c r="AR67" s="322"/>
      <c r="AS67" s="322"/>
      <c r="AT67" s="322"/>
      <c r="AU67" s="322"/>
      <c r="AV67" s="322"/>
      <c r="AW67" s="322"/>
    </row>
    <row r="68" spans="1:49" ht="15.75" customHeight="1">
      <c r="A68" s="49">
        <v>2212010036</v>
      </c>
      <c r="B68" s="50" t="s">
        <v>72</v>
      </c>
      <c r="C68" s="342" t="s">
        <v>8</v>
      </c>
      <c r="D68" s="339"/>
      <c r="E68" s="339"/>
      <c r="F68" s="32">
        <v>5</v>
      </c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2">
        <v>4</v>
      </c>
      <c r="AB68" s="339"/>
      <c r="AC68" s="339"/>
      <c r="AD68" s="339"/>
      <c r="AE68" s="339"/>
      <c r="AF68" s="339"/>
      <c r="AG68" s="339"/>
      <c r="AH68" s="339"/>
      <c r="AI68" s="324">
        <f t="shared" si="0"/>
        <v>9</v>
      </c>
      <c r="AJ68" s="322"/>
      <c r="AK68" s="322"/>
      <c r="AL68" s="322"/>
      <c r="AM68" s="322"/>
      <c r="AN68" s="322"/>
      <c r="AO68" s="322"/>
      <c r="AP68" s="322"/>
      <c r="AQ68" s="322"/>
      <c r="AR68" s="322"/>
      <c r="AS68" s="322"/>
      <c r="AT68" s="322"/>
      <c r="AU68" s="322"/>
      <c r="AV68" s="322"/>
      <c r="AW68" s="322"/>
    </row>
    <row r="69" spans="1:49" ht="15.75" customHeight="1">
      <c r="A69" s="49">
        <v>2212010037</v>
      </c>
      <c r="B69" s="50" t="s">
        <v>73</v>
      </c>
      <c r="C69" s="342" t="s">
        <v>6</v>
      </c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  <c r="AG69" s="325"/>
      <c r="AH69" s="325"/>
      <c r="AI69" s="324">
        <f t="shared" si="0"/>
        <v>0</v>
      </c>
      <c r="AJ69" s="322"/>
      <c r="AK69" s="322"/>
      <c r="AL69" s="322"/>
      <c r="AM69" s="322"/>
      <c r="AN69" s="322"/>
      <c r="AO69" s="322"/>
      <c r="AP69" s="322"/>
      <c r="AQ69" s="322"/>
      <c r="AR69" s="322"/>
      <c r="AS69" s="322"/>
      <c r="AT69" s="322"/>
      <c r="AU69" s="322"/>
      <c r="AV69" s="322"/>
      <c r="AW69" s="322"/>
    </row>
    <row r="70" spans="1:49" ht="15.75" customHeight="1">
      <c r="A70" s="49">
        <v>2212010038</v>
      </c>
      <c r="B70" s="50" t="s">
        <v>74</v>
      </c>
      <c r="C70" s="342" t="s">
        <v>6</v>
      </c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2">
        <v>15</v>
      </c>
      <c r="P70" s="339"/>
      <c r="Q70" s="339"/>
      <c r="R70" s="339"/>
      <c r="S70" s="339"/>
      <c r="T70" s="32">
        <v>10</v>
      </c>
      <c r="U70" s="339"/>
      <c r="V70" s="339"/>
      <c r="W70" s="339"/>
      <c r="X70" s="339"/>
      <c r="Y70" s="339"/>
      <c r="Z70" s="339"/>
      <c r="AA70" s="32">
        <v>10</v>
      </c>
      <c r="AB70" s="32">
        <v>5</v>
      </c>
      <c r="AC70" s="339"/>
      <c r="AD70" s="339"/>
      <c r="AE70" s="339"/>
      <c r="AF70" s="339"/>
      <c r="AG70" s="339"/>
      <c r="AH70" s="339"/>
      <c r="AI70" s="324">
        <f t="shared" si="0"/>
        <v>40</v>
      </c>
      <c r="AJ70" s="322"/>
      <c r="AK70" s="322"/>
      <c r="AL70" s="322"/>
      <c r="AM70" s="322"/>
      <c r="AN70" s="322"/>
      <c r="AO70" s="322"/>
      <c r="AP70" s="322"/>
      <c r="AQ70" s="322"/>
      <c r="AR70" s="322"/>
      <c r="AS70" s="322"/>
      <c r="AT70" s="322"/>
      <c r="AU70" s="322"/>
      <c r="AV70" s="322"/>
      <c r="AW70" s="322"/>
    </row>
    <row r="71" spans="1:49" ht="15.75" customHeight="1">
      <c r="A71" s="49">
        <v>2212010039</v>
      </c>
      <c r="B71" s="50" t="s">
        <v>75</v>
      </c>
      <c r="C71" s="342" t="s">
        <v>42</v>
      </c>
      <c r="D71" s="325"/>
      <c r="E71" s="325"/>
      <c r="F71" s="325"/>
      <c r="G71" s="28">
        <v>1</v>
      </c>
      <c r="H71" s="325"/>
      <c r="I71" s="325"/>
      <c r="J71" s="325"/>
      <c r="K71" s="325"/>
      <c r="L71" s="325"/>
      <c r="M71" s="28">
        <v>1</v>
      </c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  <c r="AA71" s="325"/>
      <c r="AB71" s="325"/>
      <c r="AC71" s="325"/>
      <c r="AD71" s="325"/>
      <c r="AE71" s="325"/>
      <c r="AF71" s="325"/>
      <c r="AG71" s="325"/>
      <c r="AH71" s="325"/>
      <c r="AI71" s="324">
        <f t="shared" si="0"/>
        <v>2</v>
      </c>
      <c r="AJ71" s="322"/>
      <c r="AK71" s="322"/>
      <c r="AL71" s="322"/>
      <c r="AM71" s="322"/>
      <c r="AN71" s="322"/>
      <c r="AO71" s="322"/>
      <c r="AP71" s="322"/>
      <c r="AQ71" s="322"/>
      <c r="AR71" s="322"/>
      <c r="AS71" s="322"/>
      <c r="AT71" s="322"/>
      <c r="AU71" s="322"/>
      <c r="AV71" s="322"/>
      <c r="AW71" s="322"/>
    </row>
    <row r="72" spans="1:49" ht="15.75" customHeight="1">
      <c r="A72" s="49">
        <v>2212010040</v>
      </c>
      <c r="B72" s="50" t="s">
        <v>76</v>
      </c>
      <c r="C72" s="342" t="s">
        <v>6</v>
      </c>
      <c r="D72" s="339"/>
      <c r="E72" s="339"/>
      <c r="F72" s="32">
        <v>20</v>
      </c>
      <c r="G72" s="32">
        <v>11</v>
      </c>
      <c r="H72" s="339"/>
      <c r="I72" s="339"/>
      <c r="J72" s="339"/>
      <c r="K72" s="339"/>
      <c r="L72" s="339"/>
      <c r="M72" s="339"/>
      <c r="N72" s="32">
        <v>10</v>
      </c>
      <c r="O72" s="32">
        <v>10</v>
      </c>
      <c r="P72" s="339"/>
      <c r="Q72" s="339"/>
      <c r="R72" s="339"/>
      <c r="S72" s="339"/>
      <c r="T72" s="32">
        <v>10</v>
      </c>
      <c r="U72" s="32">
        <v>10</v>
      </c>
      <c r="V72" s="339"/>
      <c r="W72" s="339"/>
      <c r="X72" s="339"/>
      <c r="Y72" s="339"/>
      <c r="Z72" s="339"/>
      <c r="AA72" s="32">
        <v>10</v>
      </c>
      <c r="AB72" s="339"/>
      <c r="AC72" s="339"/>
      <c r="AD72" s="339"/>
      <c r="AE72" s="339"/>
      <c r="AF72" s="339"/>
      <c r="AG72" s="339"/>
      <c r="AH72" s="339"/>
      <c r="AI72" s="324">
        <f t="shared" si="0"/>
        <v>81</v>
      </c>
      <c r="AJ72" s="322"/>
      <c r="AK72" s="322"/>
      <c r="AL72" s="322"/>
      <c r="AM72" s="322"/>
      <c r="AN72" s="322"/>
      <c r="AO72" s="322"/>
      <c r="AP72" s="322"/>
      <c r="AQ72" s="322"/>
      <c r="AR72" s="322"/>
      <c r="AS72" s="322"/>
      <c r="AT72" s="322"/>
      <c r="AU72" s="322"/>
      <c r="AV72" s="322"/>
      <c r="AW72" s="322"/>
    </row>
    <row r="73" spans="1:49" ht="15.75" customHeight="1">
      <c r="A73" s="49">
        <v>2212010041</v>
      </c>
      <c r="B73" s="50" t="s">
        <v>77</v>
      </c>
      <c r="C73" s="342" t="s">
        <v>6</v>
      </c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25"/>
      <c r="AI73" s="324">
        <f t="shared" si="0"/>
        <v>0</v>
      </c>
      <c r="AJ73" s="322"/>
      <c r="AK73" s="322"/>
      <c r="AL73" s="322"/>
      <c r="AM73" s="322"/>
      <c r="AN73" s="322"/>
      <c r="AO73" s="322"/>
      <c r="AP73" s="322"/>
      <c r="AQ73" s="322"/>
      <c r="AR73" s="322"/>
      <c r="AS73" s="322"/>
      <c r="AT73" s="322"/>
      <c r="AU73" s="322"/>
      <c r="AV73" s="322"/>
      <c r="AW73" s="322"/>
    </row>
    <row r="74" spans="1:49" ht="15.75" customHeight="1">
      <c r="A74" s="49">
        <v>2212010042</v>
      </c>
      <c r="B74" s="50" t="s">
        <v>78</v>
      </c>
      <c r="C74" s="342" t="s">
        <v>6</v>
      </c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24">
        <f t="shared" si="0"/>
        <v>0</v>
      </c>
      <c r="AJ74" s="322"/>
      <c r="AK74" s="322"/>
      <c r="AL74" s="322"/>
      <c r="AM74" s="322"/>
      <c r="AN74" s="322"/>
      <c r="AO74" s="322"/>
      <c r="AP74" s="322"/>
      <c r="AQ74" s="322"/>
      <c r="AR74" s="322"/>
      <c r="AS74" s="322"/>
      <c r="AT74" s="322"/>
      <c r="AU74" s="322"/>
      <c r="AV74" s="322"/>
      <c r="AW74" s="322"/>
    </row>
    <row r="75" spans="1:49" ht="15.75" customHeight="1">
      <c r="A75" s="49">
        <v>2212010043</v>
      </c>
      <c r="B75" s="50" t="s">
        <v>79</v>
      </c>
      <c r="C75" s="342" t="s">
        <v>42</v>
      </c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28">
        <v>1</v>
      </c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  <c r="AA75" s="325"/>
      <c r="AB75" s="325"/>
      <c r="AC75" s="325"/>
      <c r="AD75" s="325"/>
      <c r="AE75" s="325"/>
      <c r="AF75" s="325"/>
      <c r="AG75" s="325"/>
      <c r="AH75" s="325"/>
      <c r="AI75" s="324">
        <f t="shared" si="0"/>
        <v>1</v>
      </c>
      <c r="AJ75" s="322"/>
      <c r="AK75" s="322"/>
      <c r="AL75" s="322"/>
      <c r="AM75" s="322"/>
      <c r="AN75" s="322"/>
      <c r="AO75" s="322"/>
      <c r="AP75" s="322"/>
      <c r="AQ75" s="322"/>
      <c r="AR75" s="322"/>
      <c r="AS75" s="322"/>
      <c r="AT75" s="322"/>
      <c r="AU75" s="322"/>
      <c r="AV75" s="322"/>
      <c r="AW75" s="322"/>
    </row>
    <row r="76" spans="1:49" ht="15.75" customHeight="1">
      <c r="A76" s="49">
        <v>2212010044</v>
      </c>
      <c r="B76" s="50" t="s">
        <v>80</v>
      </c>
      <c r="C76" s="342" t="s">
        <v>42</v>
      </c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24">
        <f t="shared" si="0"/>
        <v>0</v>
      </c>
      <c r="AJ76" s="322"/>
      <c r="AK76" s="322"/>
      <c r="AL76" s="322"/>
      <c r="AM76" s="322"/>
      <c r="AN76" s="322"/>
      <c r="AO76" s="322"/>
      <c r="AP76" s="322"/>
      <c r="AQ76" s="322"/>
      <c r="AR76" s="322"/>
      <c r="AS76" s="322"/>
      <c r="AT76" s="322"/>
      <c r="AU76" s="322"/>
      <c r="AV76" s="322"/>
      <c r="AW76" s="322"/>
    </row>
    <row r="77" spans="1:49" ht="15.75" customHeight="1">
      <c r="A77" s="49">
        <v>2212010046</v>
      </c>
      <c r="B77" s="50" t="s">
        <v>81</v>
      </c>
      <c r="C77" s="342" t="s">
        <v>42</v>
      </c>
      <c r="D77" s="325"/>
      <c r="E77" s="325"/>
      <c r="F77" s="28"/>
      <c r="G77" s="28"/>
      <c r="H77" s="325"/>
      <c r="I77" s="325"/>
      <c r="J77" s="325"/>
      <c r="K77" s="325"/>
      <c r="L77" s="325"/>
      <c r="M77" s="28">
        <v>2</v>
      </c>
      <c r="N77" s="28">
        <v>2</v>
      </c>
      <c r="O77" s="28">
        <v>2</v>
      </c>
      <c r="P77" s="325"/>
      <c r="Q77" s="325"/>
      <c r="R77" s="325"/>
      <c r="S77" s="325"/>
      <c r="T77" s="28">
        <v>2</v>
      </c>
      <c r="U77" s="28">
        <v>2</v>
      </c>
      <c r="V77" s="325"/>
      <c r="W77" s="325"/>
      <c r="X77" s="325"/>
      <c r="Y77" s="325"/>
      <c r="Z77" s="325"/>
      <c r="AA77" s="28">
        <v>2</v>
      </c>
      <c r="AB77" s="28">
        <v>2</v>
      </c>
      <c r="AC77" s="325"/>
      <c r="AD77" s="325"/>
      <c r="AE77" s="325"/>
      <c r="AF77" s="325"/>
      <c r="AG77" s="325"/>
      <c r="AH77" s="28">
        <v>2</v>
      </c>
      <c r="AI77" s="324">
        <f t="shared" si="0"/>
        <v>16</v>
      </c>
      <c r="AJ77" s="322"/>
      <c r="AK77" s="322"/>
      <c r="AL77" s="322"/>
      <c r="AM77" s="322"/>
      <c r="AN77" s="322"/>
      <c r="AO77" s="322"/>
      <c r="AP77" s="322"/>
      <c r="AQ77" s="322"/>
      <c r="AR77" s="322"/>
      <c r="AS77" s="322"/>
      <c r="AT77" s="322"/>
      <c r="AU77" s="322"/>
      <c r="AV77" s="322"/>
      <c r="AW77" s="322"/>
    </row>
    <row r="78" spans="1:49" ht="15.75" customHeight="1">
      <c r="A78" s="49">
        <v>2212010047</v>
      </c>
      <c r="B78" s="50" t="s">
        <v>82</v>
      </c>
      <c r="C78" s="342" t="s">
        <v>6</v>
      </c>
      <c r="D78" s="339"/>
      <c r="E78" s="339"/>
      <c r="F78" s="32">
        <v>30</v>
      </c>
      <c r="G78" s="32">
        <v>10</v>
      </c>
      <c r="H78" s="339"/>
      <c r="I78" s="339"/>
      <c r="J78" s="339"/>
      <c r="K78" s="339"/>
      <c r="L78" s="339"/>
      <c r="M78" s="32">
        <v>15</v>
      </c>
      <c r="N78" s="32">
        <v>15</v>
      </c>
      <c r="O78" s="32">
        <v>20</v>
      </c>
      <c r="P78" s="339"/>
      <c r="Q78" s="339"/>
      <c r="R78" s="339"/>
      <c r="S78" s="339"/>
      <c r="T78" s="339"/>
      <c r="U78" s="32">
        <v>15</v>
      </c>
      <c r="V78" s="339"/>
      <c r="W78" s="339"/>
      <c r="X78" s="339"/>
      <c r="Y78" s="339"/>
      <c r="Z78" s="339"/>
      <c r="AA78" s="32">
        <v>10</v>
      </c>
      <c r="AB78" s="32">
        <v>30</v>
      </c>
      <c r="AC78" s="339"/>
      <c r="AD78" s="339"/>
      <c r="AE78" s="339"/>
      <c r="AF78" s="339"/>
      <c r="AG78" s="339"/>
      <c r="AH78" s="32">
        <v>10</v>
      </c>
      <c r="AI78" s="324">
        <f t="shared" si="0"/>
        <v>155</v>
      </c>
      <c r="AJ78" s="322"/>
      <c r="AK78" s="322"/>
      <c r="AL78" s="322"/>
      <c r="AM78" s="322"/>
      <c r="AN78" s="322"/>
      <c r="AO78" s="322"/>
      <c r="AP78" s="322"/>
      <c r="AQ78" s="322"/>
      <c r="AR78" s="322"/>
      <c r="AS78" s="322"/>
      <c r="AT78" s="322"/>
      <c r="AU78" s="322"/>
      <c r="AV78" s="322"/>
      <c r="AW78" s="322"/>
    </row>
    <row r="79" spans="1:49" ht="15.75" customHeight="1">
      <c r="A79" s="49">
        <v>2212010048</v>
      </c>
      <c r="B79" s="50" t="s">
        <v>83</v>
      </c>
      <c r="C79" s="342" t="s">
        <v>6</v>
      </c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  <c r="AA79" s="325"/>
      <c r="AB79" s="325"/>
      <c r="AC79" s="325"/>
      <c r="AD79" s="325"/>
      <c r="AE79" s="325"/>
      <c r="AF79" s="325"/>
      <c r="AG79" s="325"/>
      <c r="AH79" s="325"/>
      <c r="AI79" s="324">
        <f t="shared" si="0"/>
        <v>0</v>
      </c>
      <c r="AJ79" s="322"/>
      <c r="AK79" s="322"/>
      <c r="AL79" s="322"/>
      <c r="AM79" s="322"/>
      <c r="AN79" s="322"/>
      <c r="AO79" s="322"/>
      <c r="AP79" s="322"/>
      <c r="AQ79" s="322"/>
      <c r="AR79" s="322"/>
      <c r="AS79" s="322"/>
      <c r="AT79" s="322"/>
      <c r="AU79" s="322"/>
      <c r="AV79" s="322"/>
      <c r="AW79" s="322"/>
    </row>
    <row r="80" spans="1:49" ht="15.75" customHeight="1">
      <c r="A80" s="49">
        <v>2212010049</v>
      </c>
      <c r="B80" s="50" t="s">
        <v>84</v>
      </c>
      <c r="C80" s="342" t="s">
        <v>6</v>
      </c>
      <c r="D80" s="339"/>
      <c r="E80" s="339"/>
      <c r="F80" s="32">
        <v>30</v>
      </c>
      <c r="G80" s="32">
        <v>17</v>
      </c>
      <c r="H80" s="339"/>
      <c r="I80" s="339"/>
      <c r="J80" s="339"/>
      <c r="K80" s="339"/>
      <c r="L80" s="339"/>
      <c r="M80" s="32">
        <v>40</v>
      </c>
      <c r="N80" s="32">
        <v>30</v>
      </c>
      <c r="O80" s="32">
        <v>15</v>
      </c>
      <c r="P80" s="339"/>
      <c r="Q80" s="339"/>
      <c r="R80" s="339"/>
      <c r="S80" s="339"/>
      <c r="T80" s="32">
        <v>15</v>
      </c>
      <c r="U80" s="32">
        <v>15</v>
      </c>
      <c r="V80" s="339"/>
      <c r="W80" s="339"/>
      <c r="X80" s="339"/>
      <c r="Y80" s="339"/>
      <c r="Z80" s="339"/>
      <c r="AA80" s="32">
        <v>25</v>
      </c>
      <c r="AB80" s="32">
        <v>30</v>
      </c>
      <c r="AC80" s="339"/>
      <c r="AD80" s="339"/>
      <c r="AE80" s="339"/>
      <c r="AF80" s="339"/>
      <c r="AG80" s="339"/>
      <c r="AH80" s="32">
        <v>55</v>
      </c>
      <c r="AI80" s="324">
        <f t="shared" si="0"/>
        <v>272</v>
      </c>
      <c r="AJ80" s="322"/>
      <c r="AK80" s="322"/>
      <c r="AL80" s="322"/>
      <c r="AM80" s="322"/>
      <c r="AN80" s="322"/>
      <c r="AO80" s="322"/>
      <c r="AP80" s="322"/>
      <c r="AQ80" s="322"/>
      <c r="AR80" s="322"/>
      <c r="AS80" s="322"/>
      <c r="AT80" s="322"/>
      <c r="AU80" s="322"/>
      <c r="AV80" s="322"/>
      <c r="AW80" s="322"/>
    </row>
    <row r="81" spans="1:49" ht="15.75" customHeight="1">
      <c r="A81" s="49">
        <v>2212010050</v>
      </c>
      <c r="B81" s="50" t="s">
        <v>85</v>
      </c>
      <c r="C81" s="342" t="s">
        <v>86</v>
      </c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  <c r="AA81" s="325"/>
      <c r="AB81" s="325"/>
      <c r="AC81" s="325"/>
      <c r="AD81" s="325"/>
      <c r="AE81" s="325"/>
      <c r="AF81" s="325"/>
      <c r="AG81" s="325"/>
      <c r="AH81" s="325"/>
      <c r="AI81" s="324">
        <f t="shared" si="0"/>
        <v>0</v>
      </c>
      <c r="AJ81" s="322"/>
      <c r="AK81" s="322"/>
      <c r="AL81" s="322"/>
      <c r="AM81" s="322"/>
      <c r="AN81" s="322"/>
      <c r="AO81" s="322"/>
      <c r="AP81" s="322"/>
      <c r="AQ81" s="322"/>
      <c r="AR81" s="322"/>
      <c r="AS81" s="322"/>
      <c r="AT81" s="322"/>
      <c r="AU81" s="322"/>
      <c r="AV81" s="322"/>
      <c r="AW81" s="322"/>
    </row>
    <row r="82" spans="1:49" ht="15.75" customHeight="1">
      <c r="A82" s="49">
        <v>2212010053</v>
      </c>
      <c r="B82" s="50" t="s">
        <v>87</v>
      </c>
      <c r="C82" s="342" t="s">
        <v>42</v>
      </c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24">
        <f t="shared" si="0"/>
        <v>0</v>
      </c>
      <c r="AJ82" s="322"/>
      <c r="AK82" s="322"/>
      <c r="AL82" s="322"/>
      <c r="AM82" s="322"/>
      <c r="AN82" s="322"/>
      <c r="AO82" s="322"/>
      <c r="AP82" s="322"/>
      <c r="AQ82" s="322"/>
      <c r="AR82" s="322"/>
      <c r="AS82" s="322"/>
      <c r="AT82" s="322"/>
      <c r="AU82" s="322"/>
      <c r="AV82" s="322"/>
      <c r="AW82" s="322"/>
    </row>
    <row r="83" spans="1:49" ht="15.75" customHeight="1">
      <c r="A83" s="49">
        <v>2212010054</v>
      </c>
      <c r="B83" s="50" t="s">
        <v>88</v>
      </c>
      <c r="C83" s="342" t="s">
        <v>6</v>
      </c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  <c r="AA83" s="325"/>
      <c r="AB83" s="325"/>
      <c r="AC83" s="325"/>
      <c r="AD83" s="325"/>
      <c r="AE83" s="325"/>
      <c r="AF83" s="325"/>
      <c r="AG83" s="325"/>
      <c r="AH83" s="325"/>
      <c r="AI83" s="324">
        <f t="shared" si="0"/>
        <v>0</v>
      </c>
      <c r="AJ83" s="322"/>
      <c r="AK83" s="322"/>
      <c r="AL83" s="322"/>
      <c r="AM83" s="322"/>
      <c r="AN83" s="322"/>
      <c r="AO83" s="322"/>
      <c r="AP83" s="322"/>
      <c r="AQ83" s="322"/>
      <c r="AR83" s="322"/>
      <c r="AS83" s="322"/>
      <c r="AT83" s="322"/>
      <c r="AU83" s="322"/>
      <c r="AV83" s="322"/>
      <c r="AW83" s="322"/>
    </row>
    <row r="84" spans="1:49" ht="15.75" customHeight="1">
      <c r="A84" s="49">
        <v>2212010055</v>
      </c>
      <c r="B84" s="50" t="s">
        <v>89</v>
      </c>
      <c r="C84" s="342" t="s">
        <v>6</v>
      </c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24">
        <f t="shared" si="0"/>
        <v>0</v>
      </c>
      <c r="AJ84" s="322"/>
      <c r="AK84" s="322"/>
      <c r="AL84" s="322"/>
      <c r="AM84" s="322"/>
      <c r="AN84" s="322"/>
      <c r="AO84" s="322"/>
      <c r="AP84" s="322"/>
      <c r="AQ84" s="322"/>
      <c r="AR84" s="322"/>
      <c r="AS84" s="322"/>
      <c r="AT84" s="322"/>
      <c r="AU84" s="322"/>
      <c r="AV84" s="322"/>
      <c r="AW84" s="322"/>
    </row>
    <row r="85" spans="1:49" ht="15.75" customHeight="1">
      <c r="A85" s="49">
        <v>2212010056</v>
      </c>
      <c r="B85" s="50" t="s">
        <v>90</v>
      </c>
      <c r="C85" s="342" t="s">
        <v>8</v>
      </c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  <c r="AA85" s="325"/>
      <c r="AB85" s="325"/>
      <c r="AC85" s="325"/>
      <c r="AD85" s="325"/>
      <c r="AE85" s="325"/>
      <c r="AF85" s="325"/>
      <c r="AG85" s="325"/>
      <c r="AH85" s="325"/>
      <c r="AI85" s="324">
        <f t="shared" si="0"/>
        <v>0</v>
      </c>
      <c r="AJ85" s="322"/>
      <c r="AK85" s="322"/>
      <c r="AL85" s="322"/>
      <c r="AM85" s="322"/>
      <c r="AN85" s="322"/>
      <c r="AO85" s="322"/>
      <c r="AP85" s="322"/>
      <c r="AQ85" s="322"/>
      <c r="AR85" s="322"/>
      <c r="AS85" s="322"/>
      <c r="AT85" s="322"/>
      <c r="AU85" s="322"/>
      <c r="AV85" s="322"/>
      <c r="AW85" s="322"/>
    </row>
    <row r="86" spans="1:49" ht="15.75" customHeight="1">
      <c r="A86" s="49">
        <v>2212010057</v>
      </c>
      <c r="B86" s="50" t="s">
        <v>91</v>
      </c>
      <c r="C86" s="342" t="s">
        <v>8</v>
      </c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24">
        <f t="shared" si="0"/>
        <v>0</v>
      </c>
      <c r="AJ86" s="322"/>
      <c r="AK86" s="322"/>
      <c r="AL86" s="322"/>
      <c r="AM86" s="322"/>
      <c r="AN86" s="322"/>
      <c r="AO86" s="322"/>
      <c r="AP86" s="322"/>
      <c r="AQ86" s="322"/>
      <c r="AR86" s="322"/>
      <c r="AS86" s="322"/>
      <c r="AT86" s="322"/>
      <c r="AU86" s="322"/>
      <c r="AV86" s="322"/>
      <c r="AW86" s="322"/>
    </row>
    <row r="87" spans="1:49" ht="15.75" customHeight="1">
      <c r="A87" s="49">
        <v>2212010058</v>
      </c>
      <c r="B87" s="50" t="s">
        <v>92</v>
      </c>
      <c r="C87" s="342" t="s">
        <v>6</v>
      </c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  <c r="AA87" s="325"/>
      <c r="AB87" s="325"/>
      <c r="AC87" s="325"/>
      <c r="AD87" s="325"/>
      <c r="AE87" s="325"/>
      <c r="AF87" s="325"/>
      <c r="AG87" s="325"/>
      <c r="AH87" s="325"/>
      <c r="AI87" s="324">
        <f t="shared" si="0"/>
        <v>0</v>
      </c>
      <c r="AJ87" s="322"/>
      <c r="AK87" s="322"/>
      <c r="AL87" s="322"/>
      <c r="AM87" s="322"/>
      <c r="AN87" s="322"/>
      <c r="AO87" s="322"/>
      <c r="AP87" s="322"/>
      <c r="AQ87" s="322"/>
      <c r="AR87" s="322"/>
      <c r="AS87" s="322"/>
      <c r="AT87" s="322"/>
      <c r="AU87" s="322"/>
      <c r="AV87" s="322"/>
      <c r="AW87" s="322"/>
    </row>
    <row r="88" spans="1:49" ht="15.75" customHeight="1">
      <c r="A88" s="49">
        <v>2212010060</v>
      </c>
      <c r="B88" s="50" t="s">
        <v>93</v>
      </c>
      <c r="C88" s="342" t="s">
        <v>6</v>
      </c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24">
        <f t="shared" si="0"/>
        <v>0</v>
      </c>
      <c r="AJ88" s="322"/>
      <c r="AK88" s="322"/>
      <c r="AL88" s="322"/>
      <c r="AM88" s="322"/>
      <c r="AN88" s="322"/>
      <c r="AO88" s="322"/>
      <c r="AP88" s="322"/>
      <c r="AQ88" s="322"/>
      <c r="AR88" s="322"/>
      <c r="AS88" s="322"/>
      <c r="AT88" s="322"/>
      <c r="AU88" s="322"/>
      <c r="AV88" s="322"/>
      <c r="AW88" s="322"/>
    </row>
    <row r="89" spans="1:49" ht="15.75" customHeight="1">
      <c r="A89" s="69">
        <v>2212004040</v>
      </c>
      <c r="B89" s="70" t="s">
        <v>94</v>
      </c>
      <c r="C89" s="350" t="s">
        <v>6</v>
      </c>
      <c r="D89" s="351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  <c r="AA89" s="325"/>
      <c r="AB89" s="325"/>
      <c r="AC89" s="325"/>
      <c r="AD89" s="325"/>
      <c r="AE89" s="325"/>
      <c r="AF89" s="325"/>
      <c r="AG89" s="325"/>
      <c r="AH89" s="325"/>
      <c r="AI89" s="324">
        <f t="shared" si="0"/>
        <v>0</v>
      </c>
      <c r="AJ89" s="322"/>
      <c r="AK89" s="322"/>
      <c r="AL89" s="322"/>
      <c r="AM89" s="322"/>
      <c r="AN89" s="322"/>
      <c r="AO89" s="322"/>
      <c r="AP89" s="322"/>
      <c r="AQ89" s="322"/>
      <c r="AR89" s="322"/>
      <c r="AS89" s="322"/>
      <c r="AT89" s="322"/>
      <c r="AU89" s="322"/>
      <c r="AV89" s="322"/>
      <c r="AW89" s="322"/>
    </row>
    <row r="90" spans="1:49" ht="18.75" customHeight="1">
      <c r="A90" s="616" t="s">
        <v>95</v>
      </c>
      <c r="B90" s="606"/>
      <c r="C90" s="607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352"/>
      <c r="AB90" s="352"/>
      <c r="AC90" s="352"/>
      <c r="AD90" s="352"/>
      <c r="AE90" s="352"/>
      <c r="AF90" s="352"/>
      <c r="AG90" s="352"/>
      <c r="AH90" s="352"/>
      <c r="AI90" s="131">
        <f t="shared" si="0"/>
        <v>0</v>
      </c>
      <c r="AJ90" s="322"/>
      <c r="AK90" s="322"/>
      <c r="AL90" s="322"/>
      <c r="AM90" s="322"/>
      <c r="AN90" s="322"/>
      <c r="AO90" s="322"/>
      <c r="AP90" s="322"/>
      <c r="AQ90" s="322"/>
      <c r="AR90" s="322"/>
      <c r="AS90" s="322"/>
      <c r="AT90" s="322"/>
      <c r="AU90" s="322"/>
      <c r="AV90" s="322"/>
      <c r="AW90" s="322"/>
    </row>
    <row r="91" spans="1:49" ht="15.75" customHeight="1">
      <c r="A91" s="74">
        <v>2212002001</v>
      </c>
      <c r="B91" s="75" t="s">
        <v>96</v>
      </c>
      <c r="C91" s="353" t="s">
        <v>6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325"/>
      <c r="AI91" s="324">
        <f t="shared" si="0"/>
        <v>0</v>
      </c>
      <c r="AJ91" s="322"/>
      <c r="AK91" s="322"/>
      <c r="AL91" s="322"/>
      <c r="AM91" s="322"/>
      <c r="AN91" s="322"/>
      <c r="AO91" s="322"/>
      <c r="AP91" s="322"/>
      <c r="AQ91" s="322"/>
      <c r="AR91" s="322"/>
      <c r="AS91" s="322"/>
      <c r="AT91" s="322"/>
      <c r="AU91" s="322"/>
      <c r="AV91" s="322"/>
      <c r="AW91" s="322"/>
    </row>
    <row r="92" spans="1:49" ht="15.75" customHeight="1">
      <c r="A92" s="78">
        <v>2212002004</v>
      </c>
      <c r="B92" s="79" t="s">
        <v>97</v>
      </c>
      <c r="C92" s="354" t="s">
        <v>6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339"/>
      <c r="AI92" s="324">
        <f t="shared" si="0"/>
        <v>0</v>
      </c>
      <c r="AJ92" s="322"/>
      <c r="AK92" s="322"/>
      <c r="AL92" s="322"/>
      <c r="AM92" s="322"/>
      <c r="AN92" s="322"/>
      <c r="AO92" s="322"/>
      <c r="AP92" s="322"/>
      <c r="AQ92" s="322"/>
      <c r="AR92" s="322"/>
      <c r="AS92" s="322"/>
      <c r="AT92" s="322"/>
      <c r="AU92" s="322"/>
      <c r="AV92" s="322"/>
      <c r="AW92" s="322"/>
    </row>
    <row r="93" spans="1:49" ht="15.75" customHeight="1">
      <c r="A93" s="78">
        <v>2212002007</v>
      </c>
      <c r="B93" s="79" t="s">
        <v>98</v>
      </c>
      <c r="C93" s="354" t="s">
        <v>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325"/>
      <c r="AI93" s="324">
        <f t="shared" si="0"/>
        <v>0</v>
      </c>
      <c r="AJ93" s="322"/>
      <c r="AK93" s="322"/>
      <c r="AL93" s="322"/>
      <c r="AM93" s="322"/>
      <c r="AN93" s="322"/>
      <c r="AO93" s="322"/>
      <c r="AP93" s="322"/>
      <c r="AQ93" s="322"/>
      <c r="AR93" s="322"/>
      <c r="AS93" s="322"/>
      <c r="AT93" s="322"/>
      <c r="AU93" s="322"/>
      <c r="AV93" s="322"/>
      <c r="AW93" s="322"/>
    </row>
    <row r="94" spans="1:49" ht="15.75" customHeight="1">
      <c r="A94" s="78">
        <v>2212002009</v>
      </c>
      <c r="B94" s="79" t="s">
        <v>99</v>
      </c>
      <c r="C94" s="354" t="s">
        <v>6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339"/>
      <c r="AI94" s="324">
        <f t="shared" si="0"/>
        <v>0</v>
      </c>
      <c r="AJ94" s="322"/>
      <c r="AK94" s="322"/>
      <c r="AL94" s="322"/>
      <c r="AM94" s="322"/>
      <c r="AN94" s="322"/>
      <c r="AO94" s="322"/>
      <c r="AP94" s="322"/>
      <c r="AQ94" s="322"/>
      <c r="AR94" s="322"/>
      <c r="AS94" s="322"/>
      <c r="AT94" s="322"/>
      <c r="AU94" s="322"/>
      <c r="AV94" s="322"/>
      <c r="AW94" s="322"/>
    </row>
    <row r="95" spans="1:49" ht="15.75" customHeight="1">
      <c r="A95" s="78">
        <v>2212002010</v>
      </c>
      <c r="B95" s="79" t="s">
        <v>100</v>
      </c>
      <c r="C95" s="354" t="s">
        <v>6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325"/>
      <c r="AI95" s="324">
        <f t="shared" si="0"/>
        <v>0</v>
      </c>
      <c r="AJ95" s="322"/>
      <c r="AK95" s="322"/>
      <c r="AL95" s="322"/>
      <c r="AM95" s="322"/>
      <c r="AN95" s="322"/>
      <c r="AO95" s="322"/>
      <c r="AP95" s="322"/>
      <c r="AQ95" s="322"/>
      <c r="AR95" s="322"/>
      <c r="AS95" s="322"/>
      <c r="AT95" s="322"/>
      <c r="AU95" s="322"/>
      <c r="AV95" s="322"/>
      <c r="AW95" s="322"/>
    </row>
    <row r="96" spans="1:49" ht="15.75" customHeight="1">
      <c r="A96" s="78">
        <v>2212002011</v>
      </c>
      <c r="B96" s="79" t="s">
        <v>101</v>
      </c>
      <c r="C96" s="354" t="s">
        <v>6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339"/>
      <c r="AI96" s="324">
        <f t="shared" si="0"/>
        <v>0</v>
      </c>
      <c r="AJ96" s="322"/>
      <c r="AK96" s="322"/>
      <c r="AL96" s="322"/>
      <c r="AM96" s="322"/>
      <c r="AN96" s="322"/>
      <c r="AO96" s="322"/>
      <c r="AP96" s="322"/>
      <c r="AQ96" s="322"/>
      <c r="AR96" s="322"/>
      <c r="AS96" s="322"/>
      <c r="AT96" s="322"/>
      <c r="AU96" s="322"/>
      <c r="AV96" s="322"/>
      <c r="AW96" s="322"/>
    </row>
    <row r="97" spans="1:49" ht="15.75" customHeight="1">
      <c r="A97" s="78">
        <v>2212002014</v>
      </c>
      <c r="B97" s="79" t="s">
        <v>102</v>
      </c>
      <c r="C97" s="354" t="s">
        <v>6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324">
        <f t="shared" si="0"/>
        <v>0</v>
      </c>
      <c r="AJ97" s="322"/>
      <c r="AK97" s="322"/>
      <c r="AL97" s="322"/>
      <c r="AM97" s="322"/>
      <c r="AN97" s="322"/>
      <c r="AO97" s="322"/>
      <c r="AP97" s="322"/>
      <c r="AQ97" s="322"/>
      <c r="AR97" s="322"/>
      <c r="AS97" s="322"/>
      <c r="AT97" s="322"/>
      <c r="AU97" s="322"/>
      <c r="AV97" s="322"/>
      <c r="AW97" s="322"/>
    </row>
    <row r="98" spans="1:49" ht="15.75" customHeight="1">
      <c r="A98" s="78">
        <v>2212002016</v>
      </c>
      <c r="B98" s="79" t="s">
        <v>103</v>
      </c>
      <c r="C98" s="354" t="s">
        <v>6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324">
        <f t="shared" si="0"/>
        <v>0</v>
      </c>
      <c r="AJ98" s="322"/>
      <c r="AK98" s="322"/>
      <c r="AL98" s="322"/>
      <c r="AM98" s="322"/>
      <c r="AN98" s="322"/>
      <c r="AO98" s="322"/>
      <c r="AP98" s="322"/>
      <c r="AQ98" s="322"/>
      <c r="AR98" s="322"/>
      <c r="AS98" s="322"/>
      <c r="AT98" s="322"/>
      <c r="AU98" s="322"/>
      <c r="AV98" s="322"/>
      <c r="AW98" s="322"/>
    </row>
    <row r="99" spans="1:49" ht="15.75" customHeight="1">
      <c r="A99" s="78">
        <v>2212002018</v>
      </c>
      <c r="B99" s="79" t="s">
        <v>104</v>
      </c>
      <c r="C99" s="354" t="s">
        <v>6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324">
        <f t="shared" si="0"/>
        <v>0</v>
      </c>
      <c r="AJ99" s="322"/>
      <c r="AK99" s="322"/>
      <c r="AL99" s="322"/>
      <c r="AM99" s="322"/>
      <c r="AN99" s="322"/>
      <c r="AO99" s="322"/>
      <c r="AP99" s="322"/>
      <c r="AQ99" s="322"/>
      <c r="AR99" s="322"/>
      <c r="AS99" s="322"/>
      <c r="AT99" s="322"/>
      <c r="AU99" s="322"/>
      <c r="AV99" s="322"/>
      <c r="AW99" s="322"/>
    </row>
    <row r="100" spans="1:49" ht="15.75" customHeight="1">
      <c r="A100" s="78">
        <v>2212002022</v>
      </c>
      <c r="B100" s="79" t="s">
        <v>105</v>
      </c>
      <c r="C100" s="354" t="s">
        <v>6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324">
        <f t="shared" si="0"/>
        <v>0</v>
      </c>
      <c r="AJ100" s="322"/>
      <c r="AK100" s="322"/>
      <c r="AL100" s="322"/>
      <c r="AM100" s="322"/>
      <c r="AN100" s="322"/>
      <c r="AO100" s="322"/>
      <c r="AP100" s="322"/>
      <c r="AQ100" s="322"/>
      <c r="AR100" s="322"/>
      <c r="AS100" s="322"/>
      <c r="AT100" s="322"/>
      <c r="AU100" s="322"/>
      <c r="AV100" s="322"/>
      <c r="AW100" s="322"/>
    </row>
    <row r="101" spans="1:49" ht="15.75" customHeight="1">
      <c r="A101" s="78">
        <v>2212002023</v>
      </c>
      <c r="B101" s="79" t="s">
        <v>106</v>
      </c>
      <c r="C101" s="354" t="s">
        <v>6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324">
        <f t="shared" si="0"/>
        <v>0</v>
      </c>
      <c r="AJ101" s="322"/>
      <c r="AK101" s="322"/>
      <c r="AL101" s="322"/>
      <c r="AM101" s="322"/>
      <c r="AN101" s="322"/>
      <c r="AO101" s="322"/>
      <c r="AP101" s="322"/>
      <c r="AQ101" s="322"/>
      <c r="AR101" s="322"/>
      <c r="AS101" s="322"/>
      <c r="AT101" s="322"/>
      <c r="AU101" s="322"/>
      <c r="AV101" s="322"/>
      <c r="AW101" s="322"/>
    </row>
    <row r="102" spans="1:49" ht="15.75" customHeight="1">
      <c r="A102" s="78">
        <v>2212002025</v>
      </c>
      <c r="B102" s="79" t="s">
        <v>107</v>
      </c>
      <c r="C102" s="354" t="s">
        <v>6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324">
        <f t="shared" si="0"/>
        <v>0</v>
      </c>
      <c r="AJ102" s="322"/>
      <c r="AK102" s="322"/>
      <c r="AL102" s="322"/>
      <c r="AM102" s="322"/>
      <c r="AN102" s="322"/>
      <c r="AO102" s="322"/>
      <c r="AP102" s="322"/>
      <c r="AQ102" s="322"/>
      <c r="AR102" s="322"/>
      <c r="AS102" s="322"/>
      <c r="AT102" s="322"/>
      <c r="AU102" s="322"/>
      <c r="AV102" s="322"/>
      <c r="AW102" s="322"/>
    </row>
    <row r="103" spans="1:49" ht="15.75" customHeight="1">
      <c r="A103" s="78">
        <v>2212002026</v>
      </c>
      <c r="B103" s="79" t="s">
        <v>108</v>
      </c>
      <c r="C103" s="354" t="s">
        <v>6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324">
        <f t="shared" si="0"/>
        <v>0</v>
      </c>
      <c r="AJ103" s="322"/>
      <c r="AK103" s="322"/>
      <c r="AL103" s="322"/>
      <c r="AM103" s="322"/>
      <c r="AN103" s="322"/>
      <c r="AO103" s="322"/>
      <c r="AP103" s="322"/>
      <c r="AQ103" s="322"/>
      <c r="AR103" s="322"/>
      <c r="AS103" s="322"/>
      <c r="AT103" s="322"/>
      <c r="AU103" s="322"/>
      <c r="AV103" s="322"/>
      <c r="AW103" s="322"/>
    </row>
    <row r="104" spans="1:49" ht="15.75" customHeight="1">
      <c r="A104" s="78">
        <v>2212002027</v>
      </c>
      <c r="B104" s="79" t="s">
        <v>109</v>
      </c>
      <c r="C104" s="354" t="s">
        <v>6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324">
        <f t="shared" si="0"/>
        <v>0</v>
      </c>
      <c r="AJ104" s="322"/>
      <c r="AK104" s="322"/>
      <c r="AL104" s="322"/>
      <c r="AM104" s="322"/>
      <c r="AN104" s="322"/>
      <c r="AO104" s="322"/>
      <c r="AP104" s="322"/>
      <c r="AQ104" s="322"/>
      <c r="AR104" s="322"/>
      <c r="AS104" s="322"/>
      <c r="AT104" s="322"/>
      <c r="AU104" s="322"/>
      <c r="AV104" s="322"/>
      <c r="AW104" s="322"/>
    </row>
    <row r="105" spans="1:49" ht="15.75" customHeight="1">
      <c r="A105" s="78">
        <v>2212002028</v>
      </c>
      <c r="B105" s="79" t="s">
        <v>110</v>
      </c>
      <c r="C105" s="354" t="s">
        <v>6</v>
      </c>
      <c r="D105" s="28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324">
        <f t="shared" si="0"/>
        <v>0</v>
      </c>
      <c r="AJ105" s="322"/>
      <c r="AK105" s="322"/>
      <c r="AL105" s="322"/>
      <c r="AM105" s="322"/>
      <c r="AN105" s="322"/>
      <c r="AO105" s="322"/>
      <c r="AP105" s="322"/>
      <c r="AQ105" s="322"/>
      <c r="AR105" s="322"/>
      <c r="AS105" s="322"/>
      <c r="AT105" s="322"/>
      <c r="AU105" s="322"/>
      <c r="AV105" s="322"/>
      <c r="AW105" s="322"/>
    </row>
    <row r="106" spans="1:49" ht="15.75" customHeight="1">
      <c r="A106" s="78">
        <v>2212002030</v>
      </c>
      <c r="B106" s="79" t="s">
        <v>111</v>
      </c>
      <c r="C106" s="354" t="s">
        <v>6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324">
        <f t="shared" si="0"/>
        <v>0</v>
      </c>
      <c r="AJ106" s="322"/>
      <c r="AK106" s="322"/>
      <c r="AL106" s="322"/>
      <c r="AM106" s="322"/>
      <c r="AN106" s="322"/>
      <c r="AO106" s="322"/>
      <c r="AP106" s="322"/>
      <c r="AQ106" s="322"/>
      <c r="AR106" s="322"/>
      <c r="AS106" s="322"/>
      <c r="AT106" s="322"/>
      <c r="AU106" s="322"/>
      <c r="AV106" s="322"/>
      <c r="AW106" s="322"/>
    </row>
    <row r="107" spans="1:49" ht="15.75" customHeight="1">
      <c r="A107" s="78">
        <v>2212002035</v>
      </c>
      <c r="B107" s="79" t="s">
        <v>112</v>
      </c>
      <c r="C107" s="354" t="s">
        <v>6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324">
        <f t="shared" si="0"/>
        <v>0</v>
      </c>
      <c r="AJ107" s="322"/>
      <c r="AK107" s="322"/>
      <c r="AL107" s="322"/>
      <c r="AM107" s="322"/>
      <c r="AN107" s="322"/>
      <c r="AO107" s="322"/>
      <c r="AP107" s="322"/>
      <c r="AQ107" s="322"/>
      <c r="AR107" s="322"/>
      <c r="AS107" s="322"/>
      <c r="AT107" s="322"/>
      <c r="AU107" s="322"/>
      <c r="AV107" s="322"/>
      <c r="AW107" s="322"/>
    </row>
    <row r="108" spans="1:49" ht="15.75" customHeight="1">
      <c r="A108" s="78">
        <v>2212002036</v>
      </c>
      <c r="B108" s="79" t="s">
        <v>113</v>
      </c>
      <c r="C108" s="354" t="s">
        <v>6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324">
        <f t="shared" si="0"/>
        <v>0</v>
      </c>
      <c r="AJ108" s="322"/>
      <c r="AK108" s="322"/>
      <c r="AL108" s="322"/>
      <c r="AM108" s="322"/>
      <c r="AN108" s="322"/>
      <c r="AO108" s="322"/>
      <c r="AP108" s="322"/>
      <c r="AQ108" s="322"/>
      <c r="AR108" s="322"/>
      <c r="AS108" s="322"/>
      <c r="AT108" s="322"/>
      <c r="AU108" s="322"/>
      <c r="AV108" s="322"/>
      <c r="AW108" s="322"/>
    </row>
    <row r="109" spans="1:49" ht="15.75" customHeight="1">
      <c r="A109" s="78">
        <v>2212002040</v>
      </c>
      <c r="B109" s="79" t="s">
        <v>114</v>
      </c>
      <c r="C109" s="354" t="s">
        <v>6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324">
        <f t="shared" si="0"/>
        <v>0</v>
      </c>
      <c r="AJ109" s="322"/>
      <c r="AK109" s="322"/>
      <c r="AL109" s="322"/>
      <c r="AM109" s="322"/>
      <c r="AN109" s="322"/>
      <c r="AO109" s="322"/>
      <c r="AP109" s="322"/>
      <c r="AQ109" s="322"/>
      <c r="AR109" s="322"/>
      <c r="AS109" s="322"/>
      <c r="AT109" s="322"/>
      <c r="AU109" s="322"/>
      <c r="AV109" s="322"/>
      <c r="AW109" s="322"/>
    </row>
    <row r="110" spans="1:49" ht="15.75" customHeight="1">
      <c r="A110" s="78">
        <v>2212002045</v>
      </c>
      <c r="B110" s="79" t="s">
        <v>115</v>
      </c>
      <c r="C110" s="354" t="s">
        <v>6</v>
      </c>
      <c r="D110" s="28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324">
        <f t="shared" si="0"/>
        <v>0</v>
      </c>
      <c r="AJ110" s="322"/>
      <c r="AK110" s="322"/>
      <c r="AL110" s="322"/>
      <c r="AM110" s="322"/>
      <c r="AN110" s="322"/>
      <c r="AO110" s="322"/>
      <c r="AP110" s="322"/>
      <c r="AQ110" s="322"/>
      <c r="AR110" s="322"/>
      <c r="AS110" s="322"/>
      <c r="AT110" s="322"/>
      <c r="AU110" s="322"/>
      <c r="AV110" s="322"/>
      <c r="AW110" s="322"/>
    </row>
    <row r="111" spans="1:49" ht="15.75" customHeight="1">
      <c r="A111" s="81">
        <v>2212002046</v>
      </c>
      <c r="B111" s="82" t="s">
        <v>116</v>
      </c>
      <c r="C111" s="355" t="s">
        <v>6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324">
        <f t="shared" si="0"/>
        <v>0</v>
      </c>
      <c r="AJ111" s="322"/>
      <c r="AK111" s="322"/>
      <c r="AL111" s="322"/>
      <c r="AM111" s="322"/>
      <c r="AN111" s="322"/>
      <c r="AO111" s="322"/>
      <c r="AP111" s="322"/>
      <c r="AQ111" s="322"/>
      <c r="AR111" s="322"/>
      <c r="AS111" s="322"/>
      <c r="AT111" s="322"/>
      <c r="AU111" s="322"/>
      <c r="AV111" s="322"/>
      <c r="AW111" s="322"/>
    </row>
    <row r="112" spans="1:49" ht="18.75" customHeight="1">
      <c r="A112" s="617" t="s">
        <v>117</v>
      </c>
      <c r="B112" s="606"/>
      <c r="C112" s="607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  <c r="AB112" s="356"/>
      <c r="AC112" s="356"/>
      <c r="AD112" s="356"/>
      <c r="AE112" s="356"/>
      <c r="AF112" s="356"/>
      <c r="AG112" s="356"/>
      <c r="AH112" s="356"/>
      <c r="AI112" s="131">
        <f t="shared" si="0"/>
        <v>0</v>
      </c>
      <c r="AJ112" s="322"/>
      <c r="AK112" s="322"/>
      <c r="AL112" s="322"/>
      <c r="AM112" s="322"/>
      <c r="AN112" s="322"/>
      <c r="AO112" s="322"/>
      <c r="AP112" s="322"/>
      <c r="AQ112" s="322"/>
      <c r="AR112" s="322"/>
      <c r="AS112" s="322"/>
      <c r="AT112" s="322"/>
      <c r="AU112" s="322"/>
      <c r="AV112" s="322"/>
      <c r="AW112" s="322"/>
    </row>
    <row r="113" spans="1:49" ht="15.75" customHeight="1">
      <c r="A113" s="152">
        <v>2212002003</v>
      </c>
      <c r="B113" s="88" t="s">
        <v>118</v>
      </c>
      <c r="C113" s="357" t="s">
        <v>6</v>
      </c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325"/>
      <c r="AI113" s="324">
        <f t="shared" si="0"/>
        <v>0</v>
      </c>
      <c r="AJ113" s="322"/>
      <c r="AK113" s="322"/>
      <c r="AL113" s="322"/>
      <c r="AM113" s="322"/>
      <c r="AN113" s="322"/>
      <c r="AO113" s="322"/>
      <c r="AP113" s="322"/>
      <c r="AQ113" s="322"/>
      <c r="AR113" s="322"/>
      <c r="AS113" s="322"/>
      <c r="AT113" s="322"/>
      <c r="AU113" s="322"/>
      <c r="AV113" s="322"/>
      <c r="AW113" s="322"/>
    </row>
    <row r="114" spans="1:49" ht="15.75" customHeight="1">
      <c r="A114" s="155">
        <v>2212002005</v>
      </c>
      <c r="B114" s="92" t="s">
        <v>119</v>
      </c>
      <c r="C114" s="358" t="s">
        <v>6</v>
      </c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339"/>
      <c r="AI114" s="324">
        <f t="shared" si="0"/>
        <v>0</v>
      </c>
      <c r="AJ114" s="322"/>
      <c r="AK114" s="322"/>
      <c r="AL114" s="322"/>
      <c r="AM114" s="322"/>
      <c r="AN114" s="322"/>
      <c r="AO114" s="322"/>
      <c r="AP114" s="322"/>
      <c r="AQ114" s="322"/>
      <c r="AR114" s="322"/>
      <c r="AS114" s="322"/>
      <c r="AT114" s="322"/>
      <c r="AU114" s="322"/>
      <c r="AV114" s="322"/>
      <c r="AW114" s="322"/>
    </row>
    <row r="115" spans="1:49" ht="15.75" customHeight="1">
      <c r="A115" s="155">
        <v>2212002006</v>
      </c>
      <c r="B115" s="92" t="s">
        <v>120</v>
      </c>
      <c r="C115" s="358" t="s">
        <v>6</v>
      </c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28">
        <v>65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325"/>
      <c r="AI115" s="324">
        <f t="shared" si="0"/>
        <v>65</v>
      </c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22"/>
      <c r="AU115" s="322"/>
      <c r="AV115" s="322"/>
      <c r="AW115" s="322"/>
    </row>
    <row r="116" spans="1:49" ht="15.75" customHeight="1">
      <c r="A116" s="155">
        <v>2212002008</v>
      </c>
      <c r="B116" s="92" t="s">
        <v>121</v>
      </c>
      <c r="C116" s="358" t="s">
        <v>6</v>
      </c>
      <c r="D116" s="339"/>
      <c r="E116" s="339"/>
      <c r="F116" s="339"/>
      <c r="G116" s="339"/>
      <c r="H116" s="339"/>
      <c r="I116" s="339"/>
      <c r="J116" s="339"/>
      <c r="K116" s="339"/>
      <c r="L116" s="339"/>
      <c r="M116" s="32">
        <v>70</v>
      </c>
      <c r="N116" s="32">
        <v>60</v>
      </c>
      <c r="O116" s="339"/>
      <c r="P116" s="339"/>
      <c r="Q116" s="339"/>
      <c r="R116" s="339"/>
      <c r="S116" s="339"/>
      <c r="T116" s="32">
        <v>60</v>
      </c>
      <c r="U116" s="339"/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339"/>
      <c r="AI116" s="324">
        <f t="shared" si="0"/>
        <v>190</v>
      </c>
      <c r="AJ116" s="322"/>
      <c r="AK116" s="322"/>
      <c r="AL116" s="322"/>
      <c r="AM116" s="322"/>
      <c r="AN116" s="322"/>
      <c r="AO116" s="322"/>
      <c r="AP116" s="322"/>
      <c r="AQ116" s="322"/>
      <c r="AR116" s="322"/>
      <c r="AS116" s="322"/>
      <c r="AT116" s="322"/>
      <c r="AU116" s="322"/>
      <c r="AV116" s="322"/>
      <c r="AW116" s="322"/>
    </row>
    <row r="117" spans="1:49" ht="15.75" customHeight="1">
      <c r="A117" s="155">
        <v>2212002012</v>
      </c>
      <c r="B117" s="92" t="s">
        <v>122</v>
      </c>
      <c r="C117" s="358" t="s">
        <v>6</v>
      </c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28">
        <v>30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325"/>
      <c r="AI117" s="324">
        <f t="shared" si="0"/>
        <v>30</v>
      </c>
      <c r="AJ117" s="322"/>
      <c r="AK117" s="322"/>
      <c r="AL117" s="322"/>
      <c r="AM117" s="322"/>
      <c r="AN117" s="322"/>
      <c r="AO117" s="322"/>
      <c r="AP117" s="322"/>
      <c r="AQ117" s="322"/>
      <c r="AR117" s="322"/>
      <c r="AS117" s="322"/>
      <c r="AT117" s="322"/>
      <c r="AU117" s="322"/>
      <c r="AV117" s="322"/>
      <c r="AW117" s="322"/>
    </row>
    <row r="118" spans="1:49" ht="15.75" customHeight="1">
      <c r="A118" s="155">
        <v>2212002013</v>
      </c>
      <c r="B118" s="92" t="s">
        <v>123</v>
      </c>
      <c r="C118" s="358" t="s">
        <v>6</v>
      </c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2"/>
      <c r="P118" s="339"/>
      <c r="Q118" s="339"/>
      <c r="R118" s="339"/>
      <c r="S118" s="339"/>
      <c r="T118" s="339"/>
      <c r="U118" s="339"/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339"/>
      <c r="AI118" s="324">
        <f t="shared" si="0"/>
        <v>0</v>
      </c>
      <c r="AJ118" s="322"/>
      <c r="AK118" s="322"/>
      <c r="AL118" s="322"/>
      <c r="AM118" s="322"/>
      <c r="AN118" s="322"/>
      <c r="AO118" s="322"/>
      <c r="AP118" s="322"/>
      <c r="AQ118" s="322"/>
      <c r="AR118" s="322"/>
      <c r="AS118" s="322"/>
      <c r="AT118" s="322"/>
      <c r="AU118" s="322"/>
      <c r="AV118" s="322"/>
      <c r="AW118" s="322"/>
    </row>
    <row r="119" spans="1:49" ht="15.75" customHeight="1">
      <c r="A119" s="155">
        <v>2212002015</v>
      </c>
      <c r="B119" s="92" t="s">
        <v>124</v>
      </c>
      <c r="C119" s="358" t="s">
        <v>6</v>
      </c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325"/>
      <c r="AI119" s="324">
        <f t="shared" si="0"/>
        <v>0</v>
      </c>
      <c r="AJ119" s="322"/>
      <c r="AK119" s="322"/>
      <c r="AL119" s="322"/>
      <c r="AM119" s="322"/>
      <c r="AN119" s="322"/>
      <c r="AO119" s="322"/>
      <c r="AP119" s="322"/>
      <c r="AQ119" s="322"/>
      <c r="AR119" s="322"/>
      <c r="AS119" s="322"/>
      <c r="AT119" s="322"/>
      <c r="AU119" s="322"/>
      <c r="AV119" s="322"/>
      <c r="AW119" s="322"/>
    </row>
    <row r="120" spans="1:49" ht="15.75" customHeight="1">
      <c r="A120" s="155">
        <v>2212002019</v>
      </c>
      <c r="B120" s="92" t="s">
        <v>125</v>
      </c>
      <c r="C120" s="358" t="s">
        <v>6</v>
      </c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339"/>
      <c r="AI120" s="324">
        <f t="shared" si="0"/>
        <v>0</v>
      </c>
      <c r="AJ120" s="322"/>
      <c r="AK120" s="322"/>
      <c r="AL120" s="322"/>
      <c r="AM120" s="322"/>
      <c r="AN120" s="322"/>
      <c r="AO120" s="322"/>
      <c r="AP120" s="322"/>
      <c r="AQ120" s="322"/>
      <c r="AR120" s="322"/>
      <c r="AS120" s="322"/>
      <c r="AT120" s="322"/>
      <c r="AU120" s="322"/>
      <c r="AV120" s="322"/>
      <c r="AW120" s="322"/>
    </row>
    <row r="121" spans="1:49" ht="15.75" customHeight="1">
      <c r="A121" s="155">
        <v>2212002020</v>
      </c>
      <c r="B121" s="92" t="s">
        <v>126</v>
      </c>
      <c r="C121" s="358" t="s">
        <v>6</v>
      </c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28">
        <v>70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70</v>
      </c>
      <c r="AI121" s="324">
        <f t="shared" si="0"/>
        <v>140</v>
      </c>
      <c r="AJ121" s="322"/>
      <c r="AK121" s="322"/>
      <c r="AL121" s="322"/>
      <c r="AM121" s="322"/>
      <c r="AN121" s="322"/>
      <c r="AO121" s="322"/>
      <c r="AP121" s="322"/>
      <c r="AQ121" s="322"/>
      <c r="AR121" s="322"/>
      <c r="AS121" s="322"/>
      <c r="AT121" s="322"/>
      <c r="AU121" s="322"/>
      <c r="AV121" s="322"/>
      <c r="AW121" s="322"/>
    </row>
    <row r="122" spans="1:49" ht="15.75" customHeight="1">
      <c r="A122" s="155">
        <v>2212002021</v>
      </c>
      <c r="B122" s="92" t="s">
        <v>127</v>
      </c>
      <c r="C122" s="358" t="s">
        <v>6</v>
      </c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2">
        <v>65</v>
      </c>
      <c r="P122" s="339"/>
      <c r="Q122" s="339"/>
      <c r="R122" s="339"/>
      <c r="S122" s="339"/>
      <c r="T122" s="339"/>
      <c r="U122" s="339"/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339"/>
      <c r="AI122" s="324">
        <f t="shared" si="0"/>
        <v>65</v>
      </c>
      <c r="AJ122" s="322"/>
      <c r="AK122" s="322"/>
      <c r="AL122" s="322"/>
      <c r="AM122" s="322"/>
      <c r="AN122" s="322"/>
      <c r="AO122" s="322"/>
      <c r="AP122" s="322"/>
      <c r="AQ122" s="322"/>
      <c r="AR122" s="322"/>
      <c r="AS122" s="322"/>
      <c r="AT122" s="322"/>
      <c r="AU122" s="322"/>
      <c r="AV122" s="322"/>
      <c r="AW122" s="322"/>
    </row>
    <row r="123" spans="1:49" ht="15.75" customHeight="1">
      <c r="A123" s="155">
        <v>2212002024</v>
      </c>
      <c r="B123" s="92" t="s">
        <v>128</v>
      </c>
      <c r="C123" s="358" t="s">
        <v>6</v>
      </c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325"/>
      <c r="AI123" s="324">
        <f t="shared" si="0"/>
        <v>0</v>
      </c>
      <c r="AJ123" s="322"/>
      <c r="AK123" s="322"/>
      <c r="AL123" s="322"/>
      <c r="AM123" s="322"/>
      <c r="AN123" s="322"/>
      <c r="AO123" s="322"/>
      <c r="AP123" s="322"/>
      <c r="AQ123" s="322"/>
      <c r="AR123" s="322"/>
      <c r="AS123" s="322"/>
      <c r="AT123" s="322"/>
      <c r="AU123" s="322"/>
      <c r="AV123" s="322"/>
      <c r="AW123" s="322"/>
    </row>
    <row r="124" spans="1:49" ht="15.75" customHeight="1">
      <c r="A124" s="155">
        <v>2212002032</v>
      </c>
      <c r="B124" s="92" t="s">
        <v>129</v>
      </c>
      <c r="C124" s="358" t="s">
        <v>6</v>
      </c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339"/>
      <c r="AI124" s="324">
        <f t="shared" si="0"/>
        <v>0</v>
      </c>
      <c r="AJ124" s="322"/>
      <c r="AK124" s="322"/>
      <c r="AL124" s="322"/>
      <c r="AM124" s="322"/>
      <c r="AN124" s="322"/>
      <c r="AO124" s="322"/>
      <c r="AP124" s="322"/>
      <c r="AQ124" s="322"/>
      <c r="AR124" s="322"/>
      <c r="AS124" s="322"/>
      <c r="AT124" s="322"/>
      <c r="AU124" s="322"/>
      <c r="AV124" s="322"/>
      <c r="AW124" s="322"/>
    </row>
    <row r="125" spans="1:49" ht="15.75" customHeight="1">
      <c r="A125" s="155">
        <v>2212002033</v>
      </c>
      <c r="B125" s="92" t="s">
        <v>130</v>
      </c>
      <c r="C125" s="358" t="s">
        <v>6</v>
      </c>
      <c r="D125" s="325"/>
      <c r="E125" s="325"/>
      <c r="F125" s="28">
        <v>70</v>
      </c>
      <c r="G125" s="28">
        <v>75</v>
      </c>
      <c r="H125" s="325"/>
      <c r="I125" s="325"/>
      <c r="J125" s="325"/>
      <c r="K125" s="325"/>
      <c r="L125" s="325"/>
      <c r="M125" s="325"/>
      <c r="N125" s="28">
        <v>70</v>
      </c>
      <c r="O125" s="325"/>
      <c r="P125" s="325"/>
      <c r="Q125" s="325"/>
      <c r="R125" s="325"/>
      <c r="S125" s="325"/>
      <c r="T125" s="325"/>
      <c r="U125" s="325"/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325"/>
      <c r="AI125" s="324">
        <f t="shared" si="0"/>
        <v>215</v>
      </c>
      <c r="AJ125" s="322"/>
      <c r="AK125" s="322"/>
      <c r="AL125" s="322"/>
      <c r="AM125" s="322"/>
      <c r="AN125" s="322"/>
      <c r="AO125" s="322"/>
      <c r="AP125" s="322"/>
      <c r="AQ125" s="322"/>
      <c r="AR125" s="322"/>
      <c r="AS125" s="322"/>
      <c r="AT125" s="322"/>
      <c r="AU125" s="322"/>
      <c r="AV125" s="322"/>
      <c r="AW125" s="322"/>
    </row>
    <row r="126" spans="1:49" ht="15.75" customHeight="1">
      <c r="A126" s="155">
        <v>2212002037</v>
      </c>
      <c r="B126" s="92" t="s">
        <v>131</v>
      </c>
      <c r="C126" s="358" t="s">
        <v>6</v>
      </c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339"/>
      <c r="AI126" s="324">
        <f t="shared" si="0"/>
        <v>0</v>
      </c>
      <c r="AJ126" s="322"/>
      <c r="AK126" s="322"/>
      <c r="AL126" s="322"/>
      <c r="AM126" s="322"/>
      <c r="AN126" s="322"/>
      <c r="AO126" s="322"/>
      <c r="AP126" s="322"/>
      <c r="AQ126" s="322"/>
      <c r="AR126" s="322"/>
      <c r="AS126" s="322"/>
      <c r="AT126" s="322"/>
      <c r="AU126" s="322"/>
      <c r="AV126" s="322"/>
      <c r="AW126" s="322"/>
    </row>
    <row r="127" spans="1:49" ht="15.75" customHeight="1">
      <c r="A127" s="155">
        <v>2212002039</v>
      </c>
      <c r="B127" s="92" t="s">
        <v>132</v>
      </c>
      <c r="C127" s="358" t="s">
        <v>6</v>
      </c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325"/>
      <c r="AI127" s="324">
        <f t="shared" si="0"/>
        <v>0</v>
      </c>
      <c r="AJ127" s="322"/>
      <c r="AK127" s="322"/>
      <c r="AL127" s="322"/>
      <c r="AM127" s="322"/>
      <c r="AN127" s="322"/>
      <c r="AO127" s="322"/>
      <c r="AP127" s="322"/>
      <c r="AQ127" s="322"/>
      <c r="AR127" s="322"/>
      <c r="AS127" s="322"/>
      <c r="AT127" s="322"/>
      <c r="AU127" s="322"/>
      <c r="AV127" s="322"/>
      <c r="AW127" s="322"/>
    </row>
    <row r="128" spans="1:49" ht="15.75" customHeight="1">
      <c r="A128" s="155">
        <v>2212002041</v>
      </c>
      <c r="B128" s="92" t="s">
        <v>133</v>
      </c>
      <c r="C128" s="358" t="s">
        <v>6</v>
      </c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326"/>
      <c r="AI128" s="324">
        <f t="shared" si="0"/>
        <v>0</v>
      </c>
      <c r="AJ128" s="322"/>
      <c r="AK128" s="322"/>
      <c r="AL128" s="322"/>
      <c r="AM128" s="322"/>
      <c r="AN128" s="322"/>
      <c r="AO128" s="322"/>
      <c r="AP128" s="322"/>
      <c r="AQ128" s="322"/>
      <c r="AR128" s="322"/>
      <c r="AS128" s="322"/>
      <c r="AT128" s="322"/>
      <c r="AU128" s="322"/>
      <c r="AV128" s="322"/>
      <c r="AW128" s="322"/>
    </row>
    <row r="129" spans="1:49" ht="15.75" customHeight="1">
      <c r="A129" s="155">
        <v>2212002042</v>
      </c>
      <c r="B129" s="92" t="s">
        <v>134</v>
      </c>
      <c r="C129" s="358" t="s">
        <v>6</v>
      </c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351"/>
      <c r="AI129" s="324">
        <f t="shared" si="0"/>
        <v>0</v>
      </c>
      <c r="AJ129" s="322"/>
      <c r="AK129" s="322"/>
      <c r="AL129" s="322"/>
      <c r="AM129" s="322"/>
      <c r="AN129" s="322"/>
      <c r="AO129" s="322"/>
      <c r="AP129" s="322"/>
      <c r="AQ129" s="322"/>
      <c r="AR129" s="322"/>
      <c r="AS129" s="322"/>
      <c r="AT129" s="322"/>
      <c r="AU129" s="322"/>
      <c r="AV129" s="322"/>
      <c r="AW129" s="322"/>
    </row>
    <row r="130" spans="1:49" ht="15.75" customHeight="1">
      <c r="A130" s="155">
        <v>2212002043</v>
      </c>
      <c r="B130" s="92" t="s">
        <v>135</v>
      </c>
      <c r="C130" s="358" t="s">
        <v>6</v>
      </c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326"/>
      <c r="AI130" s="324">
        <f t="shared" si="0"/>
        <v>0</v>
      </c>
      <c r="AJ130" s="322"/>
      <c r="AK130" s="322"/>
      <c r="AL130" s="322"/>
      <c r="AM130" s="322"/>
      <c r="AN130" s="322"/>
      <c r="AO130" s="322"/>
      <c r="AP130" s="322"/>
      <c r="AQ130" s="322"/>
      <c r="AR130" s="322"/>
      <c r="AS130" s="322"/>
      <c r="AT130" s="322"/>
      <c r="AU130" s="322"/>
      <c r="AV130" s="322"/>
      <c r="AW130" s="322"/>
    </row>
    <row r="131" spans="1:49" ht="15.75" customHeight="1">
      <c r="A131" s="172">
        <v>2212002044</v>
      </c>
      <c r="B131" s="95" t="s">
        <v>136</v>
      </c>
      <c r="C131" s="385" t="s">
        <v>6</v>
      </c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351"/>
      <c r="AI131" s="324">
        <f t="shared" si="0"/>
        <v>0</v>
      </c>
      <c r="AJ131" s="322"/>
      <c r="AK131" s="322"/>
      <c r="AL131" s="322"/>
      <c r="AM131" s="322"/>
      <c r="AN131" s="322"/>
      <c r="AO131" s="322"/>
      <c r="AP131" s="322"/>
      <c r="AQ131" s="322"/>
      <c r="AR131" s="322"/>
      <c r="AS131" s="322"/>
      <c r="AT131" s="322"/>
      <c r="AU131" s="322"/>
      <c r="AV131" s="322"/>
      <c r="AW131" s="322"/>
    </row>
    <row r="132" spans="1:49" ht="18.75" customHeight="1">
      <c r="A132" s="628" t="s">
        <v>137</v>
      </c>
      <c r="B132" s="606"/>
      <c r="C132" s="607"/>
      <c r="D132" s="388"/>
      <c r="E132" s="388"/>
      <c r="F132" s="388"/>
      <c r="G132" s="388"/>
      <c r="H132" s="388"/>
      <c r="I132" s="388"/>
      <c r="J132" s="388"/>
      <c r="K132" s="388"/>
      <c r="L132" s="388"/>
      <c r="M132" s="388"/>
      <c r="N132" s="388"/>
      <c r="O132" s="388"/>
      <c r="P132" s="388"/>
      <c r="Q132" s="388"/>
      <c r="R132" s="388"/>
      <c r="S132" s="388"/>
      <c r="T132" s="388"/>
      <c r="U132" s="388"/>
      <c r="V132" s="388"/>
      <c r="W132" s="388"/>
      <c r="X132" s="388"/>
      <c r="Y132" s="388"/>
      <c r="Z132" s="388"/>
      <c r="AA132" s="388"/>
      <c r="AB132" s="388"/>
      <c r="AC132" s="388"/>
      <c r="AD132" s="388"/>
      <c r="AE132" s="388"/>
      <c r="AF132" s="388"/>
      <c r="AG132" s="388"/>
      <c r="AH132" s="388"/>
      <c r="AI132" s="131">
        <f t="shared" si="0"/>
        <v>0</v>
      </c>
      <c r="AJ132" s="322"/>
      <c r="AK132" s="322"/>
      <c r="AL132" s="322"/>
      <c r="AM132" s="322"/>
      <c r="AN132" s="322"/>
      <c r="AO132" s="322"/>
      <c r="AP132" s="322"/>
      <c r="AQ132" s="322"/>
      <c r="AR132" s="322"/>
      <c r="AS132" s="322"/>
      <c r="AT132" s="322"/>
      <c r="AU132" s="322"/>
      <c r="AV132" s="322"/>
      <c r="AW132" s="322"/>
    </row>
    <row r="133" spans="1:49" ht="15.75" customHeight="1">
      <c r="A133" s="174">
        <v>2212006001</v>
      </c>
      <c r="B133" s="100" t="s">
        <v>138</v>
      </c>
      <c r="C133" s="390" t="s">
        <v>6</v>
      </c>
      <c r="D133" s="325"/>
      <c r="E133" s="325"/>
      <c r="F133" s="325"/>
      <c r="G133" s="28">
        <v>30</v>
      </c>
      <c r="H133" s="325"/>
      <c r="I133" s="325"/>
      <c r="J133" s="325"/>
      <c r="K133" s="325"/>
      <c r="L133" s="325"/>
      <c r="M133" s="28">
        <v>30</v>
      </c>
      <c r="N133" s="325"/>
      <c r="O133" s="28">
        <v>100</v>
      </c>
      <c r="P133" s="325"/>
      <c r="Q133" s="325"/>
      <c r="R133" s="325"/>
      <c r="S133" s="325"/>
      <c r="T133" s="28">
        <v>100</v>
      </c>
      <c r="U133" s="28">
        <v>75</v>
      </c>
      <c r="V133" s="325"/>
      <c r="W133" s="325"/>
      <c r="X133" s="325"/>
      <c r="Y133" s="325"/>
      <c r="Z133" s="325"/>
      <c r="AA133" s="28">
        <v>140</v>
      </c>
      <c r="AB133" s="28">
        <v>135</v>
      </c>
      <c r="AC133" s="325"/>
      <c r="AD133" s="325"/>
      <c r="AE133" s="325"/>
      <c r="AF133" s="325"/>
      <c r="AG133" s="325"/>
      <c r="AH133" s="28">
        <v>95</v>
      </c>
      <c r="AI133" s="324">
        <f t="shared" si="0"/>
        <v>705</v>
      </c>
      <c r="AJ133" s="322"/>
      <c r="AK133" s="322"/>
      <c r="AL133" s="322"/>
      <c r="AM133" s="322"/>
      <c r="AN133" s="322"/>
      <c r="AO133" s="322"/>
      <c r="AP133" s="322"/>
      <c r="AQ133" s="322"/>
      <c r="AR133" s="322"/>
      <c r="AS133" s="322"/>
      <c r="AT133" s="322"/>
      <c r="AU133" s="322"/>
      <c r="AV133" s="322"/>
      <c r="AW133" s="322"/>
    </row>
    <row r="134" spans="1:49" ht="15.75" customHeight="1">
      <c r="A134" s="180">
        <v>2212006003</v>
      </c>
      <c r="B134" s="170" t="s">
        <v>139</v>
      </c>
      <c r="C134" s="392" t="s">
        <v>6</v>
      </c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24">
        <f t="shared" si="0"/>
        <v>0</v>
      </c>
      <c r="AJ134" s="322"/>
      <c r="AK134" s="322"/>
      <c r="AL134" s="322"/>
      <c r="AM134" s="322"/>
      <c r="AN134" s="322"/>
      <c r="AO134" s="322"/>
      <c r="AP134" s="322"/>
      <c r="AQ134" s="322"/>
      <c r="AR134" s="322"/>
      <c r="AS134" s="322"/>
      <c r="AT134" s="322"/>
      <c r="AU134" s="322"/>
      <c r="AV134" s="322"/>
      <c r="AW134" s="322"/>
    </row>
    <row r="135" spans="1:49" ht="15.75" customHeight="1">
      <c r="A135" s="180">
        <v>2212006004</v>
      </c>
      <c r="B135" s="106" t="s">
        <v>140</v>
      </c>
      <c r="C135" s="392" t="s">
        <v>6</v>
      </c>
      <c r="D135" s="325"/>
      <c r="E135" s="325"/>
      <c r="F135" s="28">
        <v>70</v>
      </c>
      <c r="G135" s="325"/>
      <c r="H135" s="325"/>
      <c r="I135" s="325"/>
      <c r="J135" s="325"/>
      <c r="K135" s="325"/>
      <c r="L135" s="325"/>
      <c r="M135" s="28">
        <v>70</v>
      </c>
      <c r="N135" s="325"/>
      <c r="O135" s="28">
        <v>70</v>
      </c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25"/>
      <c r="AE135" s="325"/>
      <c r="AF135" s="325"/>
      <c r="AG135" s="325"/>
      <c r="AH135" s="28">
        <v>70</v>
      </c>
      <c r="AI135" s="324">
        <f t="shared" si="0"/>
        <v>280</v>
      </c>
      <c r="AJ135" s="322"/>
      <c r="AK135" s="322"/>
      <c r="AL135" s="322"/>
      <c r="AM135" s="322"/>
      <c r="AN135" s="322"/>
      <c r="AO135" s="322"/>
      <c r="AP135" s="322"/>
      <c r="AQ135" s="322"/>
      <c r="AR135" s="322"/>
      <c r="AS135" s="322"/>
      <c r="AT135" s="322"/>
      <c r="AU135" s="322"/>
      <c r="AV135" s="322"/>
      <c r="AW135" s="322"/>
    </row>
    <row r="136" spans="1:49" ht="15.75" customHeight="1">
      <c r="A136" s="180">
        <v>2212006005</v>
      </c>
      <c r="B136" s="106" t="s">
        <v>141</v>
      </c>
      <c r="C136" s="392" t="s">
        <v>6</v>
      </c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24">
        <f t="shared" si="0"/>
        <v>0</v>
      </c>
      <c r="AJ136" s="322"/>
      <c r="AK136" s="322"/>
      <c r="AL136" s="322"/>
      <c r="AM136" s="322"/>
      <c r="AN136" s="322"/>
      <c r="AO136" s="322"/>
      <c r="AP136" s="322"/>
      <c r="AQ136" s="322"/>
      <c r="AR136" s="322"/>
      <c r="AS136" s="322"/>
      <c r="AT136" s="322"/>
      <c r="AU136" s="322"/>
      <c r="AV136" s="322"/>
      <c r="AW136" s="322"/>
    </row>
    <row r="137" spans="1:49" ht="15.75" customHeight="1">
      <c r="A137" s="180">
        <v>2212006006</v>
      </c>
      <c r="B137" s="106" t="s">
        <v>142</v>
      </c>
      <c r="C137" s="392" t="s">
        <v>6</v>
      </c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25"/>
      <c r="AE137" s="325"/>
      <c r="AF137" s="325"/>
      <c r="AG137" s="325"/>
      <c r="AH137" s="325"/>
      <c r="AI137" s="324">
        <f t="shared" si="0"/>
        <v>0</v>
      </c>
      <c r="AJ137" s="322"/>
      <c r="AK137" s="322"/>
      <c r="AL137" s="322"/>
      <c r="AM137" s="322"/>
      <c r="AN137" s="322"/>
      <c r="AO137" s="322"/>
      <c r="AP137" s="322"/>
      <c r="AQ137" s="322"/>
      <c r="AR137" s="322"/>
      <c r="AS137" s="322"/>
      <c r="AT137" s="322"/>
      <c r="AU137" s="322"/>
      <c r="AV137" s="322"/>
      <c r="AW137" s="322"/>
    </row>
    <row r="138" spans="1:49" ht="15.75" customHeight="1">
      <c r="A138" s="180">
        <v>2212006009</v>
      </c>
      <c r="B138" s="106" t="s">
        <v>143</v>
      </c>
      <c r="C138" s="392" t="s">
        <v>6</v>
      </c>
      <c r="D138" s="339"/>
      <c r="E138" s="339"/>
      <c r="F138" s="32">
        <v>30</v>
      </c>
      <c r="G138" s="339"/>
      <c r="H138" s="339"/>
      <c r="I138" s="339"/>
      <c r="J138" s="339"/>
      <c r="K138" s="339"/>
      <c r="L138" s="339"/>
      <c r="M138" s="32">
        <v>30</v>
      </c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24">
        <f t="shared" si="0"/>
        <v>60</v>
      </c>
      <c r="AJ138" s="322"/>
      <c r="AK138" s="322"/>
      <c r="AL138" s="322"/>
      <c r="AM138" s="322"/>
      <c r="AN138" s="322"/>
      <c r="AO138" s="322"/>
      <c r="AP138" s="322"/>
      <c r="AQ138" s="322"/>
      <c r="AR138" s="322"/>
      <c r="AS138" s="322"/>
      <c r="AT138" s="322"/>
      <c r="AU138" s="322"/>
      <c r="AV138" s="322"/>
      <c r="AW138" s="322"/>
    </row>
    <row r="139" spans="1:49" ht="15.75" customHeight="1">
      <c r="A139" s="180">
        <v>2212006011</v>
      </c>
      <c r="B139" s="106" t="s">
        <v>144</v>
      </c>
      <c r="C139" s="392" t="s">
        <v>8</v>
      </c>
      <c r="D139" s="28">
        <v>0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324">
        <f t="shared" si="0"/>
        <v>0</v>
      </c>
      <c r="AJ139" s="322"/>
      <c r="AK139" s="322"/>
      <c r="AL139" s="322"/>
      <c r="AM139" s="322"/>
      <c r="AN139" s="322"/>
      <c r="AO139" s="322"/>
      <c r="AP139" s="322"/>
      <c r="AQ139" s="322"/>
      <c r="AR139" s="322"/>
      <c r="AS139" s="322"/>
      <c r="AT139" s="322"/>
      <c r="AU139" s="322"/>
      <c r="AV139" s="322"/>
      <c r="AW139" s="322"/>
    </row>
    <row r="140" spans="1:49" ht="15.75" customHeight="1">
      <c r="A140" s="180">
        <v>2212006012</v>
      </c>
      <c r="B140" s="106" t="s">
        <v>145</v>
      </c>
      <c r="C140" s="392" t="s">
        <v>8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32">
        <v>0</v>
      </c>
      <c r="AI140" s="324">
        <f t="shared" si="0"/>
        <v>0</v>
      </c>
      <c r="AJ140" s="322"/>
      <c r="AK140" s="322"/>
      <c r="AL140" s="322"/>
      <c r="AM140" s="322"/>
      <c r="AN140" s="322"/>
      <c r="AO140" s="322"/>
      <c r="AP140" s="322"/>
      <c r="AQ140" s="322"/>
      <c r="AR140" s="322"/>
      <c r="AS140" s="322"/>
      <c r="AT140" s="322"/>
      <c r="AU140" s="322"/>
      <c r="AV140" s="322"/>
      <c r="AW140" s="322"/>
    </row>
    <row r="141" spans="1:49" ht="15.75" customHeight="1">
      <c r="A141" s="180">
        <v>2212006013</v>
      </c>
      <c r="B141" s="109" t="s">
        <v>146</v>
      </c>
      <c r="C141" s="406" t="s">
        <v>6</v>
      </c>
      <c r="D141" s="28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324">
        <f t="shared" si="0"/>
        <v>0</v>
      </c>
      <c r="AJ141" s="322"/>
      <c r="AK141" s="322"/>
      <c r="AL141" s="322"/>
      <c r="AM141" s="322"/>
      <c r="AN141" s="322"/>
      <c r="AO141" s="322"/>
      <c r="AP141" s="322"/>
      <c r="AQ141" s="322"/>
      <c r="AR141" s="322"/>
      <c r="AS141" s="322"/>
      <c r="AT141" s="322"/>
      <c r="AU141" s="322"/>
      <c r="AV141" s="322"/>
      <c r="AW141" s="322"/>
    </row>
    <row r="142" spans="1:49" ht="18.75" customHeight="1">
      <c r="A142" s="619" t="s">
        <v>147</v>
      </c>
      <c r="B142" s="606"/>
      <c r="C142" s="607"/>
      <c r="D142" s="408"/>
      <c r="E142" s="408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  <c r="R142" s="408"/>
      <c r="S142" s="408"/>
      <c r="T142" s="408"/>
      <c r="U142" s="408"/>
      <c r="V142" s="408"/>
      <c r="W142" s="408"/>
      <c r="X142" s="408"/>
      <c r="Y142" s="408"/>
      <c r="Z142" s="408"/>
      <c r="AA142" s="408"/>
      <c r="AB142" s="408"/>
      <c r="AC142" s="408"/>
      <c r="AD142" s="408"/>
      <c r="AE142" s="408"/>
      <c r="AF142" s="408"/>
      <c r="AG142" s="408"/>
      <c r="AH142" s="408"/>
      <c r="AI142" s="131">
        <f t="shared" si="0"/>
        <v>0</v>
      </c>
      <c r="AJ142" s="322"/>
      <c r="AK142" s="322"/>
      <c r="AL142" s="322"/>
      <c r="AM142" s="322"/>
      <c r="AN142" s="322"/>
      <c r="AO142" s="322"/>
      <c r="AP142" s="322"/>
      <c r="AQ142" s="322"/>
      <c r="AR142" s="322"/>
      <c r="AS142" s="322"/>
      <c r="AT142" s="322"/>
      <c r="AU142" s="322"/>
      <c r="AV142" s="322"/>
      <c r="AW142" s="322"/>
    </row>
    <row r="143" spans="1:49" ht="15.75" customHeight="1">
      <c r="A143" s="198">
        <v>2212007001</v>
      </c>
      <c r="B143" s="120" t="s">
        <v>148</v>
      </c>
      <c r="C143" s="414" t="s">
        <v>6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324">
        <f t="shared" si="0"/>
        <v>0</v>
      </c>
      <c r="AJ143" s="322"/>
      <c r="AK143" s="322"/>
      <c r="AL143" s="322"/>
      <c r="AM143" s="322"/>
      <c r="AN143" s="322"/>
      <c r="AO143" s="322"/>
      <c r="AP143" s="322"/>
      <c r="AQ143" s="322"/>
      <c r="AR143" s="322"/>
      <c r="AS143" s="322"/>
      <c r="AT143" s="322"/>
      <c r="AU143" s="322"/>
      <c r="AV143" s="322"/>
      <c r="AW143" s="322"/>
    </row>
    <row r="144" spans="1:49" ht="15.75" customHeight="1">
      <c r="A144" s="200">
        <v>2212007002</v>
      </c>
      <c r="B144" s="123" t="s">
        <v>149</v>
      </c>
      <c r="C144" s="419" t="s">
        <v>6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324">
        <f t="shared" si="0"/>
        <v>0</v>
      </c>
      <c r="AJ144" s="322"/>
      <c r="AK144" s="322"/>
      <c r="AL144" s="322"/>
      <c r="AM144" s="322"/>
      <c r="AN144" s="322"/>
      <c r="AO144" s="322"/>
      <c r="AP144" s="322"/>
      <c r="AQ144" s="322"/>
      <c r="AR144" s="322"/>
      <c r="AS144" s="322"/>
      <c r="AT144" s="322"/>
      <c r="AU144" s="322"/>
      <c r="AV144" s="322"/>
      <c r="AW144" s="322"/>
    </row>
    <row r="145" spans="1:49" ht="15.75" customHeight="1">
      <c r="A145" s="198">
        <v>2212007003</v>
      </c>
      <c r="B145" s="127" t="s">
        <v>150</v>
      </c>
      <c r="C145" s="424" t="s">
        <v>6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0</v>
      </c>
      <c r="AH145" s="28">
        <v>0</v>
      </c>
      <c r="AI145" s="324">
        <f t="shared" si="0"/>
        <v>0</v>
      </c>
      <c r="AJ145" s="322"/>
      <c r="AK145" s="322"/>
      <c r="AL145" s="322"/>
      <c r="AM145" s="322"/>
      <c r="AN145" s="322"/>
      <c r="AO145" s="322"/>
      <c r="AP145" s="322"/>
      <c r="AQ145" s="322"/>
      <c r="AR145" s="322"/>
      <c r="AS145" s="322"/>
      <c r="AT145" s="322"/>
      <c r="AU145" s="322"/>
      <c r="AV145" s="322"/>
      <c r="AW145" s="322"/>
    </row>
    <row r="146" spans="1:49" ht="15.75" customHeight="1">
      <c r="A146" s="198">
        <v>2212007004</v>
      </c>
      <c r="B146" s="127" t="s">
        <v>151</v>
      </c>
      <c r="C146" s="424" t="s">
        <v>6</v>
      </c>
      <c r="D146" s="28">
        <v>0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324">
        <f t="shared" si="0"/>
        <v>0</v>
      </c>
      <c r="AJ146" s="322"/>
      <c r="AK146" s="322"/>
      <c r="AL146" s="322"/>
      <c r="AM146" s="322"/>
      <c r="AN146" s="322"/>
      <c r="AO146" s="322"/>
      <c r="AP146" s="322"/>
      <c r="AQ146" s="322"/>
      <c r="AR146" s="322"/>
      <c r="AS146" s="322"/>
      <c r="AT146" s="322"/>
      <c r="AU146" s="322"/>
      <c r="AV146" s="322"/>
      <c r="AW146" s="322"/>
    </row>
    <row r="147" spans="1:49" ht="15.75" customHeight="1">
      <c r="A147" s="198">
        <v>2212007005</v>
      </c>
      <c r="B147" s="127" t="s">
        <v>152</v>
      </c>
      <c r="C147" s="424" t="s">
        <v>6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324">
        <f t="shared" si="0"/>
        <v>0</v>
      </c>
      <c r="AJ147" s="322"/>
      <c r="AK147" s="322"/>
      <c r="AL147" s="322"/>
      <c r="AM147" s="322"/>
      <c r="AN147" s="322"/>
      <c r="AO147" s="322"/>
      <c r="AP147" s="322"/>
      <c r="AQ147" s="322"/>
      <c r="AR147" s="322"/>
      <c r="AS147" s="322"/>
      <c r="AT147" s="322"/>
      <c r="AU147" s="322"/>
      <c r="AV147" s="322"/>
      <c r="AW147" s="322"/>
    </row>
    <row r="148" spans="1:49" ht="15.75" customHeight="1">
      <c r="A148" s="198">
        <v>2212007006</v>
      </c>
      <c r="B148" s="127" t="s">
        <v>153</v>
      </c>
      <c r="C148" s="424" t="s">
        <v>6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324">
        <f t="shared" si="0"/>
        <v>0</v>
      </c>
      <c r="AJ148" s="322"/>
      <c r="AK148" s="322"/>
      <c r="AL148" s="322"/>
      <c r="AM148" s="322"/>
      <c r="AN148" s="322"/>
      <c r="AO148" s="322"/>
      <c r="AP148" s="322"/>
      <c r="AQ148" s="322"/>
      <c r="AR148" s="322"/>
      <c r="AS148" s="322"/>
      <c r="AT148" s="322"/>
      <c r="AU148" s="322"/>
      <c r="AV148" s="322"/>
      <c r="AW148" s="322"/>
    </row>
    <row r="149" spans="1:49" ht="15.75" customHeight="1">
      <c r="A149" s="198">
        <v>2212007007</v>
      </c>
      <c r="B149" s="127" t="s">
        <v>154</v>
      </c>
      <c r="C149" s="424" t="s">
        <v>6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324">
        <f t="shared" si="0"/>
        <v>0</v>
      </c>
      <c r="AJ149" s="322"/>
      <c r="AK149" s="322"/>
      <c r="AL149" s="322"/>
      <c r="AM149" s="322"/>
      <c r="AN149" s="322"/>
      <c r="AO149" s="322"/>
      <c r="AP149" s="322"/>
      <c r="AQ149" s="322"/>
      <c r="AR149" s="322"/>
      <c r="AS149" s="322"/>
      <c r="AT149" s="322"/>
      <c r="AU149" s="322"/>
      <c r="AV149" s="322"/>
      <c r="AW149" s="322"/>
    </row>
    <row r="150" spans="1:49" ht="15.75" customHeight="1">
      <c r="A150" s="198">
        <v>2212007008</v>
      </c>
      <c r="B150" s="127" t="s">
        <v>155</v>
      </c>
      <c r="C150" s="424" t="s">
        <v>6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324">
        <f t="shared" si="0"/>
        <v>0</v>
      </c>
      <c r="AJ150" s="322"/>
      <c r="AK150" s="322"/>
      <c r="AL150" s="322"/>
      <c r="AM150" s="322"/>
      <c r="AN150" s="322"/>
      <c r="AO150" s="322"/>
      <c r="AP150" s="322"/>
      <c r="AQ150" s="322"/>
      <c r="AR150" s="322"/>
      <c r="AS150" s="322"/>
      <c r="AT150" s="322"/>
      <c r="AU150" s="322"/>
      <c r="AV150" s="322"/>
      <c r="AW150" s="322"/>
    </row>
    <row r="151" spans="1:49" ht="15.75" customHeight="1">
      <c r="A151" s="198">
        <v>2212007009</v>
      </c>
      <c r="B151" s="127" t="s">
        <v>156</v>
      </c>
      <c r="C151" s="424" t="s">
        <v>6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324">
        <f t="shared" si="0"/>
        <v>0</v>
      </c>
      <c r="AJ151" s="322"/>
      <c r="AK151" s="322"/>
      <c r="AL151" s="322"/>
      <c r="AM151" s="322"/>
      <c r="AN151" s="322"/>
      <c r="AO151" s="322"/>
      <c r="AP151" s="322"/>
      <c r="AQ151" s="322"/>
      <c r="AR151" s="322"/>
      <c r="AS151" s="322"/>
      <c r="AT151" s="322"/>
      <c r="AU151" s="322"/>
      <c r="AV151" s="322"/>
      <c r="AW151" s="322"/>
    </row>
    <row r="152" spans="1:49" ht="15.75" customHeight="1">
      <c r="A152" s="203">
        <v>2212007010</v>
      </c>
      <c r="B152" s="134" t="s">
        <v>157</v>
      </c>
      <c r="C152" s="433" t="s">
        <v>6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324">
        <f t="shared" si="0"/>
        <v>0</v>
      </c>
      <c r="AJ152" s="322"/>
      <c r="AK152" s="322"/>
      <c r="AL152" s="322"/>
      <c r="AM152" s="322"/>
      <c r="AN152" s="322"/>
      <c r="AO152" s="322"/>
      <c r="AP152" s="322"/>
      <c r="AQ152" s="322"/>
      <c r="AR152" s="322"/>
      <c r="AS152" s="322"/>
      <c r="AT152" s="322"/>
      <c r="AU152" s="322"/>
      <c r="AV152" s="322"/>
      <c r="AW152" s="322"/>
    </row>
    <row r="153" spans="1:49" ht="18.75" customHeight="1">
      <c r="A153" s="620" t="s">
        <v>158</v>
      </c>
      <c r="B153" s="606"/>
      <c r="C153" s="607"/>
      <c r="D153" s="434"/>
      <c r="E153" s="434"/>
      <c r="F153" s="434"/>
      <c r="G153" s="434"/>
      <c r="H153" s="434"/>
      <c r="I153" s="434"/>
      <c r="J153" s="434"/>
      <c r="K153" s="434"/>
      <c r="L153" s="434"/>
      <c r="M153" s="434"/>
      <c r="N153" s="434"/>
      <c r="O153" s="434"/>
      <c r="P153" s="434"/>
      <c r="Q153" s="434"/>
      <c r="R153" s="434"/>
      <c r="S153" s="434"/>
      <c r="T153" s="434"/>
      <c r="U153" s="434"/>
      <c r="V153" s="434"/>
      <c r="W153" s="434"/>
      <c r="X153" s="434"/>
      <c r="Y153" s="434"/>
      <c r="Z153" s="434"/>
      <c r="AA153" s="434"/>
      <c r="AB153" s="434"/>
      <c r="AC153" s="434"/>
      <c r="AD153" s="434"/>
      <c r="AE153" s="434"/>
      <c r="AF153" s="434"/>
      <c r="AG153" s="434"/>
      <c r="AH153" s="434"/>
      <c r="AI153" s="131">
        <f t="shared" si="0"/>
        <v>0</v>
      </c>
      <c r="AJ153" s="322"/>
      <c r="AK153" s="322"/>
      <c r="AL153" s="322"/>
      <c r="AM153" s="322"/>
      <c r="AN153" s="322"/>
      <c r="AO153" s="322"/>
      <c r="AP153" s="322"/>
      <c r="AQ153" s="322"/>
      <c r="AR153" s="322"/>
      <c r="AS153" s="322"/>
      <c r="AT153" s="322"/>
      <c r="AU153" s="322"/>
      <c r="AV153" s="322"/>
      <c r="AW153" s="322"/>
    </row>
    <row r="154" spans="1:49" ht="15.75" customHeight="1">
      <c r="A154" s="152">
        <v>2212003002</v>
      </c>
      <c r="B154" s="88" t="s">
        <v>159</v>
      </c>
      <c r="C154" s="357" t="s">
        <v>6</v>
      </c>
      <c r="D154" s="32">
        <v>0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4">
        <f t="shared" si="0"/>
        <v>0</v>
      </c>
      <c r="AJ154" s="322"/>
      <c r="AK154" s="322"/>
      <c r="AL154" s="322"/>
      <c r="AM154" s="322"/>
      <c r="AN154" s="322"/>
      <c r="AO154" s="322"/>
      <c r="AP154" s="322"/>
      <c r="AQ154" s="322"/>
      <c r="AR154" s="322"/>
      <c r="AS154" s="322"/>
      <c r="AT154" s="322"/>
      <c r="AU154" s="322"/>
      <c r="AV154" s="322"/>
      <c r="AW154" s="322"/>
    </row>
    <row r="155" spans="1:49" ht="15.75" customHeight="1">
      <c r="A155" s="155">
        <v>2212003003</v>
      </c>
      <c r="B155" s="92" t="s">
        <v>160</v>
      </c>
      <c r="C155" s="358" t="s">
        <v>6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2">
        <v>0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4">
        <f t="shared" si="0"/>
        <v>0</v>
      </c>
      <c r="AJ155" s="322"/>
      <c r="AK155" s="322"/>
      <c r="AL155" s="322"/>
      <c r="AM155" s="322"/>
      <c r="AN155" s="322"/>
      <c r="AO155" s="322"/>
      <c r="AP155" s="322"/>
      <c r="AQ155" s="322"/>
      <c r="AR155" s="322"/>
      <c r="AS155" s="322"/>
      <c r="AT155" s="322"/>
      <c r="AU155" s="322"/>
      <c r="AV155" s="322"/>
      <c r="AW155" s="322"/>
    </row>
    <row r="156" spans="1:49" ht="15.75" customHeight="1">
      <c r="A156" s="155">
        <v>2212003004</v>
      </c>
      <c r="B156" s="92" t="s">
        <v>161</v>
      </c>
      <c r="C156" s="358" t="s">
        <v>6</v>
      </c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4">
        <f t="shared" si="0"/>
        <v>0</v>
      </c>
      <c r="AJ156" s="322"/>
      <c r="AK156" s="322"/>
      <c r="AL156" s="322"/>
      <c r="AM156" s="322"/>
      <c r="AN156" s="322"/>
      <c r="AO156" s="322"/>
      <c r="AP156" s="322"/>
      <c r="AQ156" s="322"/>
      <c r="AR156" s="322"/>
      <c r="AS156" s="322"/>
      <c r="AT156" s="322"/>
      <c r="AU156" s="322"/>
      <c r="AV156" s="322"/>
      <c r="AW156" s="322"/>
    </row>
    <row r="157" spans="1:49" ht="15.75" customHeight="1">
      <c r="A157" s="155">
        <v>2212003008</v>
      </c>
      <c r="B157" s="92" t="s">
        <v>162</v>
      </c>
      <c r="C157" s="358" t="s">
        <v>6</v>
      </c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4">
        <f t="shared" si="0"/>
        <v>0</v>
      </c>
      <c r="AJ157" s="322"/>
      <c r="AK157" s="322"/>
      <c r="AL157" s="322"/>
      <c r="AM157" s="322"/>
      <c r="AN157" s="322"/>
      <c r="AO157" s="322"/>
      <c r="AP157" s="322"/>
      <c r="AQ157" s="322"/>
      <c r="AR157" s="322"/>
      <c r="AS157" s="322"/>
      <c r="AT157" s="322"/>
      <c r="AU157" s="322"/>
      <c r="AV157" s="322"/>
      <c r="AW157" s="322"/>
    </row>
    <row r="158" spans="1:49" ht="15.75" customHeight="1">
      <c r="A158" s="155">
        <v>2212003009</v>
      </c>
      <c r="B158" s="92" t="s">
        <v>163</v>
      </c>
      <c r="C158" s="358" t="s">
        <v>6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4">
        <f t="shared" si="0"/>
        <v>0</v>
      </c>
      <c r="AJ158" s="322"/>
      <c r="AK158" s="322"/>
      <c r="AL158" s="322"/>
      <c r="AM158" s="322"/>
      <c r="AN158" s="322"/>
      <c r="AO158" s="322"/>
      <c r="AP158" s="322"/>
      <c r="AQ158" s="322"/>
      <c r="AR158" s="322"/>
      <c r="AS158" s="322"/>
      <c r="AT158" s="322"/>
      <c r="AU158" s="322"/>
      <c r="AV158" s="322"/>
      <c r="AW158" s="322"/>
    </row>
    <row r="159" spans="1:49" ht="15.75" customHeight="1">
      <c r="A159" s="155">
        <v>2212003010</v>
      </c>
      <c r="B159" s="92" t="s">
        <v>164</v>
      </c>
      <c r="C159" s="358" t="s">
        <v>6</v>
      </c>
      <c r="D159" s="32">
        <v>0</v>
      </c>
      <c r="E159" s="32">
        <v>0</v>
      </c>
      <c r="F159" s="32"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4">
        <f t="shared" si="0"/>
        <v>0</v>
      </c>
      <c r="AJ159" s="322"/>
      <c r="AK159" s="322"/>
      <c r="AL159" s="322"/>
      <c r="AM159" s="322"/>
      <c r="AN159" s="322"/>
      <c r="AO159" s="322"/>
      <c r="AP159" s="322"/>
      <c r="AQ159" s="322"/>
      <c r="AR159" s="322"/>
      <c r="AS159" s="322"/>
      <c r="AT159" s="322"/>
      <c r="AU159" s="322"/>
      <c r="AV159" s="322"/>
      <c r="AW159" s="322"/>
    </row>
    <row r="160" spans="1:49" ht="15.75" customHeight="1">
      <c r="A160" s="155">
        <v>2212003011</v>
      </c>
      <c r="B160" s="92" t="s">
        <v>165</v>
      </c>
      <c r="C160" s="358" t="s">
        <v>6</v>
      </c>
      <c r="D160" s="32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4">
        <f t="shared" si="0"/>
        <v>0</v>
      </c>
      <c r="AJ160" s="322"/>
      <c r="AK160" s="322"/>
      <c r="AL160" s="322"/>
      <c r="AM160" s="322"/>
      <c r="AN160" s="322"/>
      <c r="AO160" s="322"/>
      <c r="AP160" s="322"/>
      <c r="AQ160" s="322"/>
      <c r="AR160" s="322"/>
      <c r="AS160" s="322"/>
      <c r="AT160" s="322"/>
      <c r="AU160" s="322"/>
      <c r="AV160" s="322"/>
      <c r="AW160" s="322"/>
    </row>
    <row r="161" spans="1:49" ht="15.75" customHeight="1">
      <c r="A161" s="155">
        <v>2212003012</v>
      </c>
      <c r="B161" s="92" t="s">
        <v>166</v>
      </c>
      <c r="C161" s="358" t="s">
        <v>6</v>
      </c>
      <c r="D161" s="32">
        <v>0</v>
      </c>
      <c r="E161" s="32">
        <v>0</v>
      </c>
      <c r="F161" s="32"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4">
        <f t="shared" si="0"/>
        <v>0</v>
      </c>
      <c r="AJ161" s="322"/>
      <c r="AK161" s="322"/>
      <c r="AL161" s="322"/>
      <c r="AM161" s="322"/>
      <c r="AN161" s="322"/>
      <c r="AO161" s="322"/>
      <c r="AP161" s="322"/>
      <c r="AQ161" s="322"/>
      <c r="AR161" s="322"/>
      <c r="AS161" s="322"/>
      <c r="AT161" s="322"/>
      <c r="AU161" s="322"/>
      <c r="AV161" s="322"/>
      <c r="AW161" s="322"/>
    </row>
    <row r="162" spans="1:49" ht="15.75" customHeight="1">
      <c r="A162" s="155">
        <v>2212003013</v>
      </c>
      <c r="B162" s="92" t="s">
        <v>167</v>
      </c>
      <c r="C162" s="358" t="s">
        <v>6</v>
      </c>
      <c r="D162" s="32">
        <v>0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  <c r="Z162" s="32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32">
        <v>0</v>
      </c>
      <c r="AI162" s="324">
        <f t="shared" si="0"/>
        <v>0</v>
      </c>
      <c r="AJ162" s="322"/>
      <c r="AK162" s="322"/>
      <c r="AL162" s="322"/>
      <c r="AM162" s="322"/>
      <c r="AN162" s="322"/>
      <c r="AO162" s="322"/>
      <c r="AP162" s="322"/>
      <c r="AQ162" s="322"/>
      <c r="AR162" s="322"/>
      <c r="AS162" s="322"/>
      <c r="AT162" s="322"/>
      <c r="AU162" s="322"/>
      <c r="AV162" s="322"/>
      <c r="AW162" s="322"/>
    </row>
    <row r="163" spans="1:49" ht="15.75" customHeight="1">
      <c r="A163" s="172">
        <v>2212003017</v>
      </c>
      <c r="B163" s="95" t="s">
        <v>168</v>
      </c>
      <c r="C163" s="385" t="s">
        <v>6</v>
      </c>
      <c r="D163" s="32">
        <v>0</v>
      </c>
      <c r="E163" s="32">
        <v>0</v>
      </c>
      <c r="F163" s="32"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4">
        <f t="shared" si="0"/>
        <v>0</v>
      </c>
      <c r="AJ163" s="322"/>
      <c r="AK163" s="322"/>
      <c r="AL163" s="322"/>
      <c r="AM163" s="322"/>
      <c r="AN163" s="322"/>
      <c r="AO163" s="322"/>
      <c r="AP163" s="322"/>
      <c r="AQ163" s="322"/>
      <c r="AR163" s="322"/>
      <c r="AS163" s="322"/>
      <c r="AT163" s="322"/>
      <c r="AU163" s="322"/>
      <c r="AV163" s="322"/>
      <c r="AW163" s="322"/>
    </row>
    <row r="164" spans="1:49" ht="18.75" customHeight="1">
      <c r="A164" s="629" t="s">
        <v>169</v>
      </c>
      <c r="B164" s="606"/>
      <c r="C164" s="607"/>
      <c r="D164" s="436"/>
      <c r="E164" s="436"/>
      <c r="F164" s="436"/>
      <c r="G164" s="436"/>
      <c r="H164" s="436"/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  <c r="AB164" s="436"/>
      <c r="AC164" s="436"/>
      <c r="AD164" s="436"/>
      <c r="AE164" s="436"/>
      <c r="AF164" s="436"/>
      <c r="AG164" s="436"/>
      <c r="AH164" s="436"/>
      <c r="AI164" s="131">
        <f t="shared" si="0"/>
        <v>0</v>
      </c>
      <c r="AJ164" s="322"/>
      <c r="AK164" s="322"/>
      <c r="AL164" s="322"/>
      <c r="AM164" s="322"/>
      <c r="AN164" s="322"/>
      <c r="AO164" s="322"/>
      <c r="AP164" s="322"/>
      <c r="AQ164" s="322"/>
      <c r="AR164" s="322"/>
      <c r="AS164" s="322"/>
      <c r="AT164" s="322"/>
      <c r="AU164" s="322"/>
      <c r="AV164" s="322"/>
      <c r="AW164" s="322"/>
    </row>
    <row r="165" spans="1:49" ht="15.75" customHeight="1">
      <c r="A165" s="229">
        <v>2212001196</v>
      </c>
      <c r="B165" s="141" t="s">
        <v>170</v>
      </c>
      <c r="C165" s="437" t="s">
        <v>171</v>
      </c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25"/>
      <c r="AE165" s="325"/>
      <c r="AF165" s="325"/>
      <c r="AG165" s="325"/>
      <c r="AH165" s="325"/>
      <c r="AI165" s="324">
        <f t="shared" si="0"/>
        <v>0</v>
      </c>
      <c r="AJ165" s="322"/>
      <c r="AK165" s="322"/>
      <c r="AL165" s="322"/>
      <c r="AM165" s="322"/>
      <c r="AN165" s="322"/>
      <c r="AO165" s="322"/>
      <c r="AP165" s="322"/>
      <c r="AQ165" s="322"/>
      <c r="AR165" s="322"/>
      <c r="AS165" s="322"/>
      <c r="AT165" s="322"/>
      <c r="AU165" s="322"/>
      <c r="AV165" s="322"/>
      <c r="AW165" s="322"/>
    </row>
    <row r="166" spans="1:49" ht="15.75" customHeight="1">
      <c r="A166" s="234">
        <v>2212005007</v>
      </c>
      <c r="B166" s="146" t="s">
        <v>172</v>
      </c>
      <c r="C166" s="438" t="s">
        <v>171</v>
      </c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39"/>
      <c r="AE166" s="339"/>
      <c r="AF166" s="339"/>
      <c r="AG166" s="339"/>
      <c r="AH166" s="339"/>
      <c r="AI166" s="324">
        <f t="shared" si="0"/>
        <v>0</v>
      </c>
      <c r="AJ166" s="322"/>
      <c r="AK166" s="322"/>
      <c r="AL166" s="322"/>
      <c r="AM166" s="322"/>
      <c r="AN166" s="322"/>
      <c r="AO166" s="322"/>
      <c r="AP166" s="322"/>
      <c r="AQ166" s="322"/>
      <c r="AR166" s="322"/>
      <c r="AS166" s="322"/>
      <c r="AT166" s="322"/>
      <c r="AU166" s="322"/>
      <c r="AV166" s="322"/>
      <c r="AW166" s="322"/>
    </row>
    <row r="167" spans="1:49" ht="15.75" customHeight="1">
      <c r="A167" s="234">
        <v>2212005010</v>
      </c>
      <c r="B167" s="146" t="s">
        <v>173</v>
      </c>
      <c r="C167" s="438" t="s">
        <v>6</v>
      </c>
      <c r="D167" s="325"/>
      <c r="E167" s="325"/>
      <c r="F167" s="325"/>
      <c r="G167" s="325"/>
      <c r="H167" s="325"/>
      <c r="I167" s="325"/>
      <c r="J167" s="325"/>
      <c r="K167" s="325"/>
      <c r="L167" s="325"/>
      <c r="M167" s="28">
        <v>9</v>
      </c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25"/>
      <c r="AE167" s="325"/>
      <c r="AF167" s="325"/>
      <c r="AG167" s="325"/>
      <c r="AH167" s="325"/>
      <c r="AI167" s="324">
        <f t="shared" si="0"/>
        <v>9</v>
      </c>
      <c r="AJ167" s="322"/>
      <c r="AK167" s="322"/>
      <c r="AL167" s="322"/>
      <c r="AM167" s="322"/>
      <c r="AN167" s="322"/>
      <c r="AO167" s="322"/>
      <c r="AP167" s="322"/>
      <c r="AQ167" s="322"/>
      <c r="AR167" s="322"/>
      <c r="AS167" s="322"/>
      <c r="AT167" s="322"/>
      <c r="AU167" s="322"/>
      <c r="AV167" s="322"/>
      <c r="AW167" s="322"/>
    </row>
    <row r="168" spans="1:49" ht="15.75" customHeight="1">
      <c r="A168" s="234">
        <v>2212005011</v>
      </c>
      <c r="B168" s="146" t="s">
        <v>174</v>
      </c>
      <c r="C168" s="438" t="s">
        <v>175</v>
      </c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24">
        <f t="shared" si="0"/>
        <v>0</v>
      </c>
      <c r="AJ168" s="322"/>
      <c r="AK168" s="322"/>
      <c r="AL168" s="322"/>
      <c r="AM168" s="322"/>
      <c r="AN168" s="322"/>
      <c r="AO168" s="322"/>
      <c r="AP168" s="322"/>
      <c r="AQ168" s="322"/>
      <c r="AR168" s="322"/>
      <c r="AS168" s="322"/>
      <c r="AT168" s="322"/>
      <c r="AU168" s="322"/>
      <c r="AV168" s="322"/>
      <c r="AW168" s="322"/>
    </row>
    <row r="169" spans="1:49" ht="15.75" customHeight="1">
      <c r="A169" s="147">
        <v>2212007012</v>
      </c>
      <c r="B169" s="148" t="s">
        <v>176</v>
      </c>
      <c r="C169" s="147" t="s">
        <v>177</v>
      </c>
      <c r="D169" s="325"/>
      <c r="E169" s="325"/>
      <c r="F169" s="325"/>
      <c r="G169" s="28">
        <v>5</v>
      </c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  <c r="AA169" s="28">
        <v>10</v>
      </c>
      <c r="AB169" s="28">
        <v>10</v>
      </c>
      <c r="AC169" s="325"/>
      <c r="AD169" s="325"/>
      <c r="AE169" s="325"/>
      <c r="AF169" s="325"/>
      <c r="AG169" s="325"/>
      <c r="AH169" s="325"/>
      <c r="AI169" s="324">
        <f t="shared" si="0"/>
        <v>25</v>
      </c>
      <c r="AJ169" s="322"/>
      <c r="AK169" s="322"/>
      <c r="AL169" s="322"/>
      <c r="AM169" s="322"/>
      <c r="AN169" s="322"/>
      <c r="AO169" s="322"/>
      <c r="AP169" s="322"/>
      <c r="AQ169" s="322"/>
      <c r="AR169" s="322"/>
      <c r="AS169" s="322"/>
      <c r="AT169" s="322"/>
      <c r="AU169" s="322"/>
      <c r="AV169" s="322"/>
      <c r="AW169" s="322"/>
    </row>
    <row r="170" spans="1:49" ht="15.75" customHeight="1">
      <c r="A170" s="234">
        <v>2212005015</v>
      </c>
      <c r="B170" s="146" t="s">
        <v>178</v>
      </c>
      <c r="C170" s="438" t="s">
        <v>171</v>
      </c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24">
        <f t="shared" si="0"/>
        <v>0</v>
      </c>
      <c r="AJ170" s="322"/>
      <c r="AK170" s="322"/>
      <c r="AL170" s="322"/>
      <c r="AM170" s="322"/>
      <c r="AN170" s="322"/>
      <c r="AO170" s="322"/>
      <c r="AP170" s="322"/>
      <c r="AQ170" s="322"/>
      <c r="AR170" s="322"/>
      <c r="AS170" s="322"/>
      <c r="AT170" s="322"/>
      <c r="AU170" s="322"/>
      <c r="AV170" s="322"/>
      <c r="AW170" s="322"/>
    </row>
    <row r="171" spans="1:49" ht="15.75" customHeight="1">
      <c r="A171" s="234">
        <v>2212005016</v>
      </c>
      <c r="B171" s="146" t="s">
        <v>179</v>
      </c>
      <c r="C171" s="438" t="s">
        <v>6</v>
      </c>
      <c r="D171" s="325"/>
      <c r="E171" s="325"/>
      <c r="F171" s="28">
        <v>1</v>
      </c>
      <c r="G171" s="28">
        <v>1</v>
      </c>
      <c r="H171" s="325"/>
      <c r="I171" s="325"/>
      <c r="J171" s="325"/>
      <c r="K171" s="325"/>
      <c r="L171" s="325"/>
      <c r="M171" s="28">
        <v>1</v>
      </c>
      <c r="N171" s="28">
        <v>1</v>
      </c>
      <c r="O171" s="325"/>
      <c r="P171" s="325"/>
      <c r="Q171" s="325"/>
      <c r="R171" s="325"/>
      <c r="S171" s="325"/>
      <c r="T171" s="28">
        <v>1</v>
      </c>
      <c r="U171" s="325"/>
      <c r="V171" s="325"/>
      <c r="W171" s="325"/>
      <c r="X171" s="325"/>
      <c r="Y171" s="325"/>
      <c r="Z171" s="325"/>
      <c r="AA171" s="28">
        <v>1</v>
      </c>
      <c r="AB171" s="28">
        <v>2</v>
      </c>
      <c r="AC171" s="325"/>
      <c r="AD171" s="325"/>
      <c r="AE171" s="325"/>
      <c r="AF171" s="325"/>
      <c r="AG171" s="325"/>
      <c r="AH171" s="325"/>
      <c r="AI171" s="324">
        <f t="shared" si="0"/>
        <v>8</v>
      </c>
      <c r="AJ171" s="322"/>
      <c r="AK171" s="322"/>
      <c r="AL171" s="322"/>
      <c r="AM171" s="322"/>
      <c r="AN171" s="322"/>
      <c r="AO171" s="322"/>
      <c r="AP171" s="322"/>
      <c r="AQ171" s="322"/>
      <c r="AR171" s="322"/>
      <c r="AS171" s="322"/>
      <c r="AT171" s="322"/>
      <c r="AU171" s="322"/>
      <c r="AV171" s="322"/>
      <c r="AW171" s="322"/>
    </row>
    <row r="172" spans="1:49" ht="15.75" customHeight="1">
      <c r="A172" s="234">
        <v>2212005017</v>
      </c>
      <c r="B172" s="146" t="s">
        <v>180</v>
      </c>
      <c r="C172" s="438" t="s">
        <v>6</v>
      </c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2">
        <v>9</v>
      </c>
      <c r="AB172" s="32">
        <v>9</v>
      </c>
      <c r="AC172" s="339"/>
      <c r="AD172" s="339"/>
      <c r="AE172" s="339"/>
      <c r="AF172" s="339"/>
      <c r="AG172" s="339"/>
      <c r="AH172" s="339"/>
      <c r="AI172" s="324">
        <f t="shared" si="0"/>
        <v>18</v>
      </c>
      <c r="AJ172" s="322"/>
      <c r="AK172" s="322"/>
      <c r="AL172" s="322"/>
      <c r="AM172" s="322"/>
      <c r="AN172" s="322"/>
      <c r="AO172" s="322"/>
      <c r="AP172" s="322"/>
      <c r="AQ172" s="322"/>
      <c r="AR172" s="322"/>
      <c r="AS172" s="322"/>
      <c r="AT172" s="322"/>
      <c r="AU172" s="322"/>
      <c r="AV172" s="322"/>
      <c r="AW172" s="322"/>
    </row>
    <row r="173" spans="1:49" ht="15.75" customHeight="1">
      <c r="A173" s="234">
        <v>2212005018</v>
      </c>
      <c r="B173" s="146" t="s">
        <v>181</v>
      </c>
      <c r="C173" s="438" t="s">
        <v>6</v>
      </c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25"/>
      <c r="AE173" s="325"/>
      <c r="AF173" s="325"/>
      <c r="AG173" s="325"/>
      <c r="AH173" s="325"/>
      <c r="AI173" s="324">
        <f t="shared" si="0"/>
        <v>0</v>
      </c>
      <c r="AJ173" s="322"/>
      <c r="AK173" s="322"/>
      <c r="AL173" s="322"/>
      <c r="AM173" s="322"/>
      <c r="AN173" s="322"/>
      <c r="AO173" s="322"/>
      <c r="AP173" s="322"/>
      <c r="AQ173" s="322"/>
      <c r="AR173" s="322"/>
      <c r="AS173" s="322"/>
      <c r="AT173" s="322"/>
      <c r="AU173" s="322"/>
      <c r="AV173" s="322"/>
      <c r="AW173" s="322"/>
    </row>
    <row r="174" spans="1:49" ht="15.75" customHeight="1">
      <c r="A174" s="234">
        <v>2212005019</v>
      </c>
      <c r="B174" s="146" t="s">
        <v>182</v>
      </c>
      <c r="C174" s="438" t="s">
        <v>6</v>
      </c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  <c r="AD174" s="339"/>
      <c r="AE174" s="339"/>
      <c r="AF174" s="339"/>
      <c r="AG174" s="339"/>
      <c r="AH174" s="339"/>
      <c r="AI174" s="324">
        <f t="shared" si="0"/>
        <v>0</v>
      </c>
      <c r="AJ174" s="322"/>
      <c r="AK174" s="322"/>
      <c r="AL174" s="322"/>
      <c r="AM174" s="322"/>
      <c r="AN174" s="322"/>
      <c r="AO174" s="322"/>
      <c r="AP174" s="322"/>
      <c r="AQ174" s="322"/>
      <c r="AR174" s="322"/>
      <c r="AS174" s="322"/>
      <c r="AT174" s="322"/>
      <c r="AU174" s="322"/>
      <c r="AV174" s="322"/>
      <c r="AW174" s="322"/>
    </row>
    <row r="175" spans="1:49" ht="15.75" customHeight="1">
      <c r="A175" s="234">
        <v>2212005020</v>
      </c>
      <c r="B175" s="146" t="s">
        <v>183</v>
      </c>
      <c r="C175" s="438" t="s">
        <v>6</v>
      </c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25"/>
      <c r="AE175" s="325"/>
      <c r="AF175" s="325"/>
      <c r="AG175" s="325"/>
      <c r="AH175" s="325"/>
      <c r="AI175" s="324">
        <f t="shared" si="0"/>
        <v>0</v>
      </c>
      <c r="AJ175" s="322"/>
      <c r="AK175" s="322"/>
      <c r="AL175" s="322"/>
      <c r="AM175" s="322"/>
      <c r="AN175" s="322"/>
      <c r="AO175" s="322"/>
      <c r="AP175" s="322"/>
      <c r="AQ175" s="322"/>
      <c r="AR175" s="322"/>
      <c r="AS175" s="322"/>
      <c r="AT175" s="322"/>
      <c r="AU175" s="322"/>
      <c r="AV175" s="322"/>
      <c r="AW175" s="322"/>
    </row>
    <row r="176" spans="1:49" ht="15.75" customHeight="1">
      <c r="A176" s="234">
        <v>2212005021</v>
      </c>
      <c r="B176" s="146" t="s">
        <v>184</v>
      </c>
      <c r="C176" s="438" t="s">
        <v>6</v>
      </c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  <c r="AD176" s="339"/>
      <c r="AE176" s="339"/>
      <c r="AF176" s="339"/>
      <c r="AG176" s="339"/>
      <c r="AH176" s="339"/>
      <c r="AI176" s="324">
        <f t="shared" si="0"/>
        <v>0</v>
      </c>
      <c r="AJ176" s="322"/>
      <c r="AK176" s="322"/>
      <c r="AL176" s="322"/>
      <c r="AM176" s="322"/>
      <c r="AN176" s="322"/>
      <c r="AO176" s="322"/>
      <c r="AP176" s="322"/>
      <c r="AQ176" s="322"/>
      <c r="AR176" s="322"/>
      <c r="AS176" s="322"/>
      <c r="AT176" s="322"/>
      <c r="AU176" s="322"/>
      <c r="AV176" s="322"/>
      <c r="AW176" s="322"/>
    </row>
    <row r="177" spans="1:49" ht="15.75" customHeight="1">
      <c r="A177" s="234">
        <v>2212005022</v>
      </c>
      <c r="B177" s="146" t="s">
        <v>185</v>
      </c>
      <c r="C177" s="438" t="s">
        <v>6</v>
      </c>
      <c r="D177" s="325"/>
      <c r="E177" s="325"/>
      <c r="F177" s="325"/>
      <c r="G177" s="28">
        <v>40</v>
      </c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5"/>
      <c r="AI177" s="324">
        <f t="shared" si="0"/>
        <v>40</v>
      </c>
      <c r="AJ177" s="322"/>
      <c r="AK177" s="322"/>
      <c r="AL177" s="322"/>
      <c r="AM177" s="322"/>
      <c r="AN177" s="322"/>
      <c r="AO177" s="322"/>
      <c r="AP177" s="322"/>
      <c r="AQ177" s="322"/>
      <c r="AR177" s="322"/>
      <c r="AS177" s="322"/>
      <c r="AT177" s="322"/>
      <c r="AU177" s="322"/>
      <c r="AV177" s="322"/>
      <c r="AW177" s="322"/>
    </row>
    <row r="178" spans="1:49" ht="15.75" customHeight="1">
      <c r="A178" s="234">
        <v>2212005023</v>
      </c>
      <c r="B178" s="146" t="s">
        <v>186</v>
      </c>
      <c r="C178" s="438" t="s">
        <v>171</v>
      </c>
      <c r="D178" s="339"/>
      <c r="E178" s="339"/>
      <c r="F178" s="32">
        <v>3</v>
      </c>
      <c r="G178" s="339"/>
      <c r="H178" s="339"/>
      <c r="I178" s="339"/>
      <c r="J178" s="339"/>
      <c r="K178" s="339"/>
      <c r="L178" s="339"/>
      <c r="M178" s="32">
        <v>6</v>
      </c>
      <c r="N178" s="339"/>
      <c r="O178" s="32">
        <v>3</v>
      </c>
      <c r="P178" s="339"/>
      <c r="Q178" s="339"/>
      <c r="R178" s="339"/>
      <c r="S178" s="339"/>
      <c r="T178" s="32">
        <v>3</v>
      </c>
      <c r="U178" s="339"/>
      <c r="V178" s="339"/>
      <c r="W178" s="339"/>
      <c r="X178" s="339"/>
      <c r="Y178" s="339"/>
      <c r="Z178" s="339"/>
      <c r="AA178" s="32">
        <v>3</v>
      </c>
      <c r="AB178" s="32">
        <v>6</v>
      </c>
      <c r="AC178" s="339"/>
      <c r="AD178" s="339"/>
      <c r="AE178" s="339"/>
      <c r="AF178" s="339"/>
      <c r="AG178" s="339"/>
      <c r="AH178" s="32">
        <v>3</v>
      </c>
      <c r="AI178" s="324">
        <f t="shared" si="0"/>
        <v>27</v>
      </c>
      <c r="AJ178" s="322"/>
      <c r="AK178" s="322"/>
      <c r="AL178" s="322"/>
      <c r="AM178" s="322"/>
      <c r="AN178" s="322"/>
      <c r="AO178" s="322"/>
      <c r="AP178" s="322"/>
      <c r="AQ178" s="322"/>
      <c r="AR178" s="322"/>
      <c r="AS178" s="322"/>
      <c r="AT178" s="322"/>
      <c r="AU178" s="322"/>
      <c r="AV178" s="322"/>
      <c r="AW178" s="322"/>
    </row>
    <row r="179" spans="1:49" ht="15.75" customHeight="1">
      <c r="A179" s="234">
        <v>2212005024</v>
      </c>
      <c r="B179" s="146" t="s">
        <v>187</v>
      </c>
      <c r="C179" s="438" t="s">
        <v>171</v>
      </c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28">
        <v>3</v>
      </c>
      <c r="P179" s="325"/>
      <c r="Q179" s="325"/>
      <c r="R179" s="325"/>
      <c r="S179" s="325"/>
      <c r="T179" s="28">
        <v>3</v>
      </c>
      <c r="U179" s="28">
        <v>9</v>
      </c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4">
        <f t="shared" si="0"/>
        <v>15</v>
      </c>
      <c r="AJ179" s="322"/>
      <c r="AK179" s="322"/>
      <c r="AL179" s="322"/>
      <c r="AM179" s="322"/>
      <c r="AN179" s="322"/>
      <c r="AO179" s="322"/>
      <c r="AP179" s="322"/>
      <c r="AQ179" s="322"/>
      <c r="AR179" s="322"/>
      <c r="AS179" s="322"/>
      <c r="AT179" s="322"/>
      <c r="AU179" s="322"/>
      <c r="AV179" s="322"/>
      <c r="AW179" s="322"/>
    </row>
    <row r="180" spans="1:49" ht="15.75" customHeight="1">
      <c r="A180" s="234">
        <v>2212005026</v>
      </c>
      <c r="B180" s="146" t="s">
        <v>188</v>
      </c>
      <c r="C180" s="438" t="s">
        <v>6</v>
      </c>
      <c r="D180" s="339"/>
      <c r="E180" s="339"/>
      <c r="F180" s="339"/>
      <c r="G180" s="32">
        <v>40</v>
      </c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2">
        <v>35</v>
      </c>
      <c r="AB180" s="32">
        <v>40</v>
      </c>
      <c r="AC180" s="339"/>
      <c r="AD180" s="339"/>
      <c r="AE180" s="339"/>
      <c r="AF180" s="339"/>
      <c r="AG180" s="339"/>
      <c r="AH180" s="339"/>
      <c r="AI180" s="324">
        <f t="shared" si="0"/>
        <v>115</v>
      </c>
      <c r="AJ180" s="322"/>
      <c r="AK180" s="322"/>
      <c r="AL180" s="322"/>
      <c r="AM180" s="322"/>
      <c r="AN180" s="322"/>
      <c r="AO180" s="322"/>
      <c r="AP180" s="322"/>
      <c r="AQ180" s="322"/>
      <c r="AR180" s="322"/>
      <c r="AS180" s="322"/>
      <c r="AT180" s="322"/>
      <c r="AU180" s="322"/>
      <c r="AV180" s="322"/>
      <c r="AW180" s="322"/>
    </row>
    <row r="181" spans="1:49" ht="15.75" customHeight="1">
      <c r="A181" s="234">
        <v>2212005027</v>
      </c>
      <c r="B181" s="146" t="s">
        <v>189</v>
      </c>
      <c r="C181" s="438" t="s">
        <v>171</v>
      </c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25"/>
      <c r="AI181" s="324">
        <f t="shared" si="0"/>
        <v>0</v>
      </c>
      <c r="AJ181" s="322"/>
      <c r="AK181" s="322"/>
      <c r="AL181" s="322"/>
      <c r="AM181" s="322"/>
      <c r="AN181" s="322"/>
      <c r="AO181" s="322"/>
      <c r="AP181" s="322"/>
      <c r="AQ181" s="322"/>
      <c r="AR181" s="322"/>
      <c r="AS181" s="322"/>
      <c r="AT181" s="322"/>
      <c r="AU181" s="322"/>
      <c r="AV181" s="322"/>
      <c r="AW181" s="322"/>
    </row>
    <row r="182" spans="1:49" ht="15.75" customHeight="1">
      <c r="A182" s="234">
        <v>2212005028</v>
      </c>
      <c r="B182" s="146" t="s">
        <v>190</v>
      </c>
      <c r="C182" s="438" t="s">
        <v>177</v>
      </c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2">
        <v>2</v>
      </c>
      <c r="O182" s="32">
        <v>2</v>
      </c>
      <c r="P182" s="339"/>
      <c r="Q182" s="339"/>
      <c r="R182" s="339"/>
      <c r="S182" s="339"/>
      <c r="T182" s="32">
        <v>2</v>
      </c>
      <c r="U182" s="32">
        <v>4</v>
      </c>
      <c r="V182" s="339"/>
      <c r="W182" s="339"/>
      <c r="X182" s="339"/>
      <c r="Y182" s="339"/>
      <c r="Z182" s="339"/>
      <c r="AA182" s="339"/>
      <c r="AB182" s="32">
        <v>2</v>
      </c>
      <c r="AC182" s="339"/>
      <c r="AD182" s="339"/>
      <c r="AE182" s="339"/>
      <c r="AF182" s="339"/>
      <c r="AG182" s="339"/>
      <c r="AH182" s="339"/>
      <c r="AI182" s="324">
        <f t="shared" si="0"/>
        <v>12</v>
      </c>
      <c r="AJ182" s="322"/>
      <c r="AK182" s="322"/>
      <c r="AL182" s="322"/>
      <c r="AM182" s="322"/>
      <c r="AN182" s="322"/>
      <c r="AO182" s="322"/>
      <c r="AP182" s="322"/>
      <c r="AQ182" s="322"/>
      <c r="AR182" s="322"/>
      <c r="AS182" s="322"/>
      <c r="AT182" s="322"/>
      <c r="AU182" s="322"/>
      <c r="AV182" s="322"/>
      <c r="AW182" s="322"/>
    </row>
    <row r="183" spans="1:49" ht="15.75" customHeight="1">
      <c r="A183" s="234">
        <v>2212005032</v>
      </c>
      <c r="B183" s="146" t="s">
        <v>191</v>
      </c>
      <c r="C183" s="438" t="s">
        <v>177</v>
      </c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  <c r="AH183" s="325"/>
      <c r="AI183" s="324">
        <f t="shared" si="0"/>
        <v>0</v>
      </c>
      <c r="AJ183" s="322"/>
      <c r="AK183" s="322"/>
      <c r="AL183" s="322"/>
      <c r="AM183" s="322"/>
      <c r="AN183" s="322"/>
      <c r="AO183" s="322"/>
      <c r="AP183" s="322"/>
      <c r="AQ183" s="322"/>
      <c r="AR183" s="322"/>
      <c r="AS183" s="322"/>
      <c r="AT183" s="322"/>
      <c r="AU183" s="322"/>
      <c r="AV183" s="322"/>
      <c r="AW183" s="322"/>
    </row>
    <row r="184" spans="1:49" ht="15.75" customHeight="1">
      <c r="A184" s="234">
        <v>2212005034</v>
      </c>
      <c r="B184" s="146" t="s">
        <v>192</v>
      </c>
      <c r="C184" s="438" t="s">
        <v>6</v>
      </c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  <c r="AD184" s="339"/>
      <c r="AE184" s="339"/>
      <c r="AF184" s="339"/>
      <c r="AG184" s="339"/>
      <c r="AH184" s="339"/>
      <c r="AI184" s="324">
        <f t="shared" si="0"/>
        <v>0</v>
      </c>
      <c r="AJ184" s="322"/>
      <c r="AK184" s="322"/>
      <c r="AL184" s="322"/>
      <c r="AM184" s="322"/>
      <c r="AN184" s="322"/>
      <c r="AO184" s="322"/>
      <c r="AP184" s="322"/>
      <c r="AQ184" s="322"/>
      <c r="AR184" s="322"/>
      <c r="AS184" s="322"/>
      <c r="AT184" s="322"/>
      <c r="AU184" s="322"/>
      <c r="AV184" s="322"/>
      <c r="AW184" s="322"/>
    </row>
    <row r="185" spans="1:49" ht="15.75" customHeight="1">
      <c r="A185" s="234">
        <v>2212005035</v>
      </c>
      <c r="B185" s="146" t="s">
        <v>193</v>
      </c>
      <c r="C185" s="438" t="s">
        <v>8</v>
      </c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  <c r="AH185" s="325"/>
      <c r="AI185" s="324">
        <f t="shared" si="0"/>
        <v>0</v>
      </c>
      <c r="AJ185" s="322"/>
      <c r="AK185" s="322"/>
      <c r="AL185" s="322"/>
      <c r="AM185" s="322"/>
      <c r="AN185" s="322"/>
      <c r="AO185" s="322"/>
      <c r="AP185" s="322"/>
      <c r="AQ185" s="322"/>
      <c r="AR185" s="322"/>
      <c r="AS185" s="322"/>
      <c r="AT185" s="322"/>
      <c r="AU185" s="322"/>
      <c r="AV185" s="322"/>
      <c r="AW185" s="322"/>
    </row>
    <row r="186" spans="1:49" ht="15.75" customHeight="1">
      <c r="A186" s="234">
        <v>2212005037</v>
      </c>
      <c r="B186" s="146" t="s">
        <v>194</v>
      </c>
      <c r="C186" s="438" t="s">
        <v>6</v>
      </c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  <c r="AD186" s="339"/>
      <c r="AE186" s="339"/>
      <c r="AF186" s="339"/>
      <c r="AG186" s="339"/>
      <c r="AH186" s="339"/>
      <c r="AI186" s="324">
        <f t="shared" si="0"/>
        <v>0</v>
      </c>
      <c r="AJ186" s="322"/>
      <c r="AK186" s="322"/>
      <c r="AL186" s="322"/>
      <c r="AM186" s="322"/>
      <c r="AN186" s="322"/>
      <c r="AO186" s="322"/>
      <c r="AP186" s="322"/>
      <c r="AQ186" s="322"/>
      <c r="AR186" s="322"/>
      <c r="AS186" s="322"/>
      <c r="AT186" s="322"/>
      <c r="AU186" s="322"/>
      <c r="AV186" s="322"/>
      <c r="AW186" s="322"/>
    </row>
    <row r="187" spans="1:49" ht="15.75" customHeight="1">
      <c r="A187" s="234">
        <v>2212005038</v>
      </c>
      <c r="B187" s="146" t="s">
        <v>195</v>
      </c>
      <c r="C187" s="438" t="s">
        <v>171</v>
      </c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  <c r="AH187" s="325"/>
      <c r="AI187" s="324">
        <f t="shared" si="0"/>
        <v>0</v>
      </c>
      <c r="AJ187" s="322"/>
      <c r="AK187" s="322"/>
      <c r="AL187" s="322"/>
      <c r="AM187" s="322"/>
      <c r="AN187" s="322"/>
      <c r="AO187" s="322"/>
      <c r="AP187" s="322"/>
      <c r="AQ187" s="322"/>
      <c r="AR187" s="322"/>
      <c r="AS187" s="322"/>
      <c r="AT187" s="322"/>
      <c r="AU187" s="322"/>
      <c r="AV187" s="322"/>
      <c r="AW187" s="322"/>
    </row>
    <row r="188" spans="1:49" ht="15.75" customHeight="1">
      <c r="A188" s="234">
        <v>2212005041</v>
      </c>
      <c r="B188" s="146" t="s">
        <v>196</v>
      </c>
      <c r="C188" s="438" t="s">
        <v>6</v>
      </c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  <c r="AD188" s="339"/>
      <c r="AE188" s="339"/>
      <c r="AF188" s="339"/>
      <c r="AG188" s="339"/>
      <c r="AH188" s="339"/>
      <c r="AI188" s="324">
        <f t="shared" si="0"/>
        <v>0</v>
      </c>
      <c r="AJ188" s="322"/>
      <c r="AK188" s="322"/>
      <c r="AL188" s="322"/>
      <c r="AM188" s="322"/>
      <c r="AN188" s="322"/>
      <c r="AO188" s="322"/>
      <c r="AP188" s="322"/>
      <c r="AQ188" s="322"/>
      <c r="AR188" s="322"/>
      <c r="AS188" s="322"/>
      <c r="AT188" s="322"/>
      <c r="AU188" s="322"/>
      <c r="AV188" s="322"/>
      <c r="AW188" s="322"/>
    </row>
    <row r="189" spans="1:49" ht="15.75" customHeight="1">
      <c r="A189" s="247">
        <v>2212005042</v>
      </c>
      <c r="B189" s="158" t="s">
        <v>197</v>
      </c>
      <c r="C189" s="439" t="s">
        <v>171</v>
      </c>
      <c r="D189" s="325"/>
      <c r="E189" s="325"/>
      <c r="F189" s="28">
        <v>80</v>
      </c>
      <c r="G189" s="28">
        <v>80</v>
      </c>
      <c r="H189" s="325"/>
      <c r="I189" s="325"/>
      <c r="J189" s="325"/>
      <c r="K189" s="325"/>
      <c r="L189" s="325"/>
      <c r="M189" s="28">
        <v>80</v>
      </c>
      <c r="N189" s="28">
        <v>80</v>
      </c>
      <c r="O189" s="28">
        <v>80</v>
      </c>
      <c r="P189" s="325"/>
      <c r="Q189" s="325"/>
      <c r="R189" s="325"/>
      <c r="S189" s="325"/>
      <c r="T189" s="28">
        <v>80</v>
      </c>
      <c r="U189" s="28">
        <v>80</v>
      </c>
      <c r="V189" s="325"/>
      <c r="W189" s="325"/>
      <c r="X189" s="325"/>
      <c r="Y189" s="325"/>
      <c r="Z189" s="325"/>
      <c r="AA189" s="28">
        <v>80</v>
      </c>
      <c r="AB189" s="28">
        <v>80</v>
      </c>
      <c r="AC189" s="325"/>
      <c r="AD189" s="325"/>
      <c r="AE189" s="325"/>
      <c r="AF189" s="325"/>
      <c r="AG189" s="325"/>
      <c r="AH189" s="28">
        <v>80</v>
      </c>
      <c r="AI189" s="324">
        <f t="shared" si="0"/>
        <v>800</v>
      </c>
      <c r="AJ189" s="322"/>
      <c r="AK189" s="322"/>
      <c r="AL189" s="322"/>
      <c r="AM189" s="322"/>
      <c r="AN189" s="322"/>
      <c r="AO189" s="322"/>
      <c r="AP189" s="322"/>
      <c r="AQ189" s="322"/>
      <c r="AR189" s="322"/>
      <c r="AS189" s="322"/>
      <c r="AT189" s="322"/>
      <c r="AU189" s="322"/>
      <c r="AV189" s="322"/>
      <c r="AW189" s="322"/>
    </row>
    <row r="190" spans="1:49" ht="18.75" customHeight="1">
      <c r="A190" s="623" t="s">
        <v>198</v>
      </c>
      <c r="B190" s="606"/>
      <c r="C190" s="607"/>
      <c r="D190" s="440"/>
      <c r="E190" s="440"/>
      <c r="F190" s="440"/>
      <c r="G190" s="440"/>
      <c r="H190" s="440"/>
      <c r="I190" s="440"/>
      <c r="J190" s="440"/>
      <c r="K190" s="440"/>
      <c r="L190" s="440"/>
      <c r="M190" s="440"/>
      <c r="N190" s="440"/>
      <c r="O190" s="440"/>
      <c r="P190" s="440"/>
      <c r="Q190" s="440"/>
      <c r="R190" s="440"/>
      <c r="S190" s="440"/>
      <c r="T190" s="440"/>
      <c r="U190" s="440"/>
      <c r="V190" s="440"/>
      <c r="W190" s="440"/>
      <c r="X190" s="440"/>
      <c r="Y190" s="440"/>
      <c r="Z190" s="440"/>
      <c r="AA190" s="440"/>
      <c r="AB190" s="440"/>
      <c r="AC190" s="440"/>
      <c r="AD190" s="440"/>
      <c r="AE190" s="440"/>
      <c r="AF190" s="440"/>
      <c r="AG190" s="440"/>
      <c r="AH190" s="440"/>
      <c r="AI190" s="131">
        <f t="shared" si="0"/>
        <v>0</v>
      </c>
      <c r="AJ190" s="322"/>
      <c r="AK190" s="322"/>
      <c r="AL190" s="322"/>
      <c r="AM190" s="322"/>
      <c r="AN190" s="322"/>
      <c r="AO190" s="322"/>
      <c r="AP190" s="322"/>
      <c r="AQ190" s="322"/>
      <c r="AR190" s="322"/>
      <c r="AS190" s="322"/>
      <c r="AT190" s="322"/>
      <c r="AU190" s="322"/>
      <c r="AV190" s="322"/>
      <c r="AW190" s="322"/>
    </row>
    <row r="191" spans="1:49" ht="15.75" customHeight="1">
      <c r="A191" s="249">
        <v>2212004041</v>
      </c>
      <c r="B191" s="163" t="s">
        <v>199</v>
      </c>
      <c r="C191" s="441" t="s">
        <v>6</v>
      </c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  <c r="AH191" s="325"/>
      <c r="AI191" s="324">
        <f t="shared" si="0"/>
        <v>0</v>
      </c>
      <c r="AJ191" s="322"/>
      <c r="AK191" s="322"/>
      <c r="AL191" s="322"/>
      <c r="AM191" s="322"/>
      <c r="AN191" s="322"/>
      <c r="AO191" s="322"/>
      <c r="AP191" s="322"/>
      <c r="AQ191" s="322"/>
      <c r="AR191" s="322"/>
      <c r="AS191" s="322"/>
      <c r="AT191" s="322"/>
      <c r="AU191" s="322"/>
      <c r="AV191" s="322"/>
      <c r="AW191" s="322"/>
    </row>
    <row r="192" spans="1:49" ht="15.75" customHeight="1">
      <c r="A192" s="250">
        <v>2212008002</v>
      </c>
      <c r="B192" s="166" t="s">
        <v>200</v>
      </c>
      <c r="C192" s="442" t="s">
        <v>86</v>
      </c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  <c r="AD192" s="339"/>
      <c r="AE192" s="339"/>
      <c r="AF192" s="339"/>
      <c r="AG192" s="339"/>
      <c r="AH192" s="339"/>
      <c r="AI192" s="324">
        <f t="shared" si="0"/>
        <v>0</v>
      </c>
      <c r="AJ192" s="322"/>
      <c r="AK192" s="322"/>
      <c r="AL192" s="322"/>
      <c r="AM192" s="322"/>
      <c r="AN192" s="322"/>
      <c r="AO192" s="322"/>
      <c r="AP192" s="322"/>
      <c r="AQ192" s="322"/>
      <c r="AR192" s="322"/>
      <c r="AS192" s="322"/>
      <c r="AT192" s="322"/>
      <c r="AU192" s="322"/>
      <c r="AV192" s="322"/>
      <c r="AW192" s="322"/>
    </row>
    <row r="193" spans="1:49" ht="15.75" customHeight="1">
      <c r="A193" s="250">
        <v>2212008007</v>
      </c>
      <c r="B193" s="166" t="s">
        <v>201</v>
      </c>
      <c r="C193" s="442" t="s">
        <v>8</v>
      </c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325"/>
      <c r="AI193" s="324">
        <f t="shared" si="0"/>
        <v>0</v>
      </c>
      <c r="AJ193" s="322"/>
      <c r="AK193" s="322"/>
      <c r="AL193" s="322"/>
      <c r="AM193" s="322"/>
      <c r="AN193" s="322"/>
      <c r="AO193" s="322"/>
      <c r="AP193" s="322"/>
      <c r="AQ193" s="322"/>
      <c r="AR193" s="322"/>
      <c r="AS193" s="322"/>
      <c r="AT193" s="322"/>
      <c r="AU193" s="322"/>
      <c r="AV193" s="322"/>
      <c r="AW193" s="322"/>
    </row>
    <row r="194" spans="1:49" ht="15.75" customHeight="1">
      <c r="A194" s="250">
        <v>2212008008</v>
      </c>
      <c r="B194" s="166" t="s">
        <v>202</v>
      </c>
      <c r="C194" s="442" t="s">
        <v>8</v>
      </c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2">
        <v>300</v>
      </c>
      <c r="AC194" s="339"/>
      <c r="AD194" s="339"/>
      <c r="AE194" s="339"/>
      <c r="AF194" s="339"/>
      <c r="AG194" s="339"/>
      <c r="AH194" s="339"/>
      <c r="AI194" s="324">
        <f t="shared" si="0"/>
        <v>300</v>
      </c>
      <c r="AJ194" s="322"/>
      <c r="AK194" s="322"/>
      <c r="AL194" s="322"/>
      <c r="AM194" s="322"/>
      <c r="AN194" s="322"/>
      <c r="AO194" s="322"/>
      <c r="AP194" s="322"/>
      <c r="AQ194" s="322"/>
      <c r="AR194" s="322"/>
      <c r="AS194" s="322"/>
      <c r="AT194" s="322"/>
      <c r="AU194" s="322"/>
      <c r="AV194" s="322"/>
      <c r="AW194" s="322"/>
    </row>
    <row r="195" spans="1:49" ht="15.75" customHeight="1">
      <c r="A195" s="250">
        <v>2212008009</v>
      </c>
      <c r="B195" s="166" t="s">
        <v>203</v>
      </c>
      <c r="C195" s="442" t="s">
        <v>8</v>
      </c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5"/>
      <c r="AI195" s="324">
        <f t="shared" si="0"/>
        <v>0</v>
      </c>
      <c r="AJ195" s="322"/>
      <c r="AK195" s="322"/>
      <c r="AL195" s="322"/>
      <c r="AM195" s="322"/>
      <c r="AN195" s="322"/>
      <c r="AO195" s="322"/>
      <c r="AP195" s="322"/>
      <c r="AQ195" s="322"/>
      <c r="AR195" s="322"/>
      <c r="AS195" s="322"/>
      <c r="AT195" s="322"/>
      <c r="AU195" s="322"/>
      <c r="AV195" s="322"/>
      <c r="AW195" s="322"/>
    </row>
    <row r="196" spans="1:49" ht="15.75" customHeight="1">
      <c r="A196" s="250">
        <v>2212008010</v>
      </c>
      <c r="B196" s="166" t="s">
        <v>204</v>
      </c>
      <c r="C196" s="442" t="s">
        <v>86</v>
      </c>
      <c r="D196" s="339"/>
      <c r="E196" s="339"/>
      <c r="F196" s="32">
        <v>9</v>
      </c>
      <c r="G196" s="32">
        <v>31</v>
      </c>
      <c r="H196" s="339"/>
      <c r="I196" s="339"/>
      <c r="J196" s="339"/>
      <c r="K196" s="339"/>
      <c r="L196" s="339"/>
      <c r="M196" s="32">
        <v>31</v>
      </c>
      <c r="N196" s="32">
        <v>9</v>
      </c>
      <c r="O196" s="32">
        <v>9</v>
      </c>
      <c r="P196" s="339"/>
      <c r="Q196" s="339"/>
      <c r="R196" s="339"/>
      <c r="S196" s="339"/>
      <c r="T196" s="32">
        <v>9</v>
      </c>
      <c r="U196" s="32">
        <v>9</v>
      </c>
      <c r="V196" s="339"/>
      <c r="W196" s="339"/>
      <c r="X196" s="339"/>
      <c r="Y196" s="339"/>
      <c r="Z196" s="339"/>
      <c r="AA196" s="32">
        <v>73</v>
      </c>
      <c r="AB196" s="32">
        <v>9</v>
      </c>
      <c r="AC196" s="339"/>
      <c r="AD196" s="339"/>
      <c r="AE196" s="339"/>
      <c r="AF196" s="339"/>
      <c r="AG196" s="339"/>
      <c r="AH196" s="32">
        <v>9</v>
      </c>
      <c r="AI196" s="324">
        <f t="shared" si="0"/>
        <v>198</v>
      </c>
      <c r="AJ196" s="322"/>
      <c r="AK196" s="322"/>
      <c r="AL196" s="322"/>
      <c r="AM196" s="322"/>
      <c r="AN196" s="322"/>
      <c r="AO196" s="322"/>
      <c r="AP196" s="322"/>
      <c r="AQ196" s="322"/>
      <c r="AR196" s="322"/>
      <c r="AS196" s="322"/>
      <c r="AT196" s="322"/>
      <c r="AU196" s="322"/>
      <c r="AV196" s="322"/>
      <c r="AW196" s="322"/>
    </row>
    <row r="197" spans="1:49" ht="15.75" customHeight="1">
      <c r="A197" s="250">
        <v>2212008011</v>
      </c>
      <c r="B197" s="166" t="s">
        <v>205</v>
      </c>
      <c r="C197" s="442" t="s">
        <v>8</v>
      </c>
      <c r="D197" s="28">
        <v>0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324">
        <f t="shared" si="0"/>
        <v>0</v>
      </c>
      <c r="AJ197" s="322"/>
      <c r="AK197" s="322"/>
      <c r="AL197" s="322"/>
      <c r="AM197" s="322"/>
      <c r="AN197" s="322"/>
      <c r="AO197" s="322"/>
      <c r="AP197" s="322"/>
      <c r="AQ197" s="322"/>
      <c r="AR197" s="322"/>
      <c r="AS197" s="322"/>
      <c r="AT197" s="322"/>
      <c r="AU197" s="322"/>
      <c r="AV197" s="322"/>
      <c r="AW197" s="322"/>
    </row>
    <row r="198" spans="1:49" ht="15.75" customHeight="1">
      <c r="A198" s="250">
        <v>2212008012</v>
      </c>
      <c r="B198" s="166" t="s">
        <v>206</v>
      </c>
      <c r="C198" s="442" t="s">
        <v>6</v>
      </c>
      <c r="D198" s="28">
        <v>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324">
        <f t="shared" si="0"/>
        <v>0</v>
      </c>
      <c r="AJ198" s="322"/>
      <c r="AK198" s="322"/>
      <c r="AL198" s="322"/>
      <c r="AM198" s="322"/>
      <c r="AN198" s="322"/>
      <c r="AO198" s="322"/>
      <c r="AP198" s="322"/>
      <c r="AQ198" s="322"/>
      <c r="AR198" s="322"/>
      <c r="AS198" s="322"/>
      <c r="AT198" s="322"/>
      <c r="AU198" s="322"/>
      <c r="AV198" s="322"/>
      <c r="AW198" s="322"/>
    </row>
    <row r="199" spans="1:49" ht="15.75" customHeight="1">
      <c r="A199" s="250">
        <v>2212008013</v>
      </c>
      <c r="B199" s="166" t="s">
        <v>207</v>
      </c>
      <c r="C199" s="442" t="s">
        <v>86</v>
      </c>
      <c r="D199" s="28">
        <v>0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324">
        <f t="shared" si="0"/>
        <v>0</v>
      </c>
      <c r="AJ199" s="322"/>
      <c r="AK199" s="322"/>
      <c r="AL199" s="322"/>
      <c r="AM199" s="322"/>
      <c r="AN199" s="322"/>
      <c r="AO199" s="322"/>
      <c r="AP199" s="322"/>
      <c r="AQ199" s="322"/>
      <c r="AR199" s="322"/>
      <c r="AS199" s="322"/>
      <c r="AT199" s="322"/>
      <c r="AU199" s="322"/>
      <c r="AV199" s="322"/>
      <c r="AW199" s="322"/>
    </row>
    <row r="200" spans="1:49" ht="15.75" customHeight="1">
      <c r="A200" s="250">
        <v>2212008014</v>
      </c>
      <c r="B200" s="166" t="s">
        <v>208</v>
      </c>
      <c r="C200" s="442" t="s">
        <v>86</v>
      </c>
      <c r="D200" s="28">
        <v>0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324">
        <f t="shared" si="0"/>
        <v>0</v>
      </c>
      <c r="AJ200" s="322"/>
      <c r="AK200" s="322"/>
      <c r="AL200" s="322"/>
      <c r="AM200" s="322"/>
      <c r="AN200" s="322"/>
      <c r="AO200" s="322"/>
      <c r="AP200" s="322"/>
      <c r="AQ200" s="322"/>
      <c r="AR200" s="322"/>
      <c r="AS200" s="322"/>
      <c r="AT200" s="322"/>
      <c r="AU200" s="322"/>
      <c r="AV200" s="322"/>
      <c r="AW200" s="322"/>
    </row>
    <row r="201" spans="1:49" ht="15.75" customHeight="1">
      <c r="A201" s="250">
        <v>2212008015</v>
      </c>
      <c r="B201" s="166" t="s">
        <v>209</v>
      </c>
      <c r="C201" s="442" t="s">
        <v>86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324">
        <f t="shared" si="0"/>
        <v>0</v>
      </c>
      <c r="AJ201" s="322"/>
      <c r="AK201" s="322"/>
      <c r="AL201" s="322"/>
      <c r="AM201" s="322"/>
      <c r="AN201" s="322"/>
      <c r="AO201" s="322"/>
      <c r="AP201" s="322"/>
      <c r="AQ201" s="322"/>
      <c r="AR201" s="322"/>
      <c r="AS201" s="322"/>
      <c r="AT201" s="322"/>
      <c r="AU201" s="322"/>
      <c r="AV201" s="322"/>
      <c r="AW201" s="322"/>
    </row>
    <row r="202" spans="1:49" ht="15.75" customHeight="1">
      <c r="A202" s="250">
        <v>2212008016</v>
      </c>
      <c r="B202" s="166" t="s">
        <v>210</v>
      </c>
      <c r="C202" s="442" t="s">
        <v>8</v>
      </c>
      <c r="D202" s="28">
        <v>0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324">
        <f t="shared" si="0"/>
        <v>0</v>
      </c>
      <c r="AJ202" s="322"/>
      <c r="AK202" s="322"/>
      <c r="AL202" s="322"/>
      <c r="AM202" s="322"/>
      <c r="AN202" s="322"/>
      <c r="AO202" s="322"/>
      <c r="AP202" s="322"/>
      <c r="AQ202" s="322"/>
      <c r="AR202" s="322"/>
      <c r="AS202" s="322"/>
      <c r="AT202" s="322"/>
      <c r="AU202" s="322"/>
      <c r="AV202" s="322"/>
      <c r="AW202" s="322"/>
    </row>
    <row r="203" spans="1:49" ht="15.75" customHeight="1">
      <c r="A203" s="250">
        <v>2212008017</v>
      </c>
      <c r="B203" s="166" t="s">
        <v>211</v>
      </c>
      <c r="C203" s="442" t="s">
        <v>8</v>
      </c>
      <c r="D203" s="28">
        <v>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324">
        <f t="shared" si="0"/>
        <v>0</v>
      </c>
      <c r="AJ203" s="322"/>
      <c r="AK203" s="322"/>
      <c r="AL203" s="322"/>
      <c r="AM203" s="322"/>
      <c r="AN203" s="322"/>
      <c r="AO203" s="322"/>
      <c r="AP203" s="322"/>
      <c r="AQ203" s="322"/>
      <c r="AR203" s="322"/>
      <c r="AS203" s="322"/>
      <c r="AT203" s="322"/>
      <c r="AU203" s="322"/>
      <c r="AV203" s="322"/>
      <c r="AW203" s="322"/>
    </row>
    <row r="204" spans="1:49" ht="15.75" customHeight="1">
      <c r="A204" s="250">
        <v>2212008018</v>
      </c>
      <c r="B204" s="166" t="s">
        <v>212</v>
      </c>
      <c r="C204" s="442" t="s">
        <v>8</v>
      </c>
      <c r="D204" s="28">
        <v>0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324">
        <f t="shared" si="0"/>
        <v>0</v>
      </c>
      <c r="AJ204" s="322"/>
      <c r="AK204" s="322"/>
      <c r="AL204" s="322"/>
      <c r="AM204" s="322"/>
      <c r="AN204" s="322"/>
      <c r="AO204" s="322"/>
      <c r="AP204" s="322"/>
      <c r="AQ204" s="322"/>
      <c r="AR204" s="322"/>
      <c r="AS204" s="322"/>
      <c r="AT204" s="322"/>
      <c r="AU204" s="322"/>
      <c r="AV204" s="322"/>
      <c r="AW204" s="322"/>
    </row>
    <row r="205" spans="1:49" ht="15.75" customHeight="1">
      <c r="A205" s="250">
        <v>2212008020</v>
      </c>
      <c r="B205" s="166" t="s">
        <v>213</v>
      </c>
      <c r="C205" s="442" t="s">
        <v>6</v>
      </c>
      <c r="D205" s="28">
        <v>0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324">
        <f t="shared" si="0"/>
        <v>0</v>
      </c>
      <c r="AJ205" s="322"/>
      <c r="AK205" s="322"/>
      <c r="AL205" s="322"/>
      <c r="AM205" s="322"/>
      <c r="AN205" s="322"/>
      <c r="AO205" s="322"/>
      <c r="AP205" s="322"/>
      <c r="AQ205" s="322"/>
      <c r="AR205" s="322"/>
      <c r="AS205" s="322"/>
      <c r="AT205" s="322"/>
      <c r="AU205" s="322"/>
      <c r="AV205" s="322"/>
      <c r="AW205" s="322"/>
    </row>
    <row r="206" spans="1:49" ht="15.75" customHeight="1">
      <c r="A206" s="250">
        <v>2212008021</v>
      </c>
      <c r="B206" s="166" t="s">
        <v>214</v>
      </c>
      <c r="C206" s="442" t="s">
        <v>6</v>
      </c>
      <c r="D206" s="28">
        <v>0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324">
        <f t="shared" si="0"/>
        <v>0</v>
      </c>
      <c r="AJ206" s="322"/>
      <c r="AK206" s="322"/>
      <c r="AL206" s="322"/>
      <c r="AM206" s="322"/>
      <c r="AN206" s="322"/>
      <c r="AO206" s="322"/>
      <c r="AP206" s="322"/>
      <c r="AQ206" s="322"/>
      <c r="AR206" s="322"/>
      <c r="AS206" s="322"/>
      <c r="AT206" s="322"/>
      <c r="AU206" s="322"/>
      <c r="AV206" s="322"/>
      <c r="AW206" s="322"/>
    </row>
    <row r="207" spans="1:49" ht="15.75" customHeight="1">
      <c r="A207" s="250">
        <v>2212008022</v>
      </c>
      <c r="B207" s="166" t="s">
        <v>215</v>
      </c>
      <c r="C207" s="442" t="s">
        <v>8</v>
      </c>
      <c r="D207" s="28">
        <v>0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324">
        <f t="shared" si="0"/>
        <v>0</v>
      </c>
      <c r="AJ207" s="322"/>
      <c r="AK207" s="322"/>
      <c r="AL207" s="322"/>
      <c r="AM207" s="322"/>
      <c r="AN207" s="322"/>
      <c r="AO207" s="322"/>
      <c r="AP207" s="322"/>
      <c r="AQ207" s="322"/>
      <c r="AR207" s="322"/>
      <c r="AS207" s="322"/>
      <c r="AT207" s="322"/>
      <c r="AU207" s="322"/>
      <c r="AV207" s="322"/>
      <c r="AW207" s="322"/>
    </row>
    <row r="208" spans="1:49" ht="15.75" customHeight="1">
      <c r="A208" s="250">
        <v>2212008023</v>
      </c>
      <c r="B208" s="166" t="s">
        <v>216</v>
      </c>
      <c r="C208" s="442" t="s">
        <v>6</v>
      </c>
      <c r="D208" s="32">
        <v>0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12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32">
        <v>0</v>
      </c>
      <c r="AI208" s="324">
        <f t="shared" si="0"/>
        <v>12</v>
      </c>
      <c r="AJ208" s="322"/>
      <c r="AK208" s="322"/>
      <c r="AL208" s="322"/>
      <c r="AM208" s="322"/>
      <c r="AN208" s="322"/>
      <c r="AO208" s="322"/>
      <c r="AP208" s="322"/>
      <c r="AQ208" s="322"/>
      <c r="AR208" s="322"/>
      <c r="AS208" s="322"/>
      <c r="AT208" s="322"/>
      <c r="AU208" s="322"/>
      <c r="AV208" s="322"/>
      <c r="AW208" s="322"/>
    </row>
    <row r="209" spans="1:49" ht="15.75" customHeight="1">
      <c r="A209" s="250">
        <v>2212008024</v>
      </c>
      <c r="B209" s="166" t="s">
        <v>217</v>
      </c>
      <c r="C209" s="442" t="s">
        <v>86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324">
        <f t="shared" si="0"/>
        <v>0</v>
      </c>
      <c r="AJ209" s="322"/>
      <c r="AK209" s="322"/>
      <c r="AL209" s="322"/>
      <c r="AM209" s="322"/>
      <c r="AN209" s="322"/>
      <c r="AO209" s="322"/>
      <c r="AP209" s="322"/>
      <c r="AQ209" s="322"/>
      <c r="AR209" s="322"/>
      <c r="AS209" s="322"/>
      <c r="AT209" s="322"/>
      <c r="AU209" s="322"/>
      <c r="AV209" s="322"/>
      <c r="AW209" s="322"/>
    </row>
    <row r="210" spans="1:49" ht="15.75" customHeight="1">
      <c r="A210" s="250">
        <v>2212008025</v>
      </c>
      <c r="B210" s="166" t="s">
        <v>218</v>
      </c>
      <c r="C210" s="442" t="s">
        <v>219</v>
      </c>
      <c r="D210" s="32">
        <v>0</v>
      </c>
      <c r="E210" s="32">
        <v>0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  <c r="AD210" s="32">
        <v>0</v>
      </c>
      <c r="AE210" s="32">
        <v>0</v>
      </c>
      <c r="AF210" s="32">
        <v>0</v>
      </c>
      <c r="AG210" s="32">
        <v>0</v>
      </c>
      <c r="AH210" s="32">
        <v>0</v>
      </c>
      <c r="AI210" s="324">
        <f t="shared" si="0"/>
        <v>0</v>
      </c>
      <c r="AJ210" s="322"/>
      <c r="AK210" s="322"/>
      <c r="AL210" s="322"/>
      <c r="AM210" s="322"/>
      <c r="AN210" s="322"/>
      <c r="AO210" s="322"/>
      <c r="AP210" s="322"/>
      <c r="AQ210" s="322"/>
      <c r="AR210" s="322"/>
      <c r="AS210" s="322"/>
      <c r="AT210" s="322"/>
      <c r="AU210" s="322"/>
      <c r="AV210" s="322"/>
      <c r="AW210" s="322"/>
    </row>
    <row r="211" spans="1:49" ht="15.75" customHeight="1">
      <c r="A211" s="250">
        <v>2212008026</v>
      </c>
      <c r="B211" s="166" t="s">
        <v>220</v>
      </c>
      <c r="C211" s="442" t="s">
        <v>8</v>
      </c>
      <c r="D211" s="32">
        <v>0</v>
      </c>
      <c r="E211" s="32">
        <v>0</v>
      </c>
      <c r="F211" s="32">
        <v>0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324">
        <f t="shared" si="0"/>
        <v>0</v>
      </c>
      <c r="AJ211" s="322"/>
      <c r="AK211" s="322"/>
      <c r="AL211" s="322"/>
      <c r="AM211" s="322"/>
      <c r="AN211" s="322"/>
      <c r="AO211" s="322"/>
      <c r="AP211" s="322"/>
      <c r="AQ211" s="322"/>
      <c r="AR211" s="322"/>
      <c r="AS211" s="322"/>
      <c r="AT211" s="322"/>
      <c r="AU211" s="322"/>
      <c r="AV211" s="322"/>
      <c r="AW211" s="322"/>
    </row>
    <row r="212" spans="1:49" ht="15.75" customHeight="1">
      <c r="A212" s="250">
        <v>2212008028</v>
      </c>
      <c r="B212" s="166" t="s">
        <v>221</v>
      </c>
      <c r="C212" s="442" t="s">
        <v>8</v>
      </c>
      <c r="D212" s="32">
        <v>0</v>
      </c>
      <c r="E212" s="32">
        <v>0</v>
      </c>
      <c r="F212" s="32">
        <v>0</v>
      </c>
      <c r="G212" s="32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32">
        <v>0</v>
      </c>
      <c r="AB212" s="32">
        <v>0</v>
      </c>
      <c r="AC212" s="32">
        <v>0</v>
      </c>
      <c r="AD212" s="32">
        <v>0</v>
      </c>
      <c r="AE212" s="32">
        <v>0</v>
      </c>
      <c r="AF212" s="32">
        <v>0</v>
      </c>
      <c r="AG212" s="32">
        <v>0</v>
      </c>
      <c r="AH212" s="32">
        <v>0</v>
      </c>
      <c r="AI212" s="324">
        <f t="shared" si="0"/>
        <v>0</v>
      </c>
      <c r="AJ212" s="322"/>
      <c r="AK212" s="322"/>
      <c r="AL212" s="322"/>
      <c r="AM212" s="322"/>
      <c r="AN212" s="322"/>
      <c r="AO212" s="322"/>
      <c r="AP212" s="322"/>
      <c r="AQ212" s="322"/>
      <c r="AR212" s="322"/>
      <c r="AS212" s="322"/>
      <c r="AT212" s="322"/>
      <c r="AU212" s="322"/>
      <c r="AV212" s="322"/>
      <c r="AW212" s="322"/>
    </row>
    <row r="213" spans="1:49" ht="15.75" customHeight="1">
      <c r="A213" s="250">
        <v>2212008029</v>
      </c>
      <c r="B213" s="166" t="s">
        <v>222</v>
      </c>
      <c r="C213" s="442" t="s">
        <v>8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324">
        <f t="shared" si="0"/>
        <v>0</v>
      </c>
      <c r="AJ213" s="322"/>
      <c r="AK213" s="322"/>
      <c r="AL213" s="322"/>
      <c r="AM213" s="322"/>
      <c r="AN213" s="322"/>
      <c r="AO213" s="322"/>
      <c r="AP213" s="322"/>
      <c r="AQ213" s="322"/>
      <c r="AR213" s="322"/>
      <c r="AS213" s="322"/>
      <c r="AT213" s="322"/>
      <c r="AU213" s="322"/>
      <c r="AV213" s="322"/>
      <c r="AW213" s="322"/>
    </row>
    <row r="214" spans="1:49" ht="15.75" customHeight="1">
      <c r="A214" s="262">
        <v>2212008031</v>
      </c>
      <c r="B214" s="177" t="s">
        <v>223</v>
      </c>
      <c r="C214" s="443" t="s">
        <v>8</v>
      </c>
      <c r="D214" s="32">
        <v>0</v>
      </c>
      <c r="E214" s="32">
        <v>0</v>
      </c>
      <c r="F214" s="32">
        <v>0</v>
      </c>
      <c r="G214" s="32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32">
        <v>0</v>
      </c>
      <c r="AC214" s="32">
        <v>0</v>
      </c>
      <c r="AD214" s="32">
        <v>0</v>
      </c>
      <c r="AE214" s="32">
        <v>0</v>
      </c>
      <c r="AF214" s="32">
        <v>0</v>
      </c>
      <c r="AG214" s="32">
        <v>0</v>
      </c>
      <c r="AH214" s="32">
        <v>0</v>
      </c>
      <c r="AI214" s="324">
        <f t="shared" si="0"/>
        <v>0</v>
      </c>
      <c r="AJ214" s="322"/>
      <c r="AK214" s="322"/>
      <c r="AL214" s="322"/>
      <c r="AM214" s="322"/>
      <c r="AN214" s="322"/>
      <c r="AO214" s="322"/>
      <c r="AP214" s="322"/>
      <c r="AQ214" s="322"/>
      <c r="AR214" s="322"/>
      <c r="AS214" s="322"/>
      <c r="AT214" s="322"/>
      <c r="AU214" s="322"/>
      <c r="AV214" s="322"/>
      <c r="AW214" s="322"/>
    </row>
    <row r="215" spans="1:49" ht="15.75" customHeight="1">
      <c r="A215" s="250">
        <v>2212008032</v>
      </c>
      <c r="B215" s="166" t="s">
        <v>224</v>
      </c>
      <c r="C215" s="442" t="s">
        <v>8</v>
      </c>
      <c r="D215" s="32">
        <v>0</v>
      </c>
      <c r="E215" s="32">
        <v>0</v>
      </c>
      <c r="F215" s="32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324">
        <f t="shared" si="0"/>
        <v>0</v>
      </c>
      <c r="AJ215" s="322"/>
      <c r="AK215" s="322"/>
      <c r="AL215" s="322"/>
      <c r="AM215" s="322"/>
      <c r="AN215" s="322"/>
      <c r="AO215" s="322"/>
      <c r="AP215" s="322"/>
      <c r="AQ215" s="322"/>
      <c r="AR215" s="322"/>
      <c r="AS215" s="322"/>
      <c r="AT215" s="322"/>
      <c r="AU215" s="322"/>
      <c r="AV215" s="322"/>
      <c r="AW215" s="322"/>
    </row>
    <row r="216" spans="1:49" ht="15.75" customHeight="1">
      <c r="A216" s="250">
        <v>2212008033</v>
      </c>
      <c r="B216" s="166" t="s">
        <v>225</v>
      </c>
      <c r="C216" s="442" t="s">
        <v>8</v>
      </c>
      <c r="D216" s="32">
        <v>0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32">
        <v>0</v>
      </c>
      <c r="AI216" s="324">
        <f t="shared" si="0"/>
        <v>0</v>
      </c>
      <c r="AJ216" s="322"/>
      <c r="AK216" s="322"/>
      <c r="AL216" s="322"/>
      <c r="AM216" s="322"/>
      <c r="AN216" s="322"/>
      <c r="AO216" s="322"/>
      <c r="AP216" s="322"/>
      <c r="AQ216" s="322"/>
      <c r="AR216" s="322"/>
      <c r="AS216" s="322"/>
      <c r="AT216" s="322"/>
      <c r="AU216" s="322"/>
      <c r="AV216" s="322"/>
      <c r="AW216" s="322"/>
    </row>
    <row r="217" spans="1:49" ht="15.75" customHeight="1">
      <c r="A217" s="250">
        <v>2212008034</v>
      </c>
      <c r="B217" s="166" t="s">
        <v>226</v>
      </c>
      <c r="C217" s="442" t="s">
        <v>6</v>
      </c>
      <c r="D217" s="32">
        <v>0</v>
      </c>
      <c r="E217" s="32">
        <v>0</v>
      </c>
      <c r="F217" s="32">
        <v>0</v>
      </c>
      <c r="G217" s="32">
        <v>0</v>
      </c>
      <c r="H217" s="32">
        <v>0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324">
        <f t="shared" si="0"/>
        <v>0</v>
      </c>
      <c r="AJ217" s="322"/>
      <c r="AK217" s="322"/>
      <c r="AL217" s="322"/>
      <c r="AM217" s="322"/>
      <c r="AN217" s="322"/>
      <c r="AO217" s="322"/>
      <c r="AP217" s="322"/>
      <c r="AQ217" s="322"/>
      <c r="AR217" s="322"/>
      <c r="AS217" s="322"/>
      <c r="AT217" s="322"/>
      <c r="AU217" s="322"/>
      <c r="AV217" s="322"/>
      <c r="AW217" s="322"/>
    </row>
    <row r="218" spans="1:49" ht="15.75" customHeight="1">
      <c r="A218" s="250">
        <v>2212008035</v>
      </c>
      <c r="B218" s="166" t="s">
        <v>227</v>
      </c>
      <c r="C218" s="442" t="s">
        <v>6</v>
      </c>
      <c r="D218" s="32">
        <v>0</v>
      </c>
      <c r="E218" s="32">
        <v>0</v>
      </c>
      <c r="F218" s="32">
        <v>93</v>
      </c>
      <c r="G218" s="32">
        <v>75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75</v>
      </c>
      <c r="N218" s="32">
        <v>93</v>
      </c>
      <c r="O218" s="32">
        <v>93</v>
      </c>
      <c r="P218" s="32">
        <v>0</v>
      </c>
      <c r="Q218" s="32">
        <v>0</v>
      </c>
      <c r="R218" s="32">
        <v>0</v>
      </c>
      <c r="S218" s="32">
        <v>0</v>
      </c>
      <c r="T218" s="32">
        <v>93</v>
      </c>
      <c r="U218" s="32">
        <v>93</v>
      </c>
      <c r="V218" s="32">
        <v>0</v>
      </c>
      <c r="W218" s="32">
        <v>0</v>
      </c>
      <c r="X218" s="32">
        <v>0</v>
      </c>
      <c r="Y218" s="32">
        <v>0</v>
      </c>
      <c r="Z218" s="32">
        <v>0</v>
      </c>
      <c r="AA218" s="32">
        <v>48</v>
      </c>
      <c r="AB218" s="32">
        <v>64</v>
      </c>
      <c r="AC218" s="32">
        <v>0</v>
      </c>
      <c r="AD218" s="32">
        <v>0</v>
      </c>
      <c r="AE218" s="32">
        <v>0</v>
      </c>
      <c r="AF218" s="32">
        <v>0</v>
      </c>
      <c r="AG218" s="32">
        <v>0</v>
      </c>
      <c r="AH218" s="32">
        <v>93</v>
      </c>
      <c r="AI218" s="324">
        <f t="shared" si="0"/>
        <v>820</v>
      </c>
      <c r="AJ218" s="322"/>
      <c r="AK218" s="322"/>
      <c r="AL218" s="322"/>
      <c r="AM218" s="322"/>
      <c r="AN218" s="322"/>
      <c r="AO218" s="322"/>
      <c r="AP218" s="322"/>
      <c r="AQ218" s="322"/>
      <c r="AR218" s="322"/>
      <c r="AS218" s="322"/>
      <c r="AT218" s="322"/>
      <c r="AU218" s="322"/>
      <c r="AV218" s="322"/>
      <c r="AW218" s="322"/>
    </row>
    <row r="219" spans="1:49" ht="15.75" customHeight="1">
      <c r="A219" s="250">
        <v>2212008037</v>
      </c>
      <c r="B219" s="166" t="s">
        <v>228</v>
      </c>
      <c r="C219" s="442" t="s">
        <v>8</v>
      </c>
      <c r="D219" s="28">
        <v>0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324">
        <f t="shared" si="0"/>
        <v>0</v>
      </c>
      <c r="AJ219" s="322"/>
      <c r="AK219" s="322"/>
      <c r="AL219" s="322"/>
      <c r="AM219" s="322"/>
      <c r="AN219" s="322"/>
      <c r="AO219" s="322"/>
      <c r="AP219" s="322"/>
      <c r="AQ219" s="322"/>
      <c r="AR219" s="322"/>
      <c r="AS219" s="322"/>
      <c r="AT219" s="322"/>
      <c r="AU219" s="322"/>
      <c r="AV219" s="322"/>
      <c r="AW219" s="322"/>
    </row>
    <row r="220" spans="1:49" ht="15.75" customHeight="1">
      <c r="A220" s="250">
        <v>2212008039</v>
      </c>
      <c r="B220" s="166" t="s">
        <v>229</v>
      </c>
      <c r="C220" s="442" t="s">
        <v>8</v>
      </c>
      <c r="D220" s="28">
        <v>0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32">
        <v>0</v>
      </c>
      <c r="AI220" s="324">
        <f t="shared" si="0"/>
        <v>0</v>
      </c>
      <c r="AJ220" s="322"/>
      <c r="AK220" s="322"/>
      <c r="AL220" s="322"/>
      <c r="AM220" s="322"/>
      <c r="AN220" s="322"/>
      <c r="AO220" s="322"/>
      <c r="AP220" s="322"/>
      <c r="AQ220" s="322"/>
      <c r="AR220" s="322"/>
      <c r="AS220" s="322"/>
      <c r="AT220" s="322"/>
      <c r="AU220" s="322"/>
      <c r="AV220" s="322"/>
      <c r="AW220" s="322"/>
    </row>
    <row r="221" spans="1:49" ht="15.75" customHeight="1">
      <c r="A221" s="250">
        <v>2212008040</v>
      </c>
      <c r="B221" s="166" t="s">
        <v>230</v>
      </c>
      <c r="C221" s="442" t="s">
        <v>6</v>
      </c>
      <c r="D221" s="28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324">
        <f t="shared" si="0"/>
        <v>0</v>
      </c>
      <c r="AJ221" s="322"/>
      <c r="AK221" s="322"/>
      <c r="AL221" s="322"/>
      <c r="AM221" s="322"/>
      <c r="AN221" s="322"/>
      <c r="AO221" s="322"/>
      <c r="AP221" s="322"/>
      <c r="AQ221" s="322"/>
      <c r="AR221" s="322"/>
      <c r="AS221" s="322"/>
      <c r="AT221" s="322"/>
      <c r="AU221" s="322"/>
      <c r="AV221" s="322"/>
      <c r="AW221" s="322"/>
    </row>
    <row r="222" spans="1:49" ht="15.75" customHeight="1">
      <c r="A222" s="250">
        <v>2212008042</v>
      </c>
      <c r="B222" s="166" t="s">
        <v>231</v>
      </c>
      <c r="C222" s="442" t="s">
        <v>8</v>
      </c>
      <c r="D222" s="28">
        <v>0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32">
        <v>0</v>
      </c>
      <c r="AI222" s="324">
        <f t="shared" si="0"/>
        <v>0</v>
      </c>
      <c r="AJ222" s="322"/>
      <c r="AK222" s="322"/>
      <c r="AL222" s="322"/>
      <c r="AM222" s="322"/>
      <c r="AN222" s="322"/>
      <c r="AO222" s="322"/>
      <c r="AP222" s="322"/>
      <c r="AQ222" s="322"/>
      <c r="AR222" s="322"/>
      <c r="AS222" s="322"/>
      <c r="AT222" s="322"/>
      <c r="AU222" s="322"/>
      <c r="AV222" s="322"/>
      <c r="AW222" s="322"/>
    </row>
    <row r="223" spans="1:49" ht="15.75" customHeight="1">
      <c r="A223" s="250">
        <v>2212008045</v>
      </c>
      <c r="B223" s="166" t="s">
        <v>232</v>
      </c>
      <c r="C223" s="442" t="s">
        <v>8</v>
      </c>
      <c r="D223" s="28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324">
        <f t="shared" si="0"/>
        <v>0</v>
      </c>
      <c r="AJ223" s="322"/>
      <c r="AK223" s="322"/>
      <c r="AL223" s="322"/>
      <c r="AM223" s="322"/>
      <c r="AN223" s="322"/>
      <c r="AO223" s="322"/>
      <c r="AP223" s="322"/>
      <c r="AQ223" s="322"/>
      <c r="AR223" s="322"/>
      <c r="AS223" s="322"/>
      <c r="AT223" s="322"/>
      <c r="AU223" s="322"/>
      <c r="AV223" s="322"/>
      <c r="AW223" s="322"/>
    </row>
    <row r="224" spans="1:49" ht="15.75" customHeight="1">
      <c r="A224" s="268">
        <v>2212004045</v>
      </c>
      <c r="B224" s="185" t="s">
        <v>233</v>
      </c>
      <c r="C224" s="444" t="s">
        <v>6</v>
      </c>
      <c r="D224" s="28">
        <v>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32">
        <v>0</v>
      </c>
      <c r="AI224" s="324">
        <f t="shared" si="0"/>
        <v>0</v>
      </c>
      <c r="AJ224" s="322"/>
      <c r="AK224" s="322"/>
      <c r="AL224" s="322"/>
      <c r="AM224" s="322"/>
      <c r="AN224" s="322"/>
      <c r="AO224" s="322"/>
      <c r="AP224" s="322"/>
      <c r="AQ224" s="322"/>
      <c r="AR224" s="322"/>
      <c r="AS224" s="322"/>
      <c r="AT224" s="322"/>
      <c r="AU224" s="322"/>
      <c r="AV224" s="322"/>
      <c r="AW224" s="322"/>
    </row>
    <row r="225" spans="1:49" ht="18.75" customHeight="1">
      <c r="A225" s="624" t="s">
        <v>234</v>
      </c>
      <c r="B225" s="606"/>
      <c r="C225" s="607"/>
      <c r="D225" s="445"/>
      <c r="E225" s="445"/>
      <c r="F225" s="445"/>
      <c r="G225" s="445"/>
      <c r="H225" s="445"/>
      <c r="I225" s="445"/>
      <c r="J225" s="445"/>
      <c r="K225" s="445"/>
      <c r="L225" s="445"/>
      <c r="M225" s="445"/>
      <c r="N225" s="445"/>
      <c r="O225" s="445"/>
      <c r="P225" s="445"/>
      <c r="Q225" s="445"/>
      <c r="R225" s="445"/>
      <c r="S225" s="445"/>
      <c r="T225" s="445"/>
      <c r="U225" s="445"/>
      <c r="V225" s="445"/>
      <c r="W225" s="445"/>
      <c r="X225" s="445"/>
      <c r="Y225" s="445"/>
      <c r="Z225" s="445"/>
      <c r="AA225" s="445"/>
      <c r="AB225" s="445"/>
      <c r="AC225" s="445"/>
      <c r="AD225" s="445"/>
      <c r="AE225" s="445"/>
      <c r="AF225" s="445"/>
      <c r="AG225" s="445"/>
      <c r="AH225" s="445"/>
      <c r="AI225" s="131">
        <f t="shared" si="0"/>
        <v>0</v>
      </c>
      <c r="AJ225" s="322"/>
      <c r="AK225" s="322"/>
      <c r="AL225" s="322"/>
      <c r="AM225" s="322"/>
      <c r="AN225" s="322"/>
      <c r="AO225" s="322"/>
      <c r="AP225" s="322"/>
      <c r="AQ225" s="322"/>
      <c r="AR225" s="322"/>
      <c r="AS225" s="322"/>
      <c r="AT225" s="322"/>
      <c r="AU225" s="322"/>
      <c r="AV225" s="322"/>
      <c r="AW225" s="322"/>
    </row>
    <row r="226" spans="1:49" ht="15.75" customHeight="1">
      <c r="A226" s="269">
        <v>2212009002</v>
      </c>
      <c r="B226" s="191" t="s">
        <v>235</v>
      </c>
      <c r="C226" s="447" t="s">
        <v>6</v>
      </c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  <c r="AD226" s="339"/>
      <c r="AE226" s="339"/>
      <c r="AF226" s="339"/>
      <c r="AG226" s="339"/>
      <c r="AH226" s="339"/>
      <c r="AI226" s="324">
        <f t="shared" si="0"/>
        <v>0</v>
      </c>
      <c r="AJ226" s="322"/>
      <c r="AK226" s="322"/>
      <c r="AL226" s="322"/>
      <c r="AM226" s="322"/>
      <c r="AN226" s="322"/>
      <c r="AO226" s="322"/>
      <c r="AP226" s="322"/>
      <c r="AQ226" s="322"/>
      <c r="AR226" s="322"/>
      <c r="AS226" s="322"/>
      <c r="AT226" s="322"/>
      <c r="AU226" s="322"/>
      <c r="AV226" s="322"/>
      <c r="AW226" s="322"/>
    </row>
    <row r="227" spans="1:49" ht="15.75" customHeight="1">
      <c r="A227" s="272">
        <v>2212009004</v>
      </c>
      <c r="B227" s="195" t="s">
        <v>236</v>
      </c>
      <c r="C227" s="448" t="s">
        <v>6</v>
      </c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  <c r="AH227" s="325"/>
      <c r="AI227" s="324">
        <f t="shared" si="0"/>
        <v>0</v>
      </c>
      <c r="AJ227" s="322"/>
      <c r="AK227" s="322"/>
      <c r="AL227" s="322"/>
      <c r="AM227" s="322"/>
      <c r="AN227" s="322"/>
      <c r="AO227" s="322"/>
      <c r="AP227" s="322"/>
      <c r="AQ227" s="322"/>
      <c r="AR227" s="322"/>
      <c r="AS227" s="322"/>
      <c r="AT227" s="322"/>
      <c r="AU227" s="322"/>
      <c r="AV227" s="322"/>
      <c r="AW227" s="322"/>
    </row>
    <row r="228" spans="1:49" ht="15.75" customHeight="1">
      <c r="A228" s="272">
        <v>2212009005</v>
      </c>
      <c r="B228" s="195" t="s">
        <v>237</v>
      </c>
      <c r="C228" s="448" t="s">
        <v>6</v>
      </c>
      <c r="D228" s="339"/>
      <c r="E228" s="339"/>
      <c r="F228" s="32">
        <v>1</v>
      </c>
      <c r="G228" s="32">
        <v>1</v>
      </c>
      <c r="H228" s="339"/>
      <c r="I228" s="339"/>
      <c r="J228" s="339"/>
      <c r="K228" s="339"/>
      <c r="L228" s="339"/>
      <c r="M228" s="32">
        <v>1</v>
      </c>
      <c r="N228" s="32">
        <v>1</v>
      </c>
      <c r="O228" s="32">
        <v>1</v>
      </c>
      <c r="P228" s="339"/>
      <c r="Q228" s="339"/>
      <c r="R228" s="339"/>
      <c r="S228" s="339"/>
      <c r="T228" s="32">
        <v>1</v>
      </c>
      <c r="U228" s="32">
        <v>1</v>
      </c>
      <c r="V228" s="339"/>
      <c r="W228" s="339"/>
      <c r="X228" s="339"/>
      <c r="Y228" s="339"/>
      <c r="Z228" s="339"/>
      <c r="AA228" s="32">
        <v>1</v>
      </c>
      <c r="AB228" s="32">
        <v>1</v>
      </c>
      <c r="AC228" s="339"/>
      <c r="AD228" s="339"/>
      <c r="AE228" s="339"/>
      <c r="AF228" s="339"/>
      <c r="AG228" s="339"/>
      <c r="AH228" s="32">
        <v>1</v>
      </c>
      <c r="AI228" s="324">
        <f t="shared" si="0"/>
        <v>10</v>
      </c>
      <c r="AJ228" s="322"/>
      <c r="AK228" s="322"/>
      <c r="AL228" s="322"/>
      <c r="AM228" s="322"/>
      <c r="AN228" s="322"/>
      <c r="AO228" s="322"/>
      <c r="AP228" s="322"/>
      <c r="AQ228" s="322"/>
      <c r="AR228" s="322"/>
      <c r="AS228" s="322"/>
      <c r="AT228" s="322"/>
      <c r="AU228" s="322"/>
      <c r="AV228" s="322"/>
      <c r="AW228" s="322"/>
    </row>
    <row r="229" spans="1:49" ht="15.75" customHeight="1">
      <c r="A229" s="272">
        <v>2212009006</v>
      </c>
      <c r="B229" s="195" t="s">
        <v>238</v>
      </c>
      <c r="C229" s="448" t="s">
        <v>6</v>
      </c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  <c r="AH229" s="325"/>
      <c r="AI229" s="324">
        <f t="shared" si="0"/>
        <v>0</v>
      </c>
      <c r="AJ229" s="322"/>
      <c r="AK229" s="322"/>
      <c r="AL229" s="322"/>
      <c r="AM229" s="322"/>
      <c r="AN229" s="322"/>
      <c r="AO229" s="322"/>
      <c r="AP229" s="322"/>
      <c r="AQ229" s="322"/>
      <c r="AR229" s="322"/>
      <c r="AS229" s="322"/>
      <c r="AT229" s="322"/>
      <c r="AU229" s="322"/>
      <c r="AV229" s="322"/>
      <c r="AW229" s="322"/>
    </row>
    <row r="230" spans="1:49" ht="15.75" customHeight="1">
      <c r="A230" s="272">
        <v>2212009007</v>
      </c>
      <c r="B230" s="195" t="s">
        <v>239</v>
      </c>
      <c r="C230" s="448" t="s">
        <v>6</v>
      </c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  <c r="AD230" s="339"/>
      <c r="AE230" s="339"/>
      <c r="AF230" s="339"/>
      <c r="AG230" s="339"/>
      <c r="AH230" s="339"/>
      <c r="AI230" s="324">
        <f t="shared" si="0"/>
        <v>0</v>
      </c>
      <c r="AJ230" s="322"/>
      <c r="AK230" s="322"/>
      <c r="AL230" s="322"/>
      <c r="AM230" s="322"/>
      <c r="AN230" s="322"/>
      <c r="AO230" s="322"/>
      <c r="AP230" s="322"/>
      <c r="AQ230" s="322"/>
      <c r="AR230" s="322"/>
      <c r="AS230" s="322"/>
      <c r="AT230" s="322"/>
      <c r="AU230" s="322"/>
      <c r="AV230" s="322"/>
      <c r="AW230" s="322"/>
    </row>
    <row r="231" spans="1:49" ht="15.75" customHeight="1">
      <c r="A231" s="272">
        <v>2212009008</v>
      </c>
      <c r="B231" s="195" t="s">
        <v>240</v>
      </c>
      <c r="C231" s="448" t="s">
        <v>6</v>
      </c>
      <c r="D231" s="325"/>
      <c r="E231" s="325"/>
      <c r="F231" s="28">
        <v>19</v>
      </c>
      <c r="G231" s="28">
        <v>19</v>
      </c>
      <c r="H231" s="325"/>
      <c r="I231" s="325"/>
      <c r="J231" s="325"/>
      <c r="K231" s="325"/>
      <c r="L231" s="325"/>
      <c r="M231" s="28">
        <v>29</v>
      </c>
      <c r="N231" s="28">
        <v>19</v>
      </c>
      <c r="O231" s="28">
        <v>20</v>
      </c>
      <c r="P231" s="325"/>
      <c r="Q231" s="325"/>
      <c r="R231" s="325"/>
      <c r="S231" s="325"/>
      <c r="T231" s="28">
        <v>19</v>
      </c>
      <c r="U231" s="28">
        <v>1</v>
      </c>
      <c r="V231" s="325"/>
      <c r="W231" s="325"/>
      <c r="X231" s="325"/>
      <c r="Y231" s="325"/>
      <c r="Z231" s="325"/>
      <c r="AA231" s="28">
        <v>29</v>
      </c>
      <c r="AB231" s="28">
        <v>19</v>
      </c>
      <c r="AC231" s="325"/>
      <c r="AD231" s="325"/>
      <c r="AE231" s="325"/>
      <c r="AF231" s="325"/>
      <c r="AG231" s="325"/>
      <c r="AH231" s="28">
        <v>10</v>
      </c>
      <c r="AI231" s="324">
        <f t="shared" si="0"/>
        <v>184</v>
      </c>
      <c r="AJ231" s="322"/>
      <c r="AK231" s="322"/>
      <c r="AL231" s="322"/>
      <c r="AM231" s="322"/>
      <c r="AN231" s="322"/>
      <c r="AO231" s="322"/>
      <c r="AP231" s="322"/>
      <c r="AQ231" s="322"/>
      <c r="AR231" s="322"/>
      <c r="AS231" s="322"/>
      <c r="AT231" s="322"/>
      <c r="AU231" s="322"/>
      <c r="AV231" s="322"/>
      <c r="AW231" s="322"/>
    </row>
    <row r="232" spans="1:49" ht="15.75" customHeight="1">
      <c r="A232" s="272">
        <v>2212009009</v>
      </c>
      <c r="B232" s="195" t="s">
        <v>241</v>
      </c>
      <c r="C232" s="448" t="s">
        <v>6</v>
      </c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24">
        <f t="shared" si="0"/>
        <v>0</v>
      </c>
      <c r="AJ232" s="322"/>
      <c r="AK232" s="322"/>
      <c r="AL232" s="322"/>
      <c r="AM232" s="322"/>
      <c r="AN232" s="322"/>
      <c r="AO232" s="322"/>
      <c r="AP232" s="322"/>
      <c r="AQ232" s="322"/>
      <c r="AR232" s="322"/>
      <c r="AS232" s="322"/>
      <c r="AT232" s="322"/>
      <c r="AU232" s="322"/>
      <c r="AV232" s="322"/>
      <c r="AW232" s="322"/>
    </row>
    <row r="233" spans="1:49" ht="15.75" customHeight="1">
      <c r="A233" s="272">
        <v>2212009010</v>
      </c>
      <c r="B233" s="195" t="s">
        <v>242</v>
      </c>
      <c r="C233" s="448" t="s">
        <v>6</v>
      </c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28">
        <v>2</v>
      </c>
      <c r="P233" s="325"/>
      <c r="Q233" s="325"/>
      <c r="R233" s="325"/>
      <c r="S233" s="325"/>
      <c r="T233" s="325"/>
      <c r="U233" s="28">
        <v>1</v>
      </c>
      <c r="V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  <c r="AH233" s="325"/>
      <c r="AI233" s="324">
        <f t="shared" si="0"/>
        <v>3</v>
      </c>
      <c r="AJ233" s="322"/>
      <c r="AK233" s="322"/>
      <c r="AL233" s="322"/>
      <c r="AM233" s="322"/>
      <c r="AN233" s="322"/>
      <c r="AO233" s="322"/>
      <c r="AP233" s="322"/>
      <c r="AQ233" s="322"/>
      <c r="AR233" s="322"/>
      <c r="AS233" s="322"/>
      <c r="AT233" s="322"/>
      <c r="AU233" s="322"/>
      <c r="AV233" s="322"/>
      <c r="AW233" s="322"/>
    </row>
    <row r="234" spans="1:49" ht="15.75" customHeight="1">
      <c r="A234" s="272">
        <v>2212009011</v>
      </c>
      <c r="B234" s="195" t="s">
        <v>243</v>
      </c>
      <c r="C234" s="448" t="s">
        <v>6</v>
      </c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  <c r="AD234" s="339"/>
      <c r="AE234" s="339"/>
      <c r="AF234" s="339"/>
      <c r="AG234" s="339"/>
      <c r="AH234" s="339"/>
      <c r="AI234" s="324">
        <f t="shared" si="0"/>
        <v>0</v>
      </c>
      <c r="AJ234" s="322"/>
      <c r="AK234" s="322"/>
      <c r="AL234" s="322"/>
      <c r="AM234" s="322"/>
      <c r="AN234" s="322"/>
      <c r="AO234" s="322"/>
      <c r="AP234" s="322"/>
      <c r="AQ234" s="322"/>
      <c r="AR234" s="322"/>
      <c r="AS234" s="322"/>
      <c r="AT234" s="322"/>
      <c r="AU234" s="322"/>
      <c r="AV234" s="322"/>
      <c r="AW234" s="322"/>
    </row>
    <row r="235" spans="1:49" ht="15.75" customHeight="1">
      <c r="A235" s="272">
        <v>2212009012</v>
      </c>
      <c r="B235" s="195" t="s">
        <v>244</v>
      </c>
      <c r="C235" s="448" t="s">
        <v>6</v>
      </c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  <c r="AH235" s="325"/>
      <c r="AI235" s="324">
        <f t="shared" si="0"/>
        <v>0</v>
      </c>
      <c r="AJ235" s="322"/>
      <c r="AK235" s="322"/>
      <c r="AL235" s="322"/>
      <c r="AM235" s="322"/>
      <c r="AN235" s="322"/>
      <c r="AO235" s="322"/>
      <c r="AP235" s="322"/>
      <c r="AQ235" s="322"/>
      <c r="AR235" s="322"/>
      <c r="AS235" s="322"/>
      <c r="AT235" s="322"/>
      <c r="AU235" s="322"/>
      <c r="AV235" s="322"/>
      <c r="AW235" s="322"/>
    </row>
    <row r="236" spans="1:49" ht="15.75" customHeight="1">
      <c r="A236" s="272">
        <v>2212009013</v>
      </c>
      <c r="B236" s="195" t="s">
        <v>245</v>
      </c>
      <c r="C236" s="448" t="s">
        <v>6</v>
      </c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  <c r="AD236" s="339"/>
      <c r="AE236" s="339"/>
      <c r="AF236" s="339"/>
      <c r="AG236" s="339"/>
      <c r="AH236" s="339"/>
      <c r="AI236" s="324">
        <f t="shared" si="0"/>
        <v>0</v>
      </c>
      <c r="AJ236" s="322"/>
      <c r="AK236" s="322"/>
      <c r="AL236" s="322"/>
      <c r="AM236" s="322"/>
      <c r="AN236" s="322"/>
      <c r="AO236" s="322"/>
      <c r="AP236" s="322"/>
      <c r="AQ236" s="322"/>
      <c r="AR236" s="322"/>
      <c r="AS236" s="322"/>
      <c r="AT236" s="322"/>
      <c r="AU236" s="322"/>
      <c r="AV236" s="322"/>
      <c r="AW236" s="322"/>
    </row>
    <row r="237" spans="1:49" ht="15.75" customHeight="1">
      <c r="A237" s="272">
        <v>2212009014</v>
      </c>
      <c r="B237" s="195" t="s">
        <v>246</v>
      </c>
      <c r="C237" s="448" t="s">
        <v>6</v>
      </c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  <c r="AH237" s="325"/>
      <c r="AI237" s="324">
        <f t="shared" si="0"/>
        <v>0</v>
      </c>
      <c r="AJ237" s="322"/>
      <c r="AK237" s="322"/>
      <c r="AL237" s="322"/>
      <c r="AM237" s="322"/>
      <c r="AN237" s="322"/>
      <c r="AO237" s="322"/>
      <c r="AP237" s="322"/>
      <c r="AQ237" s="322"/>
      <c r="AR237" s="322"/>
      <c r="AS237" s="322"/>
      <c r="AT237" s="322"/>
      <c r="AU237" s="322"/>
      <c r="AV237" s="322"/>
      <c r="AW237" s="322"/>
    </row>
    <row r="238" spans="1:49" ht="15.75" customHeight="1">
      <c r="A238" s="272">
        <v>2212009015</v>
      </c>
      <c r="B238" s="195" t="s">
        <v>247</v>
      </c>
      <c r="C238" s="448" t="s">
        <v>6</v>
      </c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2">
        <v>2</v>
      </c>
      <c r="AC238" s="339"/>
      <c r="AD238" s="339"/>
      <c r="AE238" s="339"/>
      <c r="AF238" s="339"/>
      <c r="AG238" s="339"/>
      <c r="AH238" s="339"/>
      <c r="AI238" s="324">
        <f t="shared" si="0"/>
        <v>2</v>
      </c>
      <c r="AJ238" s="322"/>
      <c r="AK238" s="322"/>
      <c r="AL238" s="322"/>
      <c r="AM238" s="322"/>
      <c r="AN238" s="322"/>
      <c r="AO238" s="322"/>
      <c r="AP238" s="322"/>
      <c r="AQ238" s="322"/>
      <c r="AR238" s="322"/>
      <c r="AS238" s="322"/>
      <c r="AT238" s="322"/>
      <c r="AU238" s="322"/>
      <c r="AV238" s="322"/>
      <c r="AW238" s="322"/>
    </row>
    <row r="239" spans="1:49" ht="15.75" customHeight="1">
      <c r="A239" s="272">
        <v>2212009016</v>
      </c>
      <c r="B239" s="195" t="s">
        <v>248</v>
      </c>
      <c r="C239" s="448" t="s">
        <v>6</v>
      </c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  <c r="AH239" s="325"/>
      <c r="AI239" s="324">
        <f t="shared" si="0"/>
        <v>0</v>
      </c>
      <c r="AJ239" s="322"/>
      <c r="AK239" s="322"/>
      <c r="AL239" s="322"/>
      <c r="AM239" s="322"/>
      <c r="AN239" s="322"/>
      <c r="AO239" s="322"/>
      <c r="AP239" s="322"/>
      <c r="AQ239" s="322"/>
      <c r="AR239" s="322"/>
      <c r="AS239" s="322"/>
      <c r="AT239" s="322"/>
      <c r="AU239" s="322"/>
      <c r="AV239" s="322"/>
      <c r="AW239" s="322"/>
    </row>
    <row r="240" spans="1:49" ht="15.75" customHeight="1">
      <c r="A240" s="272">
        <v>2212009017</v>
      </c>
      <c r="B240" s="195" t="s">
        <v>249</v>
      </c>
      <c r="C240" s="448" t="s">
        <v>6</v>
      </c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24">
        <f t="shared" si="0"/>
        <v>0</v>
      </c>
      <c r="AJ240" s="322"/>
      <c r="AK240" s="322"/>
      <c r="AL240" s="322"/>
      <c r="AM240" s="322"/>
      <c r="AN240" s="322"/>
      <c r="AO240" s="322"/>
      <c r="AP240" s="322"/>
      <c r="AQ240" s="322"/>
      <c r="AR240" s="322"/>
      <c r="AS240" s="322"/>
      <c r="AT240" s="322"/>
      <c r="AU240" s="322"/>
      <c r="AV240" s="322"/>
      <c r="AW240" s="322"/>
    </row>
    <row r="241" spans="1:49" ht="15.75" customHeight="1">
      <c r="A241" s="272">
        <v>2212009018</v>
      </c>
      <c r="B241" s="195" t="s">
        <v>250</v>
      </c>
      <c r="C241" s="448" t="s">
        <v>6</v>
      </c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  <c r="AH241" s="325"/>
      <c r="AI241" s="324">
        <f t="shared" si="0"/>
        <v>0</v>
      </c>
      <c r="AJ241" s="322"/>
      <c r="AK241" s="322"/>
      <c r="AL241" s="322"/>
      <c r="AM241" s="322"/>
      <c r="AN241" s="322"/>
      <c r="AO241" s="322"/>
      <c r="AP241" s="322"/>
      <c r="AQ241" s="322"/>
      <c r="AR241" s="322"/>
      <c r="AS241" s="322"/>
      <c r="AT241" s="322"/>
      <c r="AU241" s="322"/>
      <c r="AV241" s="322"/>
      <c r="AW241" s="322"/>
    </row>
    <row r="242" spans="1:49" ht="15.75" customHeight="1">
      <c r="A242" s="272">
        <v>2212009019</v>
      </c>
      <c r="B242" s="195" t="s">
        <v>251</v>
      </c>
      <c r="C242" s="448" t="s">
        <v>6</v>
      </c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  <c r="AD242" s="339"/>
      <c r="AE242" s="339"/>
      <c r="AF242" s="339"/>
      <c r="AG242" s="339"/>
      <c r="AH242" s="339"/>
      <c r="AI242" s="324">
        <f t="shared" si="0"/>
        <v>0</v>
      </c>
      <c r="AJ242" s="322"/>
      <c r="AK242" s="322"/>
      <c r="AL242" s="322"/>
      <c r="AM242" s="322"/>
      <c r="AN242" s="322"/>
      <c r="AO242" s="322"/>
      <c r="AP242" s="322"/>
      <c r="AQ242" s="322"/>
      <c r="AR242" s="322"/>
      <c r="AS242" s="322"/>
      <c r="AT242" s="322"/>
      <c r="AU242" s="322"/>
      <c r="AV242" s="322"/>
      <c r="AW242" s="322"/>
    </row>
    <row r="243" spans="1:49" ht="15.75" customHeight="1">
      <c r="A243" s="272">
        <v>2212009020</v>
      </c>
      <c r="B243" s="195" t="s">
        <v>252</v>
      </c>
      <c r="C243" s="448" t="s">
        <v>6</v>
      </c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  <c r="AH243" s="325"/>
      <c r="AI243" s="324">
        <f t="shared" si="0"/>
        <v>0</v>
      </c>
      <c r="AJ243" s="322"/>
      <c r="AK243" s="322"/>
      <c r="AL243" s="322"/>
      <c r="AM243" s="322"/>
      <c r="AN243" s="322"/>
      <c r="AO243" s="322"/>
      <c r="AP243" s="322"/>
      <c r="AQ243" s="322"/>
      <c r="AR243" s="322"/>
      <c r="AS243" s="322"/>
      <c r="AT243" s="322"/>
      <c r="AU243" s="322"/>
      <c r="AV243" s="322"/>
      <c r="AW243" s="322"/>
    </row>
    <row r="244" spans="1:49" ht="15.75" customHeight="1">
      <c r="A244" s="272">
        <v>2212009021</v>
      </c>
      <c r="B244" s="195" t="s">
        <v>253</v>
      </c>
      <c r="C244" s="448" t="s">
        <v>6</v>
      </c>
      <c r="D244" s="339"/>
      <c r="E244" s="339"/>
      <c r="F244" s="32">
        <v>36</v>
      </c>
      <c r="G244" s="32">
        <v>18</v>
      </c>
      <c r="H244" s="339"/>
      <c r="I244" s="339"/>
      <c r="J244" s="339"/>
      <c r="K244" s="339"/>
      <c r="L244" s="339"/>
      <c r="M244" s="32">
        <v>18</v>
      </c>
      <c r="N244" s="32">
        <v>18</v>
      </c>
      <c r="O244" s="32">
        <v>18</v>
      </c>
      <c r="P244" s="339"/>
      <c r="Q244" s="339"/>
      <c r="R244" s="339"/>
      <c r="S244" s="339"/>
      <c r="T244" s="32">
        <v>36</v>
      </c>
      <c r="U244" s="32">
        <v>18</v>
      </c>
      <c r="V244" s="339"/>
      <c r="W244" s="339"/>
      <c r="X244" s="339"/>
      <c r="Y244" s="339"/>
      <c r="Z244" s="339"/>
      <c r="AA244" s="32">
        <v>18</v>
      </c>
      <c r="AB244" s="32">
        <v>18</v>
      </c>
      <c r="AC244" s="339"/>
      <c r="AD244" s="339"/>
      <c r="AE244" s="339"/>
      <c r="AF244" s="339"/>
      <c r="AG244" s="339"/>
      <c r="AH244" s="32">
        <v>36</v>
      </c>
      <c r="AI244" s="324">
        <f t="shared" si="0"/>
        <v>234</v>
      </c>
      <c r="AJ244" s="322"/>
      <c r="AK244" s="322"/>
      <c r="AL244" s="322"/>
      <c r="AM244" s="322"/>
      <c r="AN244" s="322"/>
      <c r="AO244" s="322"/>
      <c r="AP244" s="322"/>
      <c r="AQ244" s="322"/>
      <c r="AR244" s="322"/>
      <c r="AS244" s="322"/>
      <c r="AT244" s="322"/>
      <c r="AU244" s="322"/>
      <c r="AV244" s="322"/>
      <c r="AW244" s="322"/>
    </row>
    <row r="245" spans="1:49" ht="15.75" customHeight="1">
      <c r="A245" s="272">
        <v>2212009022</v>
      </c>
      <c r="B245" s="195" t="s">
        <v>254</v>
      </c>
      <c r="C245" s="448" t="s">
        <v>6</v>
      </c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  <c r="AH245" s="325"/>
      <c r="AI245" s="324">
        <f t="shared" si="0"/>
        <v>0</v>
      </c>
      <c r="AJ245" s="322"/>
      <c r="AK245" s="322"/>
      <c r="AL245" s="322"/>
      <c r="AM245" s="322"/>
      <c r="AN245" s="322"/>
      <c r="AO245" s="322"/>
      <c r="AP245" s="322"/>
      <c r="AQ245" s="322"/>
      <c r="AR245" s="322"/>
      <c r="AS245" s="322"/>
      <c r="AT245" s="322"/>
      <c r="AU245" s="322"/>
      <c r="AV245" s="322"/>
      <c r="AW245" s="322"/>
    </row>
    <row r="246" spans="1:49" ht="15.75" customHeight="1">
      <c r="A246" s="272">
        <v>2212009023</v>
      </c>
      <c r="B246" s="195" t="s">
        <v>255</v>
      </c>
      <c r="C246" s="448" t="s">
        <v>6</v>
      </c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  <c r="AE246" s="339"/>
      <c r="AF246" s="339"/>
      <c r="AG246" s="339"/>
      <c r="AH246" s="339"/>
      <c r="AI246" s="324">
        <f t="shared" si="0"/>
        <v>0</v>
      </c>
      <c r="AJ246" s="322"/>
      <c r="AK246" s="322"/>
      <c r="AL246" s="322"/>
      <c r="AM246" s="322"/>
      <c r="AN246" s="322"/>
      <c r="AO246" s="322"/>
      <c r="AP246" s="322"/>
      <c r="AQ246" s="322"/>
      <c r="AR246" s="322"/>
      <c r="AS246" s="322"/>
      <c r="AT246" s="322"/>
      <c r="AU246" s="322"/>
      <c r="AV246" s="322"/>
      <c r="AW246" s="322"/>
    </row>
    <row r="247" spans="1:49" ht="15.75" customHeight="1">
      <c r="A247" s="272">
        <v>2212009024</v>
      </c>
      <c r="B247" s="195" t="s">
        <v>256</v>
      </c>
      <c r="C247" s="448" t="s">
        <v>6</v>
      </c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  <c r="AH247" s="325"/>
      <c r="AI247" s="324">
        <f t="shared" si="0"/>
        <v>0</v>
      </c>
      <c r="AJ247" s="322"/>
      <c r="AK247" s="322"/>
      <c r="AL247" s="322"/>
      <c r="AM247" s="322"/>
      <c r="AN247" s="322"/>
      <c r="AO247" s="322"/>
      <c r="AP247" s="322"/>
      <c r="AQ247" s="322"/>
      <c r="AR247" s="322"/>
      <c r="AS247" s="322"/>
      <c r="AT247" s="322"/>
      <c r="AU247" s="322"/>
      <c r="AV247" s="322"/>
      <c r="AW247" s="322"/>
    </row>
    <row r="248" spans="1:49" ht="15.75" customHeight="1">
      <c r="A248" s="272">
        <v>2212009025</v>
      </c>
      <c r="B248" s="195" t="s">
        <v>257</v>
      </c>
      <c r="C248" s="448" t="s">
        <v>6</v>
      </c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  <c r="AE248" s="339"/>
      <c r="AF248" s="339"/>
      <c r="AG248" s="339"/>
      <c r="AH248" s="339"/>
      <c r="AI248" s="324">
        <f t="shared" si="0"/>
        <v>0</v>
      </c>
      <c r="AJ248" s="322"/>
      <c r="AK248" s="322"/>
      <c r="AL248" s="322"/>
      <c r="AM248" s="322"/>
      <c r="AN248" s="322"/>
      <c r="AO248" s="322"/>
      <c r="AP248" s="322"/>
      <c r="AQ248" s="322"/>
      <c r="AR248" s="322"/>
      <c r="AS248" s="322"/>
      <c r="AT248" s="322"/>
      <c r="AU248" s="322"/>
      <c r="AV248" s="322"/>
      <c r="AW248" s="322"/>
    </row>
    <row r="249" spans="1:49" ht="15.75" customHeight="1">
      <c r="A249" s="272">
        <v>2212009026</v>
      </c>
      <c r="B249" s="195" t="s">
        <v>258</v>
      </c>
      <c r="C249" s="448" t="s">
        <v>6</v>
      </c>
      <c r="D249" s="325"/>
      <c r="E249" s="325"/>
      <c r="F249" s="325"/>
      <c r="G249" s="325"/>
      <c r="H249" s="325"/>
      <c r="I249" s="325"/>
      <c r="J249" s="325"/>
      <c r="K249" s="325"/>
      <c r="L249" s="325"/>
      <c r="M249" s="28">
        <v>3</v>
      </c>
      <c r="N249" s="28">
        <v>4</v>
      </c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  <c r="AA249" s="28">
        <v>3</v>
      </c>
      <c r="AB249" s="325"/>
      <c r="AC249" s="325"/>
      <c r="AD249" s="325"/>
      <c r="AE249" s="325"/>
      <c r="AF249" s="325"/>
      <c r="AG249" s="325"/>
      <c r="AH249" s="325"/>
      <c r="AI249" s="324">
        <f t="shared" si="0"/>
        <v>10</v>
      </c>
      <c r="AJ249" s="322"/>
      <c r="AK249" s="322"/>
      <c r="AL249" s="322"/>
      <c r="AM249" s="322"/>
      <c r="AN249" s="322"/>
      <c r="AO249" s="322"/>
      <c r="AP249" s="322"/>
      <c r="AQ249" s="322"/>
      <c r="AR249" s="322"/>
      <c r="AS249" s="322"/>
      <c r="AT249" s="322"/>
      <c r="AU249" s="322"/>
      <c r="AV249" s="322"/>
      <c r="AW249" s="322"/>
    </row>
    <row r="250" spans="1:49" ht="15.75" customHeight="1">
      <c r="A250" s="272">
        <v>2212009028</v>
      </c>
      <c r="B250" s="195" t="s">
        <v>259</v>
      </c>
      <c r="C250" s="448" t="s">
        <v>6</v>
      </c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  <c r="AF250" s="339"/>
      <c r="AG250" s="339"/>
      <c r="AH250" s="339"/>
      <c r="AI250" s="324">
        <f t="shared" si="0"/>
        <v>0</v>
      </c>
      <c r="AJ250" s="322"/>
      <c r="AK250" s="322"/>
      <c r="AL250" s="322"/>
      <c r="AM250" s="322"/>
      <c r="AN250" s="322"/>
      <c r="AO250" s="322"/>
      <c r="AP250" s="322"/>
      <c r="AQ250" s="322"/>
      <c r="AR250" s="322"/>
      <c r="AS250" s="322"/>
      <c r="AT250" s="322"/>
      <c r="AU250" s="322"/>
      <c r="AV250" s="322"/>
      <c r="AW250" s="322"/>
    </row>
    <row r="251" spans="1:49" ht="15.75" customHeight="1">
      <c r="A251" s="272">
        <v>2212009029</v>
      </c>
      <c r="B251" s="195" t="s">
        <v>260</v>
      </c>
      <c r="C251" s="448" t="s">
        <v>6</v>
      </c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  <c r="AH251" s="325"/>
      <c r="AI251" s="324">
        <f t="shared" si="0"/>
        <v>0</v>
      </c>
      <c r="AJ251" s="322"/>
      <c r="AK251" s="322"/>
      <c r="AL251" s="322"/>
      <c r="AM251" s="322"/>
      <c r="AN251" s="322"/>
      <c r="AO251" s="322"/>
      <c r="AP251" s="322"/>
      <c r="AQ251" s="322"/>
      <c r="AR251" s="322"/>
      <c r="AS251" s="322"/>
      <c r="AT251" s="322"/>
      <c r="AU251" s="322"/>
      <c r="AV251" s="322"/>
      <c r="AW251" s="322"/>
    </row>
    <row r="252" spans="1:49" ht="15.75" customHeight="1">
      <c r="A252" s="272">
        <v>2212009030</v>
      </c>
      <c r="B252" s="195" t="s">
        <v>261</v>
      </c>
      <c r="C252" s="448" t="s">
        <v>6</v>
      </c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  <c r="AE252" s="339"/>
      <c r="AF252" s="339"/>
      <c r="AG252" s="339"/>
      <c r="AH252" s="339"/>
      <c r="AI252" s="324">
        <f t="shared" si="0"/>
        <v>0</v>
      </c>
      <c r="AJ252" s="322"/>
      <c r="AK252" s="322"/>
      <c r="AL252" s="322"/>
      <c r="AM252" s="322"/>
      <c r="AN252" s="322"/>
      <c r="AO252" s="322"/>
      <c r="AP252" s="322"/>
      <c r="AQ252" s="322"/>
      <c r="AR252" s="322"/>
      <c r="AS252" s="322"/>
      <c r="AT252" s="322"/>
      <c r="AU252" s="322"/>
      <c r="AV252" s="322"/>
      <c r="AW252" s="322"/>
    </row>
    <row r="253" spans="1:49" ht="15.75" customHeight="1">
      <c r="A253" s="272">
        <v>2212009031</v>
      </c>
      <c r="B253" s="195" t="s">
        <v>262</v>
      </c>
      <c r="C253" s="448" t="s">
        <v>6</v>
      </c>
      <c r="D253" s="325"/>
      <c r="E253" s="325"/>
      <c r="F253" s="28">
        <v>1</v>
      </c>
      <c r="G253" s="325"/>
      <c r="H253" s="325"/>
      <c r="I253" s="325"/>
      <c r="J253" s="325"/>
      <c r="K253" s="325"/>
      <c r="L253" s="325"/>
      <c r="M253" s="28">
        <v>1</v>
      </c>
      <c r="N253" s="325"/>
      <c r="O253" s="28">
        <v>1</v>
      </c>
      <c r="P253" s="325"/>
      <c r="Q253" s="325"/>
      <c r="R253" s="325"/>
      <c r="S253" s="325"/>
      <c r="T253" s="28">
        <v>1</v>
      </c>
      <c r="U253" s="325"/>
      <c r="V253" s="325"/>
      <c r="W253" s="325"/>
      <c r="X253" s="325"/>
      <c r="Y253" s="325"/>
      <c r="Z253" s="325"/>
      <c r="AA253" s="28">
        <v>1</v>
      </c>
      <c r="AB253" s="325"/>
      <c r="AC253" s="325"/>
      <c r="AD253" s="325"/>
      <c r="AE253" s="325"/>
      <c r="AF253" s="325"/>
      <c r="AG253" s="325"/>
      <c r="AH253" s="28">
        <v>1</v>
      </c>
      <c r="AI253" s="324">
        <f t="shared" si="0"/>
        <v>6</v>
      </c>
      <c r="AJ253" s="322"/>
      <c r="AK253" s="322"/>
      <c r="AL253" s="322"/>
      <c r="AM253" s="322"/>
      <c r="AN253" s="322"/>
      <c r="AO253" s="322"/>
      <c r="AP253" s="322"/>
      <c r="AQ253" s="322"/>
      <c r="AR253" s="322"/>
      <c r="AS253" s="322"/>
      <c r="AT253" s="322"/>
      <c r="AU253" s="322"/>
      <c r="AV253" s="322"/>
      <c r="AW253" s="322"/>
    </row>
    <row r="254" spans="1:49" ht="15.75" customHeight="1">
      <c r="A254" s="272">
        <v>2212009032</v>
      </c>
      <c r="B254" s="195" t="s">
        <v>263</v>
      </c>
      <c r="C254" s="448" t="s">
        <v>6</v>
      </c>
      <c r="D254" s="339"/>
      <c r="E254" s="339"/>
      <c r="F254" s="339"/>
      <c r="G254" s="339"/>
      <c r="H254" s="339"/>
      <c r="I254" s="339"/>
      <c r="J254" s="339"/>
      <c r="K254" s="339"/>
      <c r="L254" s="339"/>
      <c r="M254" s="32">
        <v>1</v>
      </c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2">
        <v>1</v>
      </c>
      <c r="AB254" s="32">
        <v>2</v>
      </c>
      <c r="AC254" s="339"/>
      <c r="AD254" s="339"/>
      <c r="AE254" s="339"/>
      <c r="AF254" s="339"/>
      <c r="AG254" s="339"/>
      <c r="AH254" s="339"/>
      <c r="AI254" s="324">
        <f t="shared" si="0"/>
        <v>4</v>
      </c>
      <c r="AJ254" s="322"/>
      <c r="AK254" s="322"/>
      <c r="AL254" s="322"/>
      <c r="AM254" s="322"/>
      <c r="AN254" s="322"/>
      <c r="AO254" s="322"/>
      <c r="AP254" s="322"/>
      <c r="AQ254" s="322"/>
      <c r="AR254" s="322"/>
      <c r="AS254" s="322"/>
      <c r="AT254" s="322"/>
      <c r="AU254" s="322"/>
      <c r="AV254" s="322"/>
      <c r="AW254" s="322"/>
    </row>
    <row r="255" spans="1:49" ht="15.75" customHeight="1">
      <c r="A255" s="272">
        <v>2212009033</v>
      </c>
      <c r="B255" s="195" t="s">
        <v>264</v>
      </c>
      <c r="C255" s="448" t="s">
        <v>6</v>
      </c>
      <c r="D255" s="325"/>
      <c r="E255" s="325"/>
      <c r="F255" s="325"/>
      <c r="G255" s="28">
        <v>2</v>
      </c>
      <c r="H255" s="325"/>
      <c r="I255" s="325"/>
      <c r="J255" s="325"/>
      <c r="K255" s="325"/>
      <c r="L255" s="325"/>
      <c r="M255" s="325"/>
      <c r="N255" s="28">
        <v>1</v>
      </c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  <c r="AH255" s="325"/>
      <c r="AI255" s="324">
        <f t="shared" si="0"/>
        <v>3</v>
      </c>
      <c r="AJ255" s="322"/>
      <c r="AK255" s="322"/>
      <c r="AL255" s="322"/>
      <c r="AM255" s="322"/>
      <c r="AN255" s="322"/>
      <c r="AO255" s="322"/>
      <c r="AP255" s="322"/>
      <c r="AQ255" s="322"/>
      <c r="AR255" s="322"/>
      <c r="AS255" s="322"/>
      <c r="AT255" s="322"/>
      <c r="AU255" s="322"/>
      <c r="AV255" s="322"/>
      <c r="AW255" s="322"/>
    </row>
    <row r="256" spans="1:49" ht="15.75" customHeight="1">
      <c r="A256" s="272">
        <v>2212009034</v>
      </c>
      <c r="B256" s="195" t="s">
        <v>265</v>
      </c>
      <c r="C256" s="448" t="s">
        <v>6</v>
      </c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2">
        <v>5</v>
      </c>
      <c r="V256" s="339"/>
      <c r="W256" s="339"/>
      <c r="X256" s="339"/>
      <c r="Y256" s="339"/>
      <c r="Z256" s="339"/>
      <c r="AA256" s="339"/>
      <c r="AB256" s="32">
        <v>5</v>
      </c>
      <c r="AC256" s="339"/>
      <c r="AD256" s="339"/>
      <c r="AE256" s="339"/>
      <c r="AF256" s="339"/>
      <c r="AG256" s="339"/>
      <c r="AH256" s="339"/>
      <c r="AI256" s="324">
        <f t="shared" si="0"/>
        <v>10</v>
      </c>
      <c r="AJ256" s="322"/>
      <c r="AK256" s="322"/>
      <c r="AL256" s="322"/>
      <c r="AM256" s="322"/>
      <c r="AN256" s="322"/>
      <c r="AO256" s="322"/>
      <c r="AP256" s="322"/>
      <c r="AQ256" s="322"/>
      <c r="AR256" s="322"/>
      <c r="AS256" s="322"/>
      <c r="AT256" s="322"/>
      <c r="AU256" s="322"/>
      <c r="AV256" s="322"/>
      <c r="AW256" s="322"/>
    </row>
    <row r="257" spans="1:49" ht="15.75" customHeight="1">
      <c r="A257" s="272">
        <v>2212009035</v>
      </c>
      <c r="B257" s="195" t="s">
        <v>266</v>
      </c>
      <c r="C257" s="448" t="s">
        <v>267</v>
      </c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  <c r="AH257" s="325"/>
      <c r="AI257" s="324">
        <f t="shared" si="0"/>
        <v>0</v>
      </c>
      <c r="AJ257" s="322"/>
      <c r="AK257" s="322"/>
      <c r="AL257" s="322"/>
      <c r="AM257" s="322"/>
      <c r="AN257" s="322"/>
      <c r="AO257" s="322"/>
      <c r="AP257" s="322"/>
      <c r="AQ257" s="322"/>
      <c r="AR257" s="322"/>
      <c r="AS257" s="322"/>
      <c r="AT257" s="322"/>
      <c r="AU257" s="322"/>
      <c r="AV257" s="322"/>
      <c r="AW257" s="322"/>
    </row>
    <row r="258" spans="1:49" ht="15.75" customHeight="1">
      <c r="A258" s="272">
        <v>2212009036</v>
      </c>
      <c r="B258" s="195" t="s">
        <v>268</v>
      </c>
      <c r="C258" s="448" t="s">
        <v>6</v>
      </c>
      <c r="D258" s="339"/>
      <c r="E258" s="339"/>
      <c r="F258" s="32">
        <v>1</v>
      </c>
      <c r="G258" s="339"/>
      <c r="H258" s="339"/>
      <c r="I258" s="339"/>
      <c r="J258" s="339"/>
      <c r="K258" s="339"/>
      <c r="L258" s="339"/>
      <c r="M258" s="32">
        <v>1</v>
      </c>
      <c r="N258" s="339"/>
      <c r="O258" s="32">
        <v>1</v>
      </c>
      <c r="P258" s="339"/>
      <c r="Q258" s="339"/>
      <c r="R258" s="339"/>
      <c r="S258" s="339"/>
      <c r="T258" s="32">
        <v>1</v>
      </c>
      <c r="U258" s="339"/>
      <c r="V258" s="339"/>
      <c r="W258" s="339"/>
      <c r="X258" s="339"/>
      <c r="Y258" s="339"/>
      <c r="Z258" s="339"/>
      <c r="AA258" s="32">
        <v>1</v>
      </c>
      <c r="AB258" s="339"/>
      <c r="AC258" s="339"/>
      <c r="AD258" s="339"/>
      <c r="AE258" s="339"/>
      <c r="AF258" s="339"/>
      <c r="AG258" s="339"/>
      <c r="AH258" s="32">
        <v>1</v>
      </c>
      <c r="AI258" s="324">
        <f t="shared" si="0"/>
        <v>6</v>
      </c>
      <c r="AJ258" s="322"/>
      <c r="AK258" s="322"/>
      <c r="AL258" s="322"/>
      <c r="AM258" s="322"/>
      <c r="AN258" s="322"/>
      <c r="AO258" s="322"/>
      <c r="AP258" s="322"/>
      <c r="AQ258" s="322"/>
      <c r="AR258" s="322"/>
      <c r="AS258" s="322"/>
      <c r="AT258" s="322"/>
      <c r="AU258" s="322"/>
      <c r="AV258" s="322"/>
      <c r="AW258" s="322"/>
    </row>
    <row r="259" spans="1:49" ht="15.75" customHeight="1">
      <c r="A259" s="272">
        <v>2212009037</v>
      </c>
      <c r="B259" s="195" t="s">
        <v>269</v>
      </c>
      <c r="C259" s="448" t="s">
        <v>6</v>
      </c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  <c r="AH259" s="325"/>
      <c r="AI259" s="324">
        <f t="shared" si="0"/>
        <v>0</v>
      </c>
      <c r="AJ259" s="322"/>
      <c r="AK259" s="322"/>
      <c r="AL259" s="322"/>
      <c r="AM259" s="322"/>
      <c r="AN259" s="322"/>
      <c r="AO259" s="322"/>
      <c r="AP259" s="322"/>
      <c r="AQ259" s="322"/>
      <c r="AR259" s="322"/>
      <c r="AS259" s="322"/>
      <c r="AT259" s="322"/>
      <c r="AU259" s="322"/>
      <c r="AV259" s="322"/>
      <c r="AW259" s="322"/>
    </row>
    <row r="260" spans="1:49" ht="15.75" customHeight="1">
      <c r="A260" s="272">
        <v>2212009038</v>
      </c>
      <c r="B260" s="195" t="s">
        <v>270</v>
      </c>
      <c r="C260" s="448" t="s">
        <v>6</v>
      </c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  <c r="AE260" s="339"/>
      <c r="AF260" s="339"/>
      <c r="AG260" s="339"/>
      <c r="AH260" s="339"/>
      <c r="AI260" s="324">
        <f t="shared" si="0"/>
        <v>0</v>
      </c>
      <c r="AJ260" s="322"/>
      <c r="AK260" s="322"/>
      <c r="AL260" s="322"/>
      <c r="AM260" s="322"/>
      <c r="AN260" s="322"/>
      <c r="AO260" s="322"/>
      <c r="AP260" s="322"/>
      <c r="AQ260" s="322"/>
      <c r="AR260" s="322"/>
      <c r="AS260" s="322"/>
      <c r="AT260" s="322"/>
      <c r="AU260" s="322"/>
      <c r="AV260" s="322"/>
      <c r="AW260" s="322"/>
    </row>
    <row r="261" spans="1:49" ht="15.75" customHeight="1">
      <c r="A261" s="303">
        <v>2212009041</v>
      </c>
      <c r="B261" s="210" t="s">
        <v>271</v>
      </c>
      <c r="C261" s="497" t="s">
        <v>86</v>
      </c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  <c r="AH261" s="325"/>
      <c r="AI261" s="324">
        <f t="shared" ref="AI261:AI384" si="1">SUM(D261:AH261)</f>
        <v>0</v>
      </c>
      <c r="AJ261" s="322"/>
      <c r="AK261" s="322"/>
      <c r="AL261" s="322"/>
      <c r="AM261" s="322"/>
      <c r="AN261" s="322"/>
      <c r="AO261" s="322"/>
      <c r="AP261" s="322"/>
      <c r="AQ261" s="322"/>
      <c r="AR261" s="322"/>
      <c r="AS261" s="322"/>
      <c r="AT261" s="322"/>
      <c r="AU261" s="322"/>
      <c r="AV261" s="322"/>
      <c r="AW261" s="322"/>
    </row>
    <row r="262" spans="1:49" ht="18.75" customHeight="1">
      <c r="A262" s="625" t="s">
        <v>272</v>
      </c>
      <c r="B262" s="606"/>
      <c r="C262" s="607"/>
      <c r="D262" s="498"/>
      <c r="E262" s="498"/>
      <c r="F262" s="498"/>
      <c r="G262" s="498"/>
      <c r="H262" s="498"/>
      <c r="I262" s="498"/>
      <c r="J262" s="498"/>
      <c r="K262" s="498"/>
      <c r="L262" s="498"/>
      <c r="M262" s="498"/>
      <c r="N262" s="498"/>
      <c r="O262" s="498"/>
      <c r="P262" s="498"/>
      <c r="Q262" s="498"/>
      <c r="R262" s="498"/>
      <c r="S262" s="498"/>
      <c r="T262" s="498"/>
      <c r="U262" s="498"/>
      <c r="V262" s="498"/>
      <c r="W262" s="498"/>
      <c r="X262" s="498"/>
      <c r="Y262" s="498"/>
      <c r="Z262" s="498"/>
      <c r="AA262" s="498"/>
      <c r="AB262" s="498"/>
      <c r="AC262" s="498"/>
      <c r="AD262" s="498"/>
      <c r="AE262" s="498"/>
      <c r="AF262" s="498"/>
      <c r="AG262" s="498"/>
      <c r="AH262" s="498"/>
      <c r="AI262" s="131">
        <f t="shared" si="1"/>
        <v>0</v>
      </c>
      <c r="AJ262" s="322"/>
      <c r="AK262" s="322"/>
      <c r="AL262" s="322"/>
      <c r="AM262" s="322"/>
      <c r="AN262" s="322"/>
      <c r="AO262" s="322"/>
      <c r="AP262" s="322"/>
      <c r="AQ262" s="322"/>
      <c r="AR262" s="322"/>
      <c r="AS262" s="322"/>
      <c r="AT262" s="322"/>
      <c r="AU262" s="322"/>
      <c r="AV262" s="322"/>
      <c r="AW262" s="322"/>
    </row>
    <row r="263" spans="1:49" ht="15.75" customHeight="1">
      <c r="A263" s="306">
        <v>2212011002</v>
      </c>
      <c r="B263" s="301" t="s">
        <v>273</v>
      </c>
      <c r="C263" s="499" t="s">
        <v>86</v>
      </c>
      <c r="D263" s="325"/>
      <c r="E263" s="325"/>
      <c r="F263" s="28">
        <v>2</v>
      </c>
      <c r="G263" s="325"/>
      <c r="H263" s="325"/>
      <c r="I263" s="325"/>
      <c r="J263" s="325"/>
      <c r="K263" s="325"/>
      <c r="L263" s="325"/>
      <c r="M263" s="325"/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0</v>
      </c>
      <c r="AG263" s="28">
        <v>0</v>
      </c>
      <c r="AH263" s="28">
        <v>0</v>
      </c>
      <c r="AI263" s="324">
        <f t="shared" si="1"/>
        <v>2</v>
      </c>
      <c r="AJ263" s="322"/>
      <c r="AK263" s="322"/>
      <c r="AL263" s="322"/>
      <c r="AM263" s="322"/>
      <c r="AN263" s="322"/>
      <c r="AO263" s="322"/>
      <c r="AP263" s="322"/>
      <c r="AQ263" s="322"/>
      <c r="AR263" s="322"/>
      <c r="AS263" s="322"/>
      <c r="AT263" s="322"/>
      <c r="AU263" s="322"/>
      <c r="AV263" s="322"/>
      <c r="AW263" s="322"/>
    </row>
    <row r="264" spans="1:49" ht="15.75" customHeight="1">
      <c r="A264" s="308">
        <v>2212011003</v>
      </c>
      <c r="B264" s="221" t="s">
        <v>274</v>
      </c>
      <c r="C264" s="500" t="s">
        <v>6</v>
      </c>
      <c r="D264" s="339"/>
      <c r="E264" s="339"/>
      <c r="F264" s="339"/>
      <c r="G264" s="339"/>
      <c r="H264" s="339"/>
      <c r="I264" s="339"/>
      <c r="J264" s="339"/>
      <c r="K264" s="339"/>
      <c r="L264" s="339"/>
      <c r="M264" s="32">
        <v>6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324">
        <f t="shared" si="1"/>
        <v>6</v>
      </c>
      <c r="AJ264" s="322"/>
      <c r="AK264" s="322"/>
      <c r="AL264" s="322"/>
      <c r="AM264" s="322"/>
      <c r="AN264" s="322"/>
      <c r="AO264" s="322"/>
      <c r="AP264" s="322"/>
      <c r="AQ264" s="322"/>
      <c r="AR264" s="322"/>
      <c r="AS264" s="322"/>
      <c r="AT264" s="322"/>
      <c r="AU264" s="322"/>
      <c r="AV264" s="322"/>
      <c r="AW264" s="322"/>
    </row>
    <row r="265" spans="1:49" ht="15.75" customHeight="1">
      <c r="A265" s="308">
        <v>2212011004</v>
      </c>
      <c r="B265" s="221" t="s">
        <v>275</v>
      </c>
      <c r="C265" s="500" t="s">
        <v>6</v>
      </c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324">
        <f t="shared" si="1"/>
        <v>0</v>
      </c>
      <c r="AJ265" s="322"/>
      <c r="AK265" s="322"/>
      <c r="AL265" s="322"/>
      <c r="AM265" s="322"/>
      <c r="AN265" s="322"/>
      <c r="AO265" s="322"/>
      <c r="AP265" s="322"/>
      <c r="AQ265" s="322"/>
      <c r="AR265" s="322"/>
      <c r="AS265" s="322"/>
      <c r="AT265" s="322"/>
      <c r="AU265" s="322"/>
      <c r="AV265" s="322"/>
      <c r="AW265" s="322"/>
    </row>
    <row r="266" spans="1:49" ht="15.75" customHeight="1">
      <c r="A266" s="308">
        <v>2212011006</v>
      </c>
      <c r="B266" s="221" t="s">
        <v>276</v>
      </c>
      <c r="C266" s="500" t="s">
        <v>6</v>
      </c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324">
        <f t="shared" si="1"/>
        <v>0</v>
      </c>
      <c r="AJ266" s="322"/>
      <c r="AK266" s="322"/>
      <c r="AL266" s="322"/>
      <c r="AM266" s="322"/>
      <c r="AN266" s="322"/>
      <c r="AO266" s="322"/>
      <c r="AP266" s="322"/>
      <c r="AQ266" s="322"/>
      <c r="AR266" s="322"/>
      <c r="AS266" s="322"/>
      <c r="AT266" s="322"/>
      <c r="AU266" s="322"/>
      <c r="AV266" s="322"/>
      <c r="AW266" s="322"/>
    </row>
    <row r="267" spans="1:49" ht="15.75" customHeight="1">
      <c r="A267" s="308">
        <v>2212011007</v>
      </c>
      <c r="B267" s="221" t="s">
        <v>277</v>
      </c>
      <c r="C267" s="500" t="s">
        <v>6</v>
      </c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0</v>
      </c>
      <c r="AI267" s="324">
        <f t="shared" si="1"/>
        <v>0</v>
      </c>
      <c r="AJ267" s="322"/>
      <c r="AK267" s="322"/>
      <c r="AL267" s="322"/>
      <c r="AM267" s="322"/>
      <c r="AN267" s="322"/>
      <c r="AO267" s="322"/>
      <c r="AP267" s="322"/>
      <c r="AQ267" s="322"/>
      <c r="AR267" s="322"/>
      <c r="AS267" s="322"/>
      <c r="AT267" s="322"/>
      <c r="AU267" s="322"/>
      <c r="AV267" s="322"/>
      <c r="AW267" s="322"/>
    </row>
    <row r="268" spans="1:49" ht="15.75" customHeight="1">
      <c r="A268" s="308">
        <v>2212011008</v>
      </c>
      <c r="B268" s="221" t="s">
        <v>278</v>
      </c>
      <c r="C268" s="500" t="s">
        <v>6</v>
      </c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0</v>
      </c>
      <c r="AI268" s="324">
        <f t="shared" si="1"/>
        <v>0</v>
      </c>
      <c r="AJ268" s="322"/>
      <c r="AK268" s="322"/>
      <c r="AL268" s="322"/>
      <c r="AM268" s="322"/>
      <c r="AN268" s="322"/>
      <c r="AO268" s="322"/>
      <c r="AP268" s="322"/>
      <c r="AQ268" s="322"/>
      <c r="AR268" s="322"/>
      <c r="AS268" s="322"/>
      <c r="AT268" s="322"/>
      <c r="AU268" s="322"/>
      <c r="AV268" s="322"/>
      <c r="AW268" s="322"/>
    </row>
    <row r="269" spans="1:49" ht="15.75" customHeight="1">
      <c r="A269" s="308">
        <v>2212011009</v>
      </c>
      <c r="B269" s="221" t="s">
        <v>279</v>
      </c>
      <c r="C269" s="500" t="s">
        <v>6</v>
      </c>
      <c r="D269" s="325"/>
      <c r="E269" s="325"/>
      <c r="F269" s="28">
        <v>10</v>
      </c>
      <c r="G269" s="325"/>
      <c r="H269" s="325"/>
      <c r="I269" s="325"/>
      <c r="J269" s="325"/>
      <c r="K269" s="325"/>
      <c r="L269" s="325"/>
      <c r="M269" s="325"/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0</v>
      </c>
      <c r="AI269" s="324">
        <f t="shared" si="1"/>
        <v>10</v>
      </c>
      <c r="AJ269" s="322"/>
      <c r="AK269" s="322"/>
      <c r="AL269" s="322"/>
      <c r="AM269" s="322"/>
      <c r="AN269" s="322"/>
      <c r="AO269" s="322"/>
      <c r="AP269" s="322"/>
      <c r="AQ269" s="322"/>
      <c r="AR269" s="322"/>
      <c r="AS269" s="322"/>
      <c r="AT269" s="322"/>
      <c r="AU269" s="322"/>
      <c r="AV269" s="322"/>
      <c r="AW269" s="322"/>
    </row>
    <row r="270" spans="1:49" ht="15.75" customHeight="1">
      <c r="A270" s="308">
        <v>2212011010</v>
      </c>
      <c r="B270" s="221" t="s">
        <v>280</v>
      </c>
      <c r="C270" s="500" t="s">
        <v>6</v>
      </c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0</v>
      </c>
      <c r="AG270" s="28">
        <v>0</v>
      </c>
      <c r="AH270" s="28">
        <v>0</v>
      </c>
      <c r="AI270" s="324">
        <f t="shared" si="1"/>
        <v>0</v>
      </c>
      <c r="AJ270" s="322"/>
      <c r="AK270" s="322"/>
      <c r="AL270" s="322"/>
      <c r="AM270" s="322"/>
      <c r="AN270" s="322"/>
      <c r="AO270" s="322"/>
      <c r="AP270" s="322"/>
      <c r="AQ270" s="322"/>
      <c r="AR270" s="322"/>
      <c r="AS270" s="322"/>
      <c r="AT270" s="322"/>
      <c r="AU270" s="322"/>
      <c r="AV270" s="322"/>
      <c r="AW270" s="322"/>
    </row>
    <row r="271" spans="1:49" ht="15.75" customHeight="1">
      <c r="A271" s="308">
        <v>2212011011</v>
      </c>
      <c r="B271" s="221" t="s">
        <v>281</v>
      </c>
      <c r="C271" s="500" t="s">
        <v>6</v>
      </c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28">
        <v>0</v>
      </c>
      <c r="AI271" s="324">
        <f t="shared" si="1"/>
        <v>0</v>
      </c>
      <c r="AJ271" s="322"/>
      <c r="AK271" s="322"/>
      <c r="AL271" s="322"/>
      <c r="AM271" s="322"/>
      <c r="AN271" s="322"/>
      <c r="AO271" s="322"/>
      <c r="AP271" s="322"/>
      <c r="AQ271" s="322"/>
      <c r="AR271" s="322"/>
      <c r="AS271" s="322"/>
      <c r="AT271" s="322"/>
      <c r="AU271" s="322"/>
      <c r="AV271" s="322"/>
      <c r="AW271" s="322"/>
    </row>
    <row r="272" spans="1:49" ht="15.75" customHeight="1">
      <c r="A272" s="308">
        <v>2212011012</v>
      </c>
      <c r="B272" s="221" t="s">
        <v>282</v>
      </c>
      <c r="C272" s="500" t="s">
        <v>6</v>
      </c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  <c r="AF272" s="28">
        <v>0</v>
      </c>
      <c r="AG272" s="28">
        <v>0</v>
      </c>
      <c r="AH272" s="28">
        <v>0</v>
      </c>
      <c r="AI272" s="324">
        <f t="shared" si="1"/>
        <v>0</v>
      </c>
      <c r="AJ272" s="322"/>
      <c r="AK272" s="322"/>
      <c r="AL272" s="322"/>
      <c r="AM272" s="322"/>
      <c r="AN272" s="322"/>
      <c r="AO272" s="322"/>
      <c r="AP272" s="322"/>
      <c r="AQ272" s="322"/>
      <c r="AR272" s="322"/>
      <c r="AS272" s="322"/>
      <c r="AT272" s="322"/>
      <c r="AU272" s="322"/>
      <c r="AV272" s="322"/>
      <c r="AW272" s="322"/>
    </row>
    <row r="273" spans="1:49" ht="15.75" customHeight="1">
      <c r="A273" s="308">
        <v>2212011013</v>
      </c>
      <c r="B273" s="221" t="s">
        <v>283</v>
      </c>
      <c r="C273" s="500" t="s">
        <v>6</v>
      </c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28">
        <v>0</v>
      </c>
      <c r="AI273" s="324">
        <f t="shared" si="1"/>
        <v>0</v>
      </c>
      <c r="AJ273" s="322"/>
      <c r="AK273" s="322"/>
      <c r="AL273" s="322"/>
      <c r="AM273" s="322"/>
      <c r="AN273" s="322"/>
      <c r="AO273" s="322"/>
      <c r="AP273" s="322"/>
      <c r="AQ273" s="322"/>
      <c r="AR273" s="322"/>
      <c r="AS273" s="322"/>
      <c r="AT273" s="322"/>
      <c r="AU273" s="322"/>
      <c r="AV273" s="322"/>
      <c r="AW273" s="322"/>
    </row>
    <row r="274" spans="1:49" ht="15.75" customHeight="1">
      <c r="A274" s="308">
        <v>2212011014</v>
      </c>
      <c r="B274" s="221" t="s">
        <v>284</v>
      </c>
      <c r="C274" s="500" t="s">
        <v>6</v>
      </c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324">
        <f t="shared" si="1"/>
        <v>0</v>
      </c>
      <c r="AJ274" s="322"/>
      <c r="AK274" s="322"/>
      <c r="AL274" s="322"/>
      <c r="AM274" s="322"/>
      <c r="AN274" s="322"/>
      <c r="AO274" s="322"/>
      <c r="AP274" s="322"/>
      <c r="AQ274" s="322"/>
      <c r="AR274" s="322"/>
      <c r="AS274" s="322"/>
      <c r="AT274" s="322"/>
      <c r="AU274" s="322"/>
      <c r="AV274" s="322"/>
      <c r="AW274" s="322"/>
    </row>
    <row r="275" spans="1:49" ht="15.75" customHeight="1">
      <c r="A275" s="308">
        <v>2212011015</v>
      </c>
      <c r="B275" s="221" t="s">
        <v>285</v>
      </c>
      <c r="C275" s="500" t="s">
        <v>6</v>
      </c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324">
        <f t="shared" si="1"/>
        <v>0</v>
      </c>
      <c r="AJ275" s="322"/>
      <c r="AK275" s="322"/>
      <c r="AL275" s="322"/>
      <c r="AM275" s="322"/>
      <c r="AN275" s="322"/>
      <c r="AO275" s="322"/>
      <c r="AP275" s="322"/>
      <c r="AQ275" s="322"/>
      <c r="AR275" s="322"/>
      <c r="AS275" s="322"/>
      <c r="AT275" s="322"/>
      <c r="AU275" s="322"/>
      <c r="AV275" s="322"/>
      <c r="AW275" s="322"/>
    </row>
    <row r="276" spans="1:49" ht="15.75" customHeight="1">
      <c r="A276" s="308">
        <v>2212011016</v>
      </c>
      <c r="B276" s="221" t="s">
        <v>286</v>
      </c>
      <c r="C276" s="500" t="s">
        <v>6</v>
      </c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324">
        <f t="shared" si="1"/>
        <v>0</v>
      </c>
      <c r="AJ276" s="322"/>
      <c r="AK276" s="322"/>
      <c r="AL276" s="322"/>
      <c r="AM276" s="322"/>
      <c r="AN276" s="322"/>
      <c r="AO276" s="322"/>
      <c r="AP276" s="322"/>
      <c r="AQ276" s="322"/>
      <c r="AR276" s="322"/>
      <c r="AS276" s="322"/>
      <c r="AT276" s="322"/>
      <c r="AU276" s="322"/>
      <c r="AV276" s="322"/>
      <c r="AW276" s="322"/>
    </row>
    <row r="277" spans="1:49" ht="15.75" customHeight="1">
      <c r="A277" s="308">
        <v>2212011017</v>
      </c>
      <c r="B277" s="221" t="s">
        <v>287</v>
      </c>
      <c r="C277" s="500" t="s">
        <v>6</v>
      </c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0</v>
      </c>
      <c r="AI277" s="324">
        <f t="shared" si="1"/>
        <v>0</v>
      </c>
      <c r="AJ277" s="322"/>
      <c r="AK277" s="322"/>
      <c r="AL277" s="322"/>
      <c r="AM277" s="322"/>
      <c r="AN277" s="322"/>
      <c r="AO277" s="322"/>
      <c r="AP277" s="322"/>
      <c r="AQ277" s="322"/>
      <c r="AR277" s="322"/>
      <c r="AS277" s="322"/>
      <c r="AT277" s="322"/>
      <c r="AU277" s="322"/>
      <c r="AV277" s="322"/>
      <c r="AW277" s="322"/>
    </row>
    <row r="278" spans="1:49" ht="15.75" customHeight="1">
      <c r="A278" s="308">
        <v>2212011018</v>
      </c>
      <c r="B278" s="221" t="s">
        <v>288</v>
      </c>
      <c r="C278" s="500" t="s">
        <v>6</v>
      </c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0</v>
      </c>
      <c r="AG278" s="28">
        <v>0</v>
      </c>
      <c r="AH278" s="28">
        <v>0</v>
      </c>
      <c r="AI278" s="324">
        <f t="shared" si="1"/>
        <v>0</v>
      </c>
      <c r="AJ278" s="322"/>
      <c r="AK278" s="322"/>
      <c r="AL278" s="322"/>
      <c r="AM278" s="322"/>
      <c r="AN278" s="322"/>
      <c r="AO278" s="322"/>
      <c r="AP278" s="322"/>
      <c r="AQ278" s="322"/>
      <c r="AR278" s="322"/>
      <c r="AS278" s="322"/>
      <c r="AT278" s="322"/>
      <c r="AU278" s="322"/>
      <c r="AV278" s="322"/>
      <c r="AW278" s="322"/>
    </row>
    <row r="279" spans="1:49" ht="15.75" customHeight="1">
      <c r="A279" s="308">
        <v>2212011019</v>
      </c>
      <c r="B279" s="221" t="s">
        <v>289</v>
      </c>
      <c r="C279" s="500" t="s">
        <v>6</v>
      </c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28">
        <v>0</v>
      </c>
      <c r="AI279" s="324">
        <f t="shared" si="1"/>
        <v>0</v>
      </c>
      <c r="AJ279" s="322"/>
      <c r="AK279" s="322"/>
      <c r="AL279" s="322"/>
      <c r="AM279" s="322"/>
      <c r="AN279" s="322"/>
      <c r="AO279" s="322"/>
      <c r="AP279" s="322"/>
      <c r="AQ279" s="322"/>
      <c r="AR279" s="322"/>
      <c r="AS279" s="322"/>
      <c r="AT279" s="322"/>
      <c r="AU279" s="322"/>
      <c r="AV279" s="322"/>
      <c r="AW279" s="322"/>
    </row>
    <row r="280" spans="1:49" ht="15.75" customHeight="1">
      <c r="A280" s="311">
        <v>2212011026</v>
      </c>
      <c r="B280" s="227" t="s">
        <v>290</v>
      </c>
      <c r="C280" s="501" t="s">
        <v>86</v>
      </c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324">
        <f t="shared" si="1"/>
        <v>0</v>
      </c>
      <c r="AJ280" s="322"/>
      <c r="AK280" s="322"/>
      <c r="AL280" s="322"/>
      <c r="AM280" s="322"/>
      <c r="AN280" s="322"/>
      <c r="AO280" s="322"/>
      <c r="AP280" s="322"/>
      <c r="AQ280" s="322"/>
      <c r="AR280" s="322"/>
      <c r="AS280" s="322"/>
      <c r="AT280" s="322"/>
      <c r="AU280" s="322"/>
      <c r="AV280" s="322"/>
      <c r="AW280" s="322"/>
    </row>
    <row r="281" spans="1:49" ht="18.75" customHeight="1">
      <c r="A281" s="626" t="s">
        <v>291</v>
      </c>
      <c r="B281" s="606"/>
      <c r="C281" s="607"/>
      <c r="D281" s="502"/>
      <c r="E281" s="502"/>
      <c r="F281" s="502"/>
      <c r="G281" s="502"/>
      <c r="H281" s="502"/>
      <c r="I281" s="502"/>
      <c r="J281" s="502"/>
      <c r="K281" s="502"/>
      <c r="L281" s="502"/>
      <c r="M281" s="502"/>
      <c r="N281" s="502"/>
      <c r="O281" s="502"/>
      <c r="P281" s="502"/>
      <c r="Q281" s="502"/>
      <c r="R281" s="502"/>
      <c r="S281" s="502"/>
      <c r="T281" s="502"/>
      <c r="U281" s="502"/>
      <c r="V281" s="502"/>
      <c r="W281" s="502"/>
      <c r="X281" s="502"/>
      <c r="Y281" s="502"/>
      <c r="Z281" s="502"/>
      <c r="AA281" s="502"/>
      <c r="AB281" s="502"/>
      <c r="AC281" s="502"/>
      <c r="AD281" s="502"/>
      <c r="AE281" s="502"/>
      <c r="AF281" s="502"/>
      <c r="AG281" s="502"/>
      <c r="AH281" s="502"/>
      <c r="AI281" s="131">
        <f t="shared" si="1"/>
        <v>0</v>
      </c>
      <c r="AJ281" s="322"/>
      <c r="AK281" s="322"/>
      <c r="AL281" s="322"/>
      <c r="AM281" s="322"/>
      <c r="AN281" s="322"/>
      <c r="AO281" s="322"/>
      <c r="AP281" s="322"/>
      <c r="AQ281" s="322"/>
      <c r="AR281" s="322"/>
      <c r="AS281" s="322"/>
      <c r="AT281" s="322"/>
      <c r="AU281" s="322"/>
      <c r="AV281" s="322"/>
      <c r="AW281" s="322"/>
    </row>
    <row r="282" spans="1:49" ht="15.75" customHeight="1">
      <c r="A282" s="315">
        <v>2212001001</v>
      </c>
      <c r="B282" s="313" t="s">
        <v>292</v>
      </c>
      <c r="C282" s="503" t="s">
        <v>293</v>
      </c>
      <c r="D282" s="339"/>
      <c r="E282" s="339"/>
      <c r="F282" s="32">
        <v>1</v>
      </c>
      <c r="G282" s="32">
        <v>1</v>
      </c>
      <c r="H282" s="339"/>
      <c r="I282" s="339"/>
      <c r="J282" s="339"/>
      <c r="K282" s="339"/>
      <c r="L282" s="339"/>
      <c r="M282" s="32">
        <v>1</v>
      </c>
      <c r="N282" s="32">
        <v>1</v>
      </c>
      <c r="O282" s="32">
        <v>1</v>
      </c>
      <c r="P282" s="339"/>
      <c r="Q282" s="339"/>
      <c r="R282" s="339"/>
      <c r="S282" s="339"/>
      <c r="T282" s="32">
        <v>1</v>
      </c>
      <c r="U282" s="32">
        <v>1</v>
      </c>
      <c r="V282" s="339"/>
      <c r="W282" s="339"/>
      <c r="X282" s="339"/>
      <c r="Y282" s="339"/>
      <c r="Z282" s="339"/>
      <c r="AA282" s="32">
        <v>1</v>
      </c>
      <c r="AB282" s="32">
        <v>1</v>
      </c>
      <c r="AC282" s="339"/>
      <c r="AD282" s="339"/>
      <c r="AE282" s="339"/>
      <c r="AF282" s="339"/>
      <c r="AG282" s="339"/>
      <c r="AH282" s="32">
        <v>1</v>
      </c>
      <c r="AI282" s="324">
        <f t="shared" si="1"/>
        <v>10</v>
      </c>
      <c r="AJ282" s="322"/>
      <c r="AK282" s="322"/>
      <c r="AL282" s="322"/>
      <c r="AM282" s="322"/>
      <c r="AN282" s="322"/>
      <c r="AO282" s="322"/>
      <c r="AP282" s="322"/>
      <c r="AQ282" s="322"/>
      <c r="AR282" s="322"/>
      <c r="AS282" s="322"/>
      <c r="AT282" s="322"/>
      <c r="AU282" s="322"/>
      <c r="AV282" s="322"/>
      <c r="AW282" s="322"/>
    </row>
    <row r="283" spans="1:49" ht="15.75" customHeight="1">
      <c r="A283" s="317">
        <v>2212001002</v>
      </c>
      <c r="B283" s="239" t="s">
        <v>294</v>
      </c>
      <c r="C283" s="504" t="s">
        <v>175</v>
      </c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  <c r="AH283" s="325"/>
      <c r="AI283" s="324">
        <f t="shared" si="1"/>
        <v>0</v>
      </c>
      <c r="AJ283" s="322"/>
      <c r="AK283" s="322"/>
      <c r="AL283" s="322"/>
      <c r="AM283" s="322"/>
      <c r="AN283" s="322"/>
      <c r="AO283" s="322"/>
      <c r="AP283" s="322"/>
      <c r="AQ283" s="322"/>
      <c r="AR283" s="322"/>
      <c r="AS283" s="322"/>
      <c r="AT283" s="322"/>
      <c r="AU283" s="322"/>
      <c r="AV283" s="322"/>
      <c r="AW283" s="322"/>
    </row>
    <row r="284" spans="1:49" ht="15.75" customHeight="1">
      <c r="A284" s="317">
        <v>2212001006</v>
      </c>
      <c r="B284" s="239" t="s">
        <v>295</v>
      </c>
      <c r="C284" s="504" t="s">
        <v>296</v>
      </c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  <c r="AF284" s="339"/>
      <c r="AG284" s="339"/>
      <c r="AH284" s="339"/>
      <c r="AI284" s="324">
        <f t="shared" si="1"/>
        <v>0</v>
      </c>
      <c r="AJ284" s="322"/>
      <c r="AK284" s="322"/>
      <c r="AL284" s="322"/>
      <c r="AM284" s="322"/>
      <c r="AN284" s="322"/>
      <c r="AO284" s="322"/>
      <c r="AP284" s="322"/>
      <c r="AQ284" s="322"/>
      <c r="AR284" s="322"/>
      <c r="AS284" s="322"/>
      <c r="AT284" s="322"/>
      <c r="AU284" s="322"/>
      <c r="AV284" s="322"/>
      <c r="AW284" s="322"/>
    </row>
    <row r="285" spans="1:49" ht="15.75" customHeight="1">
      <c r="A285" s="317">
        <v>2212001007</v>
      </c>
      <c r="B285" s="239" t="s">
        <v>297</v>
      </c>
      <c r="C285" s="504" t="s">
        <v>6</v>
      </c>
      <c r="D285" s="325"/>
      <c r="E285" s="325"/>
      <c r="F285" s="28">
        <v>18</v>
      </c>
      <c r="G285" s="28">
        <v>18</v>
      </c>
      <c r="H285" s="325"/>
      <c r="I285" s="325"/>
      <c r="J285" s="325"/>
      <c r="K285" s="325"/>
      <c r="L285" s="325"/>
      <c r="M285" s="28">
        <v>20</v>
      </c>
      <c r="N285" s="28">
        <v>18</v>
      </c>
      <c r="O285" s="28">
        <v>18</v>
      </c>
      <c r="P285" s="325"/>
      <c r="Q285" s="325"/>
      <c r="R285" s="325"/>
      <c r="S285" s="325"/>
      <c r="T285" s="28">
        <v>18</v>
      </c>
      <c r="U285" s="28">
        <v>18</v>
      </c>
      <c r="V285" s="325"/>
      <c r="W285" s="325"/>
      <c r="X285" s="325"/>
      <c r="Y285" s="325"/>
      <c r="Z285" s="325"/>
      <c r="AA285" s="28">
        <v>20</v>
      </c>
      <c r="AB285" s="28">
        <v>18</v>
      </c>
      <c r="AC285" s="325"/>
      <c r="AD285" s="325"/>
      <c r="AE285" s="325"/>
      <c r="AF285" s="325"/>
      <c r="AG285" s="325"/>
      <c r="AH285" s="28">
        <v>18</v>
      </c>
      <c r="AI285" s="324">
        <f t="shared" si="1"/>
        <v>184</v>
      </c>
      <c r="AJ285" s="322"/>
      <c r="AK285" s="322"/>
      <c r="AL285" s="322"/>
      <c r="AM285" s="322"/>
      <c r="AN285" s="322"/>
      <c r="AO285" s="322"/>
      <c r="AP285" s="322"/>
      <c r="AQ285" s="322"/>
      <c r="AR285" s="322"/>
      <c r="AS285" s="322"/>
      <c r="AT285" s="322"/>
      <c r="AU285" s="322"/>
      <c r="AV285" s="322"/>
      <c r="AW285" s="322"/>
    </row>
    <row r="286" spans="1:49" ht="15.75" customHeight="1">
      <c r="A286" s="241">
        <v>2212007011</v>
      </c>
      <c r="B286" s="242" t="s">
        <v>298</v>
      </c>
      <c r="C286" s="241" t="s">
        <v>86</v>
      </c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  <c r="AF286" s="339"/>
      <c r="AG286" s="339"/>
      <c r="AH286" s="339"/>
      <c r="AI286" s="324">
        <f t="shared" si="1"/>
        <v>0</v>
      </c>
      <c r="AJ286" s="322"/>
      <c r="AK286" s="322"/>
      <c r="AL286" s="322"/>
      <c r="AM286" s="322"/>
      <c r="AN286" s="322"/>
      <c r="AO286" s="322"/>
      <c r="AP286" s="322"/>
      <c r="AQ286" s="322"/>
      <c r="AR286" s="322"/>
      <c r="AS286" s="322"/>
      <c r="AT286" s="322"/>
      <c r="AU286" s="322"/>
      <c r="AV286" s="322"/>
      <c r="AW286" s="322"/>
    </row>
    <row r="287" spans="1:49" ht="15.75" customHeight="1">
      <c r="A287" s="317">
        <v>2212001010</v>
      </c>
      <c r="B287" s="239" t="s">
        <v>299</v>
      </c>
      <c r="C287" s="504" t="s">
        <v>267</v>
      </c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  <c r="AH287" s="325"/>
      <c r="AI287" s="324">
        <f t="shared" si="1"/>
        <v>0</v>
      </c>
      <c r="AJ287" s="322"/>
      <c r="AK287" s="322"/>
      <c r="AL287" s="322"/>
      <c r="AM287" s="322"/>
      <c r="AN287" s="322"/>
      <c r="AO287" s="322"/>
      <c r="AP287" s="322"/>
      <c r="AQ287" s="322"/>
      <c r="AR287" s="322"/>
      <c r="AS287" s="322"/>
      <c r="AT287" s="322"/>
      <c r="AU287" s="322"/>
      <c r="AV287" s="322"/>
      <c r="AW287" s="322"/>
    </row>
    <row r="288" spans="1:49" ht="15.75" customHeight="1">
      <c r="A288" s="317">
        <v>2212001013</v>
      </c>
      <c r="B288" s="239" t="s">
        <v>300</v>
      </c>
      <c r="C288" s="504" t="s">
        <v>86</v>
      </c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  <c r="AE288" s="339"/>
      <c r="AF288" s="339"/>
      <c r="AG288" s="339"/>
      <c r="AH288" s="339"/>
      <c r="AI288" s="324">
        <f t="shared" si="1"/>
        <v>0</v>
      </c>
      <c r="AJ288" s="322"/>
      <c r="AK288" s="322"/>
      <c r="AL288" s="322"/>
      <c r="AM288" s="322"/>
      <c r="AN288" s="322"/>
      <c r="AO288" s="322"/>
      <c r="AP288" s="322"/>
      <c r="AQ288" s="322"/>
      <c r="AR288" s="322"/>
      <c r="AS288" s="322"/>
      <c r="AT288" s="322"/>
      <c r="AU288" s="322"/>
      <c r="AV288" s="322"/>
      <c r="AW288" s="322"/>
    </row>
    <row r="289" spans="1:49" ht="15.75" customHeight="1">
      <c r="A289" s="317">
        <v>2212001014</v>
      </c>
      <c r="B289" s="239" t="s">
        <v>301</v>
      </c>
      <c r="C289" s="504" t="s">
        <v>86</v>
      </c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  <c r="AH289" s="325"/>
      <c r="AI289" s="324">
        <f t="shared" si="1"/>
        <v>0</v>
      </c>
      <c r="AJ289" s="322"/>
      <c r="AK289" s="322"/>
      <c r="AL289" s="322"/>
      <c r="AM289" s="322"/>
      <c r="AN289" s="322"/>
      <c r="AO289" s="322"/>
      <c r="AP289" s="322"/>
      <c r="AQ289" s="322"/>
      <c r="AR289" s="322"/>
      <c r="AS289" s="322"/>
      <c r="AT289" s="322"/>
      <c r="AU289" s="322"/>
      <c r="AV289" s="322"/>
      <c r="AW289" s="322"/>
    </row>
    <row r="290" spans="1:49" ht="15.75" customHeight="1">
      <c r="A290" s="317">
        <v>2212001015</v>
      </c>
      <c r="B290" s="239" t="s">
        <v>302</v>
      </c>
      <c r="C290" s="504" t="s">
        <v>86</v>
      </c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  <c r="AE290" s="339"/>
      <c r="AF290" s="339"/>
      <c r="AG290" s="339"/>
      <c r="AH290" s="339"/>
      <c r="AI290" s="324">
        <f t="shared" si="1"/>
        <v>0</v>
      </c>
      <c r="AJ290" s="322"/>
      <c r="AK290" s="322"/>
      <c r="AL290" s="322"/>
      <c r="AM290" s="322"/>
      <c r="AN290" s="322"/>
      <c r="AO290" s="322"/>
      <c r="AP290" s="322"/>
      <c r="AQ290" s="322"/>
      <c r="AR290" s="322"/>
      <c r="AS290" s="322"/>
      <c r="AT290" s="322"/>
      <c r="AU290" s="322"/>
      <c r="AV290" s="322"/>
      <c r="AW290" s="322"/>
    </row>
    <row r="291" spans="1:49" ht="15.75" customHeight="1">
      <c r="A291" s="317">
        <v>2212001016</v>
      </c>
      <c r="B291" s="239" t="s">
        <v>303</v>
      </c>
      <c r="C291" s="504" t="s">
        <v>296</v>
      </c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  <c r="AH291" s="325"/>
      <c r="AI291" s="324">
        <f t="shared" si="1"/>
        <v>0</v>
      </c>
      <c r="AJ291" s="322"/>
      <c r="AK291" s="322"/>
      <c r="AL291" s="322"/>
      <c r="AM291" s="322"/>
      <c r="AN291" s="322"/>
      <c r="AO291" s="322"/>
      <c r="AP291" s="322"/>
      <c r="AQ291" s="322"/>
      <c r="AR291" s="322"/>
      <c r="AS291" s="322"/>
      <c r="AT291" s="322"/>
      <c r="AU291" s="322"/>
      <c r="AV291" s="322"/>
      <c r="AW291" s="322"/>
    </row>
    <row r="292" spans="1:49" ht="15.75" customHeight="1">
      <c r="A292" s="317">
        <v>2212001018</v>
      </c>
      <c r="B292" s="239" t="s">
        <v>304</v>
      </c>
      <c r="C292" s="504" t="s">
        <v>296</v>
      </c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  <c r="AF292" s="339"/>
      <c r="AG292" s="339"/>
      <c r="AH292" s="339"/>
      <c r="AI292" s="324">
        <f t="shared" si="1"/>
        <v>0</v>
      </c>
      <c r="AJ292" s="322"/>
      <c r="AK292" s="322"/>
      <c r="AL292" s="322"/>
      <c r="AM292" s="322"/>
      <c r="AN292" s="322"/>
      <c r="AO292" s="322"/>
      <c r="AP292" s="322"/>
      <c r="AQ292" s="322"/>
      <c r="AR292" s="322"/>
      <c r="AS292" s="322"/>
      <c r="AT292" s="322"/>
      <c r="AU292" s="322"/>
      <c r="AV292" s="322"/>
      <c r="AW292" s="322"/>
    </row>
    <row r="293" spans="1:49" ht="15.75" customHeight="1">
      <c r="A293" s="317">
        <v>2212001020</v>
      </c>
      <c r="B293" s="239" t="s">
        <v>305</v>
      </c>
      <c r="C293" s="504" t="s">
        <v>6</v>
      </c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  <c r="AH293" s="325"/>
      <c r="AI293" s="324">
        <f t="shared" si="1"/>
        <v>0</v>
      </c>
      <c r="AJ293" s="322"/>
      <c r="AK293" s="322"/>
      <c r="AL293" s="322"/>
      <c r="AM293" s="322"/>
      <c r="AN293" s="322"/>
      <c r="AO293" s="322"/>
      <c r="AP293" s="322"/>
      <c r="AQ293" s="322"/>
      <c r="AR293" s="322"/>
      <c r="AS293" s="322"/>
      <c r="AT293" s="322"/>
      <c r="AU293" s="322"/>
      <c r="AV293" s="322"/>
      <c r="AW293" s="322"/>
    </row>
    <row r="294" spans="1:49" ht="15.75" customHeight="1">
      <c r="A294" s="317">
        <v>2212001022</v>
      </c>
      <c r="B294" s="239" t="s">
        <v>306</v>
      </c>
      <c r="C294" s="504" t="s">
        <v>307</v>
      </c>
      <c r="D294" s="339"/>
      <c r="E294" s="339"/>
      <c r="F294" s="32">
        <v>3</v>
      </c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  <c r="AF294" s="339"/>
      <c r="AG294" s="339"/>
      <c r="AH294" s="32">
        <v>3</v>
      </c>
      <c r="AI294" s="324">
        <f t="shared" si="1"/>
        <v>6</v>
      </c>
      <c r="AJ294" s="322"/>
      <c r="AK294" s="322"/>
      <c r="AL294" s="322"/>
      <c r="AM294" s="322"/>
      <c r="AN294" s="322"/>
      <c r="AO294" s="322"/>
      <c r="AP294" s="322"/>
      <c r="AQ294" s="322"/>
      <c r="AR294" s="322"/>
      <c r="AS294" s="322"/>
      <c r="AT294" s="322"/>
      <c r="AU294" s="322"/>
      <c r="AV294" s="322"/>
      <c r="AW294" s="322"/>
    </row>
    <row r="295" spans="1:49" ht="15.75" customHeight="1">
      <c r="A295" s="241">
        <v>2212007018</v>
      </c>
      <c r="B295" s="242" t="s">
        <v>308</v>
      </c>
      <c r="C295" s="241" t="s">
        <v>86</v>
      </c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  <c r="AH295" s="325"/>
      <c r="AI295" s="324">
        <f t="shared" si="1"/>
        <v>0</v>
      </c>
      <c r="AJ295" s="322"/>
      <c r="AK295" s="322"/>
      <c r="AL295" s="322"/>
      <c r="AM295" s="322"/>
      <c r="AN295" s="322"/>
      <c r="AO295" s="322"/>
      <c r="AP295" s="322"/>
      <c r="AQ295" s="322"/>
      <c r="AR295" s="322"/>
      <c r="AS295" s="322"/>
      <c r="AT295" s="322"/>
      <c r="AU295" s="322"/>
      <c r="AV295" s="322"/>
      <c r="AW295" s="322"/>
    </row>
    <row r="296" spans="1:49" ht="15.75" customHeight="1">
      <c r="A296" s="317">
        <v>2212001026</v>
      </c>
      <c r="B296" s="239" t="s">
        <v>309</v>
      </c>
      <c r="C296" s="504" t="s">
        <v>6</v>
      </c>
      <c r="D296" s="339"/>
      <c r="E296" s="339"/>
      <c r="F296" s="32">
        <v>1</v>
      </c>
      <c r="G296" s="32">
        <v>1</v>
      </c>
      <c r="H296" s="339"/>
      <c r="I296" s="339"/>
      <c r="J296" s="339"/>
      <c r="K296" s="339"/>
      <c r="L296" s="339"/>
      <c r="M296" s="32">
        <v>1</v>
      </c>
      <c r="N296" s="32">
        <v>1</v>
      </c>
      <c r="O296" s="32">
        <v>1</v>
      </c>
      <c r="P296" s="339"/>
      <c r="Q296" s="339"/>
      <c r="R296" s="339"/>
      <c r="S296" s="339"/>
      <c r="T296" s="32">
        <v>1</v>
      </c>
      <c r="U296" s="32">
        <v>1</v>
      </c>
      <c r="V296" s="339"/>
      <c r="W296" s="339"/>
      <c r="X296" s="339"/>
      <c r="Y296" s="339"/>
      <c r="Z296" s="339"/>
      <c r="AA296" s="32">
        <v>1</v>
      </c>
      <c r="AB296" s="32">
        <v>1</v>
      </c>
      <c r="AC296" s="339"/>
      <c r="AD296" s="339"/>
      <c r="AE296" s="339"/>
      <c r="AF296" s="339"/>
      <c r="AG296" s="339"/>
      <c r="AH296" s="32">
        <v>1</v>
      </c>
      <c r="AI296" s="324">
        <f t="shared" si="1"/>
        <v>10</v>
      </c>
      <c r="AJ296" s="322"/>
      <c r="AK296" s="322"/>
      <c r="AL296" s="322"/>
      <c r="AM296" s="322"/>
      <c r="AN296" s="322"/>
      <c r="AO296" s="322"/>
      <c r="AP296" s="322"/>
      <c r="AQ296" s="322"/>
      <c r="AR296" s="322"/>
      <c r="AS296" s="322"/>
      <c r="AT296" s="322"/>
      <c r="AU296" s="322"/>
      <c r="AV296" s="322"/>
      <c r="AW296" s="322"/>
    </row>
    <row r="297" spans="1:49" ht="15.75" customHeight="1">
      <c r="A297" s="317">
        <v>2212001027</v>
      </c>
      <c r="B297" s="239" t="s">
        <v>310</v>
      </c>
      <c r="C297" s="504" t="s">
        <v>171</v>
      </c>
      <c r="D297" s="325"/>
      <c r="E297" s="325"/>
      <c r="F297" s="325"/>
      <c r="G297" s="325"/>
      <c r="H297" s="325"/>
      <c r="I297" s="325"/>
      <c r="J297" s="325"/>
      <c r="K297" s="325"/>
      <c r="L297" s="325"/>
      <c r="M297" s="28">
        <v>1</v>
      </c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  <c r="AH297" s="325"/>
      <c r="AI297" s="324">
        <f t="shared" si="1"/>
        <v>1</v>
      </c>
      <c r="AJ297" s="322"/>
      <c r="AK297" s="322"/>
      <c r="AL297" s="322"/>
      <c r="AM297" s="322"/>
      <c r="AN297" s="322"/>
      <c r="AO297" s="322"/>
      <c r="AP297" s="322"/>
      <c r="AQ297" s="322"/>
      <c r="AR297" s="322"/>
      <c r="AS297" s="322"/>
      <c r="AT297" s="322"/>
      <c r="AU297" s="322"/>
      <c r="AV297" s="322"/>
      <c r="AW297" s="322"/>
    </row>
    <row r="298" spans="1:49" ht="15.75" customHeight="1">
      <c r="A298" s="317">
        <v>2212001028</v>
      </c>
      <c r="B298" s="239" t="s">
        <v>311</v>
      </c>
      <c r="C298" s="504" t="s">
        <v>296</v>
      </c>
      <c r="D298" s="339"/>
      <c r="E298" s="339"/>
      <c r="F298" s="339"/>
      <c r="G298" s="339"/>
      <c r="H298" s="339"/>
      <c r="I298" s="339"/>
      <c r="J298" s="339"/>
      <c r="K298" s="339"/>
      <c r="L298" s="339"/>
      <c r="M298" s="32">
        <v>20</v>
      </c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  <c r="AE298" s="339"/>
      <c r="AF298" s="339"/>
      <c r="AG298" s="339"/>
      <c r="AH298" s="339"/>
      <c r="AI298" s="324">
        <f t="shared" si="1"/>
        <v>20</v>
      </c>
      <c r="AJ298" s="322"/>
      <c r="AK298" s="322"/>
      <c r="AL298" s="322"/>
      <c r="AM298" s="322"/>
      <c r="AN298" s="322"/>
      <c r="AO298" s="322"/>
      <c r="AP298" s="322"/>
      <c r="AQ298" s="322"/>
      <c r="AR298" s="322"/>
      <c r="AS298" s="322"/>
      <c r="AT298" s="322"/>
      <c r="AU298" s="322"/>
      <c r="AV298" s="322"/>
      <c r="AW298" s="322"/>
    </row>
    <row r="299" spans="1:49" ht="15.75" customHeight="1">
      <c r="A299" s="317">
        <v>2212001029</v>
      </c>
      <c r="B299" s="243" t="s">
        <v>312</v>
      </c>
      <c r="C299" s="504" t="s">
        <v>313</v>
      </c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  <c r="AH299" s="325"/>
      <c r="AI299" s="324">
        <f t="shared" si="1"/>
        <v>0</v>
      </c>
      <c r="AJ299" s="322"/>
      <c r="AK299" s="322"/>
      <c r="AL299" s="322"/>
      <c r="AM299" s="322"/>
      <c r="AN299" s="322"/>
      <c r="AO299" s="322"/>
      <c r="AP299" s="322"/>
      <c r="AQ299" s="322"/>
      <c r="AR299" s="322"/>
      <c r="AS299" s="322"/>
      <c r="AT299" s="322"/>
      <c r="AU299" s="322"/>
      <c r="AV299" s="322"/>
      <c r="AW299" s="322"/>
    </row>
    <row r="300" spans="1:49" ht="15.75" customHeight="1">
      <c r="A300" s="317">
        <v>2212001030</v>
      </c>
      <c r="B300" s="239" t="s">
        <v>314</v>
      </c>
      <c r="C300" s="504" t="s">
        <v>86</v>
      </c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  <c r="AE300" s="339"/>
      <c r="AF300" s="339"/>
      <c r="AG300" s="339"/>
      <c r="AH300" s="339"/>
      <c r="AI300" s="324">
        <f t="shared" si="1"/>
        <v>0</v>
      </c>
      <c r="AJ300" s="322"/>
      <c r="AK300" s="322"/>
      <c r="AL300" s="322"/>
      <c r="AM300" s="322"/>
      <c r="AN300" s="322"/>
      <c r="AO300" s="322"/>
      <c r="AP300" s="322"/>
      <c r="AQ300" s="322"/>
      <c r="AR300" s="322"/>
      <c r="AS300" s="322"/>
      <c r="AT300" s="322"/>
      <c r="AU300" s="322"/>
      <c r="AV300" s="322"/>
      <c r="AW300" s="322"/>
    </row>
    <row r="301" spans="1:49" ht="15.75" customHeight="1">
      <c r="A301" s="317">
        <v>2212001031</v>
      </c>
      <c r="B301" s="239" t="s">
        <v>315</v>
      </c>
      <c r="C301" s="504" t="s">
        <v>6</v>
      </c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  <c r="AH301" s="325"/>
      <c r="AI301" s="324">
        <f t="shared" si="1"/>
        <v>0</v>
      </c>
      <c r="AJ301" s="322"/>
      <c r="AK301" s="322"/>
      <c r="AL301" s="322"/>
      <c r="AM301" s="322"/>
      <c r="AN301" s="322"/>
      <c r="AO301" s="322"/>
      <c r="AP301" s="322"/>
      <c r="AQ301" s="322"/>
      <c r="AR301" s="322"/>
      <c r="AS301" s="322"/>
      <c r="AT301" s="322"/>
      <c r="AU301" s="322"/>
      <c r="AV301" s="322"/>
      <c r="AW301" s="322"/>
    </row>
    <row r="302" spans="1:49" ht="15.75" customHeight="1">
      <c r="A302" s="317">
        <v>2212001032</v>
      </c>
      <c r="B302" s="239" t="s">
        <v>316</v>
      </c>
      <c r="C302" s="504" t="s">
        <v>86</v>
      </c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  <c r="AE302" s="339"/>
      <c r="AF302" s="339"/>
      <c r="AG302" s="339"/>
      <c r="AH302" s="339"/>
      <c r="AI302" s="324">
        <f t="shared" si="1"/>
        <v>0</v>
      </c>
      <c r="AJ302" s="322"/>
      <c r="AK302" s="322"/>
      <c r="AL302" s="322"/>
      <c r="AM302" s="322"/>
      <c r="AN302" s="322"/>
      <c r="AO302" s="322"/>
      <c r="AP302" s="322"/>
      <c r="AQ302" s="322"/>
      <c r="AR302" s="322"/>
      <c r="AS302" s="322"/>
      <c r="AT302" s="322"/>
      <c r="AU302" s="322"/>
      <c r="AV302" s="322"/>
      <c r="AW302" s="322"/>
    </row>
    <row r="303" spans="1:49" ht="15.75" customHeight="1">
      <c r="A303" s="317">
        <v>2212001033</v>
      </c>
      <c r="B303" s="239" t="s">
        <v>317</v>
      </c>
      <c r="C303" s="504" t="s">
        <v>86</v>
      </c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  <c r="AH303" s="325"/>
      <c r="AI303" s="324">
        <f t="shared" si="1"/>
        <v>0</v>
      </c>
      <c r="AJ303" s="322"/>
      <c r="AK303" s="322"/>
      <c r="AL303" s="322"/>
      <c r="AM303" s="322"/>
      <c r="AN303" s="322"/>
      <c r="AO303" s="322"/>
      <c r="AP303" s="322"/>
      <c r="AQ303" s="322"/>
      <c r="AR303" s="322"/>
      <c r="AS303" s="322"/>
      <c r="AT303" s="322"/>
      <c r="AU303" s="322"/>
      <c r="AV303" s="322"/>
      <c r="AW303" s="322"/>
    </row>
    <row r="304" spans="1:49" ht="15.75" customHeight="1">
      <c r="A304" s="317">
        <v>2212001034</v>
      </c>
      <c r="B304" s="239" t="s">
        <v>318</v>
      </c>
      <c r="C304" s="504" t="s">
        <v>6</v>
      </c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2">
        <v>3</v>
      </c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  <c r="AE304" s="339"/>
      <c r="AF304" s="339"/>
      <c r="AG304" s="339"/>
      <c r="AH304" s="339"/>
      <c r="AI304" s="324">
        <f t="shared" si="1"/>
        <v>3</v>
      </c>
      <c r="AJ304" s="322"/>
      <c r="AK304" s="322"/>
      <c r="AL304" s="322"/>
      <c r="AM304" s="322"/>
      <c r="AN304" s="322"/>
      <c r="AO304" s="322"/>
      <c r="AP304" s="322"/>
      <c r="AQ304" s="322"/>
      <c r="AR304" s="322"/>
      <c r="AS304" s="322"/>
      <c r="AT304" s="322"/>
      <c r="AU304" s="322"/>
      <c r="AV304" s="322"/>
      <c r="AW304" s="322"/>
    </row>
    <row r="305" spans="1:49" ht="15.75" customHeight="1">
      <c r="A305" s="317">
        <v>2212001035</v>
      </c>
      <c r="B305" s="239" t="s">
        <v>319</v>
      </c>
      <c r="C305" s="504" t="s">
        <v>313</v>
      </c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  <c r="AA305" s="28">
        <v>3</v>
      </c>
      <c r="AB305" s="28">
        <v>2</v>
      </c>
      <c r="AC305" s="325"/>
      <c r="AD305" s="325"/>
      <c r="AE305" s="325"/>
      <c r="AF305" s="325"/>
      <c r="AG305" s="325"/>
      <c r="AH305" s="325"/>
      <c r="AI305" s="324">
        <f t="shared" si="1"/>
        <v>5</v>
      </c>
      <c r="AJ305" s="322"/>
      <c r="AK305" s="322"/>
      <c r="AL305" s="322"/>
      <c r="AM305" s="322"/>
      <c r="AN305" s="322"/>
      <c r="AO305" s="322"/>
      <c r="AP305" s="322"/>
      <c r="AQ305" s="322"/>
      <c r="AR305" s="322"/>
      <c r="AS305" s="322"/>
      <c r="AT305" s="322"/>
      <c r="AU305" s="322"/>
      <c r="AV305" s="322"/>
      <c r="AW305" s="322"/>
    </row>
    <row r="306" spans="1:49" ht="15.75" customHeight="1">
      <c r="A306" s="317">
        <v>2212001036</v>
      </c>
      <c r="B306" s="239" t="s">
        <v>320</v>
      </c>
      <c r="C306" s="504" t="s">
        <v>6</v>
      </c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  <c r="AE306" s="339"/>
      <c r="AF306" s="339"/>
      <c r="AG306" s="339"/>
      <c r="AH306" s="339"/>
      <c r="AI306" s="324">
        <f t="shared" si="1"/>
        <v>0</v>
      </c>
      <c r="AJ306" s="322"/>
      <c r="AK306" s="322"/>
      <c r="AL306" s="322"/>
      <c r="AM306" s="322"/>
      <c r="AN306" s="322"/>
      <c r="AO306" s="322"/>
      <c r="AP306" s="322"/>
      <c r="AQ306" s="322"/>
      <c r="AR306" s="322"/>
      <c r="AS306" s="322"/>
      <c r="AT306" s="322"/>
      <c r="AU306" s="322"/>
      <c r="AV306" s="322"/>
      <c r="AW306" s="322"/>
    </row>
    <row r="307" spans="1:49" ht="15.75" customHeight="1">
      <c r="A307" s="317">
        <v>2212001037</v>
      </c>
      <c r="B307" s="239" t="s">
        <v>321</v>
      </c>
      <c r="C307" s="504" t="s">
        <v>6</v>
      </c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  <c r="AH307" s="325"/>
      <c r="AI307" s="324">
        <f t="shared" si="1"/>
        <v>0</v>
      </c>
      <c r="AJ307" s="322"/>
      <c r="AK307" s="322"/>
      <c r="AL307" s="322"/>
      <c r="AM307" s="322"/>
      <c r="AN307" s="322"/>
      <c r="AO307" s="322"/>
      <c r="AP307" s="322"/>
      <c r="AQ307" s="322"/>
      <c r="AR307" s="322"/>
      <c r="AS307" s="322"/>
      <c r="AT307" s="322"/>
      <c r="AU307" s="322"/>
      <c r="AV307" s="322"/>
      <c r="AW307" s="322"/>
    </row>
    <row r="308" spans="1:49" ht="15.75" customHeight="1">
      <c r="A308" s="317">
        <v>2212001038</v>
      </c>
      <c r="B308" s="239" t="s">
        <v>322</v>
      </c>
      <c r="C308" s="504" t="s">
        <v>86</v>
      </c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  <c r="AE308" s="339"/>
      <c r="AF308" s="339"/>
      <c r="AG308" s="339"/>
      <c r="AH308" s="339"/>
      <c r="AI308" s="324">
        <f t="shared" si="1"/>
        <v>0</v>
      </c>
      <c r="AJ308" s="322"/>
      <c r="AK308" s="322"/>
      <c r="AL308" s="322"/>
      <c r="AM308" s="322"/>
      <c r="AN308" s="322"/>
      <c r="AO308" s="322"/>
      <c r="AP308" s="322"/>
      <c r="AQ308" s="322"/>
      <c r="AR308" s="322"/>
      <c r="AS308" s="322"/>
      <c r="AT308" s="322"/>
      <c r="AU308" s="322"/>
      <c r="AV308" s="322"/>
      <c r="AW308" s="322"/>
    </row>
    <row r="309" spans="1:49" ht="15.75" customHeight="1">
      <c r="A309" s="317">
        <v>2212001040</v>
      </c>
      <c r="B309" s="239" t="s">
        <v>323</v>
      </c>
      <c r="C309" s="504" t="s">
        <v>6</v>
      </c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  <c r="AE309" s="339"/>
      <c r="AF309" s="339"/>
      <c r="AG309" s="339"/>
      <c r="AH309" s="339"/>
      <c r="AI309" s="324">
        <f t="shared" si="1"/>
        <v>0</v>
      </c>
      <c r="AJ309" s="322"/>
      <c r="AK309" s="322"/>
      <c r="AL309" s="322"/>
      <c r="AM309" s="322"/>
      <c r="AN309" s="322"/>
      <c r="AO309" s="322"/>
      <c r="AP309" s="322"/>
      <c r="AQ309" s="322"/>
      <c r="AR309" s="322"/>
      <c r="AS309" s="322"/>
      <c r="AT309" s="322"/>
      <c r="AU309" s="322"/>
      <c r="AV309" s="322"/>
      <c r="AW309" s="322"/>
    </row>
    <row r="310" spans="1:49" ht="15.75" customHeight="1">
      <c r="A310" s="317">
        <v>2212001041</v>
      </c>
      <c r="B310" s="239" t="s">
        <v>324</v>
      </c>
      <c r="C310" s="504" t="s">
        <v>6</v>
      </c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  <c r="AH310" s="325"/>
      <c r="AI310" s="324">
        <f t="shared" si="1"/>
        <v>0</v>
      </c>
      <c r="AJ310" s="322"/>
      <c r="AK310" s="322"/>
      <c r="AL310" s="322"/>
      <c r="AM310" s="322"/>
      <c r="AN310" s="322"/>
      <c r="AO310" s="322"/>
      <c r="AP310" s="322"/>
      <c r="AQ310" s="322"/>
      <c r="AR310" s="322"/>
      <c r="AS310" s="322"/>
      <c r="AT310" s="322"/>
      <c r="AU310" s="322"/>
      <c r="AV310" s="322"/>
      <c r="AW310" s="322"/>
    </row>
    <row r="311" spans="1:49" ht="15.75" customHeight="1">
      <c r="A311" s="317">
        <v>2212001042</v>
      </c>
      <c r="B311" s="239" t="s">
        <v>325</v>
      </c>
      <c r="C311" s="504" t="s">
        <v>313</v>
      </c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  <c r="AE311" s="339"/>
      <c r="AF311" s="339"/>
      <c r="AG311" s="339"/>
      <c r="AH311" s="339"/>
      <c r="AI311" s="324">
        <f t="shared" si="1"/>
        <v>0</v>
      </c>
      <c r="AJ311" s="322"/>
      <c r="AK311" s="322"/>
      <c r="AL311" s="322"/>
      <c r="AM311" s="322"/>
      <c r="AN311" s="322"/>
      <c r="AO311" s="322"/>
      <c r="AP311" s="322"/>
      <c r="AQ311" s="322"/>
      <c r="AR311" s="322"/>
      <c r="AS311" s="322"/>
      <c r="AT311" s="322"/>
      <c r="AU311" s="322"/>
      <c r="AV311" s="322"/>
      <c r="AW311" s="322"/>
    </row>
    <row r="312" spans="1:49" ht="15.75" customHeight="1">
      <c r="A312" s="317">
        <v>2212001044</v>
      </c>
      <c r="B312" s="239" t="s">
        <v>326</v>
      </c>
      <c r="C312" s="504" t="s">
        <v>8</v>
      </c>
      <c r="D312" s="325"/>
      <c r="E312" s="325"/>
      <c r="F312" s="28">
        <v>60</v>
      </c>
      <c r="G312" s="28">
        <v>60</v>
      </c>
      <c r="H312" s="325"/>
      <c r="I312" s="325"/>
      <c r="J312" s="325"/>
      <c r="K312" s="325"/>
      <c r="L312" s="325"/>
      <c r="M312" s="28">
        <v>60</v>
      </c>
      <c r="N312" s="28">
        <v>60</v>
      </c>
      <c r="O312" s="325"/>
      <c r="P312" s="325"/>
      <c r="Q312" s="325"/>
      <c r="R312" s="325"/>
      <c r="S312" s="325"/>
      <c r="T312" s="28">
        <v>60</v>
      </c>
      <c r="U312" s="28">
        <v>60</v>
      </c>
      <c r="V312" s="325"/>
      <c r="W312" s="325"/>
      <c r="X312" s="325"/>
      <c r="Y312" s="325"/>
      <c r="Z312" s="325"/>
      <c r="AA312" s="28">
        <v>60</v>
      </c>
      <c r="AB312" s="28">
        <v>60</v>
      </c>
      <c r="AC312" s="325"/>
      <c r="AD312" s="325"/>
      <c r="AE312" s="325"/>
      <c r="AF312" s="325"/>
      <c r="AG312" s="325"/>
      <c r="AH312" s="28">
        <v>60</v>
      </c>
      <c r="AI312" s="324">
        <f t="shared" si="1"/>
        <v>540</v>
      </c>
      <c r="AJ312" s="322"/>
      <c r="AK312" s="322"/>
      <c r="AL312" s="322"/>
      <c r="AM312" s="322"/>
      <c r="AN312" s="322"/>
      <c r="AO312" s="322"/>
      <c r="AP312" s="322"/>
      <c r="AQ312" s="322"/>
      <c r="AR312" s="322"/>
      <c r="AS312" s="322"/>
      <c r="AT312" s="322"/>
      <c r="AU312" s="322"/>
      <c r="AV312" s="322"/>
      <c r="AW312" s="322"/>
    </row>
    <row r="313" spans="1:49" ht="15.75" customHeight="1">
      <c r="A313" s="317">
        <v>2212001045</v>
      </c>
      <c r="B313" s="239" t="s">
        <v>327</v>
      </c>
      <c r="C313" s="504" t="s">
        <v>296</v>
      </c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  <c r="AE313" s="339"/>
      <c r="AF313" s="339"/>
      <c r="AG313" s="339"/>
      <c r="AH313" s="339"/>
      <c r="AI313" s="324">
        <f t="shared" si="1"/>
        <v>0</v>
      </c>
      <c r="AJ313" s="322"/>
      <c r="AK313" s="322"/>
      <c r="AL313" s="322"/>
      <c r="AM313" s="322"/>
      <c r="AN313" s="322"/>
      <c r="AO313" s="322"/>
      <c r="AP313" s="322"/>
      <c r="AQ313" s="322"/>
      <c r="AR313" s="322"/>
      <c r="AS313" s="322"/>
      <c r="AT313" s="322"/>
      <c r="AU313" s="322"/>
      <c r="AV313" s="322"/>
      <c r="AW313" s="322"/>
    </row>
    <row r="314" spans="1:49" ht="15.75" customHeight="1">
      <c r="A314" s="317">
        <v>2212001046</v>
      </c>
      <c r="B314" s="239" t="s">
        <v>328</v>
      </c>
      <c r="C314" s="504" t="s">
        <v>267</v>
      </c>
      <c r="D314" s="325"/>
      <c r="E314" s="325"/>
      <c r="F314" s="325"/>
      <c r="G314" s="28">
        <v>1</v>
      </c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  <c r="AA314" s="28">
        <v>2</v>
      </c>
      <c r="AB314" s="325"/>
      <c r="AC314" s="325"/>
      <c r="AD314" s="325"/>
      <c r="AE314" s="325"/>
      <c r="AF314" s="325"/>
      <c r="AG314" s="325"/>
      <c r="AH314" s="325"/>
      <c r="AI314" s="324">
        <f t="shared" si="1"/>
        <v>3</v>
      </c>
      <c r="AJ314" s="322"/>
      <c r="AK314" s="322"/>
      <c r="AL314" s="322"/>
      <c r="AM314" s="322"/>
      <c r="AN314" s="322"/>
      <c r="AO314" s="322"/>
      <c r="AP314" s="322"/>
      <c r="AQ314" s="322"/>
      <c r="AR314" s="322"/>
      <c r="AS314" s="322"/>
      <c r="AT314" s="322"/>
      <c r="AU314" s="322"/>
      <c r="AV314" s="322"/>
      <c r="AW314" s="322"/>
    </row>
    <row r="315" spans="1:49" ht="15.75" customHeight="1">
      <c r="A315" s="317">
        <v>2212001047</v>
      </c>
      <c r="B315" s="239" t="s">
        <v>329</v>
      </c>
      <c r="C315" s="504" t="s">
        <v>8</v>
      </c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  <c r="AE315" s="339"/>
      <c r="AF315" s="339"/>
      <c r="AG315" s="339"/>
      <c r="AH315" s="339"/>
      <c r="AI315" s="324">
        <f t="shared" si="1"/>
        <v>0</v>
      </c>
      <c r="AJ315" s="322"/>
      <c r="AK315" s="322"/>
      <c r="AL315" s="322"/>
      <c r="AM315" s="322"/>
      <c r="AN315" s="322"/>
      <c r="AO315" s="322"/>
      <c r="AP315" s="322"/>
      <c r="AQ315" s="322"/>
      <c r="AR315" s="322"/>
      <c r="AS315" s="322"/>
      <c r="AT315" s="322"/>
      <c r="AU315" s="322"/>
      <c r="AV315" s="322"/>
      <c r="AW315" s="322"/>
    </row>
    <row r="316" spans="1:49" ht="15.75" customHeight="1">
      <c r="A316" s="317">
        <v>2212001049</v>
      </c>
      <c r="B316" s="239" t="s">
        <v>330</v>
      </c>
      <c r="C316" s="504" t="s">
        <v>296</v>
      </c>
      <c r="D316" s="325"/>
      <c r="E316" s="325"/>
      <c r="F316" s="325"/>
      <c r="G316" s="28">
        <v>2</v>
      </c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  <c r="AH316" s="325"/>
      <c r="AI316" s="324">
        <f t="shared" si="1"/>
        <v>2</v>
      </c>
      <c r="AJ316" s="322"/>
      <c r="AK316" s="322"/>
      <c r="AL316" s="322"/>
      <c r="AM316" s="322"/>
      <c r="AN316" s="322"/>
      <c r="AO316" s="322"/>
      <c r="AP316" s="322"/>
      <c r="AQ316" s="322"/>
      <c r="AR316" s="322"/>
      <c r="AS316" s="322"/>
      <c r="AT316" s="322"/>
      <c r="AU316" s="322"/>
      <c r="AV316" s="322"/>
      <c r="AW316" s="322"/>
    </row>
    <row r="317" spans="1:49" ht="15.75" customHeight="1">
      <c r="A317" s="317">
        <v>2212001050</v>
      </c>
      <c r="B317" s="239" t="s">
        <v>331</v>
      </c>
      <c r="C317" s="504" t="s">
        <v>267</v>
      </c>
      <c r="D317" s="339"/>
      <c r="E317" s="339"/>
      <c r="F317" s="339"/>
      <c r="G317" s="32">
        <v>1</v>
      </c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  <c r="AE317" s="339"/>
      <c r="AF317" s="339"/>
      <c r="AG317" s="339"/>
      <c r="AH317" s="339"/>
      <c r="AI317" s="324">
        <f t="shared" si="1"/>
        <v>1</v>
      </c>
      <c r="AJ317" s="322"/>
      <c r="AK317" s="322"/>
      <c r="AL317" s="322"/>
      <c r="AM317" s="322"/>
      <c r="AN317" s="322"/>
      <c r="AO317" s="322"/>
      <c r="AP317" s="322"/>
      <c r="AQ317" s="322"/>
      <c r="AR317" s="322"/>
      <c r="AS317" s="322"/>
      <c r="AT317" s="322"/>
      <c r="AU317" s="322"/>
      <c r="AV317" s="322"/>
      <c r="AW317" s="322"/>
    </row>
    <row r="318" spans="1:49" ht="15.75" customHeight="1">
      <c r="A318" s="317">
        <v>2212001051</v>
      </c>
      <c r="B318" s="239" t="s">
        <v>332</v>
      </c>
      <c r="C318" s="504" t="s">
        <v>175</v>
      </c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  <c r="AH318" s="325"/>
      <c r="AI318" s="324">
        <f t="shared" si="1"/>
        <v>0</v>
      </c>
      <c r="AJ318" s="322"/>
      <c r="AK318" s="322"/>
      <c r="AL318" s="322"/>
      <c r="AM318" s="322"/>
      <c r="AN318" s="322"/>
      <c r="AO318" s="322"/>
      <c r="AP318" s="322"/>
      <c r="AQ318" s="322"/>
      <c r="AR318" s="322"/>
      <c r="AS318" s="322"/>
      <c r="AT318" s="322"/>
      <c r="AU318" s="322"/>
      <c r="AV318" s="322"/>
      <c r="AW318" s="322"/>
    </row>
    <row r="319" spans="1:49" ht="15.75" customHeight="1">
      <c r="A319" s="317">
        <v>2212001053</v>
      </c>
      <c r="B319" s="239" t="s">
        <v>333</v>
      </c>
      <c r="C319" s="504" t="s">
        <v>313</v>
      </c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  <c r="AE319" s="339"/>
      <c r="AF319" s="339"/>
      <c r="AG319" s="339"/>
      <c r="AH319" s="339"/>
      <c r="AI319" s="324">
        <f t="shared" si="1"/>
        <v>0</v>
      </c>
      <c r="AJ319" s="322"/>
      <c r="AK319" s="322"/>
      <c r="AL319" s="322"/>
      <c r="AM319" s="322"/>
      <c r="AN319" s="322"/>
      <c r="AO319" s="322"/>
      <c r="AP319" s="322"/>
      <c r="AQ319" s="322"/>
      <c r="AR319" s="322"/>
      <c r="AS319" s="322"/>
      <c r="AT319" s="322"/>
      <c r="AU319" s="322"/>
      <c r="AV319" s="322"/>
      <c r="AW319" s="322"/>
    </row>
    <row r="320" spans="1:49" ht="15.75" customHeight="1">
      <c r="A320" s="317">
        <v>2212001054</v>
      </c>
      <c r="B320" s="239" t="s">
        <v>334</v>
      </c>
      <c r="C320" s="504" t="s">
        <v>313</v>
      </c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  <c r="AH320" s="325"/>
      <c r="AI320" s="324">
        <f t="shared" si="1"/>
        <v>0</v>
      </c>
      <c r="AJ320" s="322"/>
      <c r="AK320" s="322"/>
      <c r="AL320" s="322"/>
      <c r="AM320" s="322"/>
      <c r="AN320" s="322"/>
      <c r="AO320" s="322"/>
      <c r="AP320" s="322"/>
      <c r="AQ320" s="322"/>
      <c r="AR320" s="322"/>
      <c r="AS320" s="322"/>
      <c r="AT320" s="322"/>
      <c r="AU320" s="322"/>
      <c r="AV320" s="322"/>
      <c r="AW320" s="322"/>
    </row>
    <row r="321" spans="1:49" ht="15.75" customHeight="1">
      <c r="A321" s="317">
        <v>2212001055</v>
      </c>
      <c r="B321" s="239" t="s">
        <v>335</v>
      </c>
      <c r="C321" s="504" t="s">
        <v>313</v>
      </c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2">
        <v>2</v>
      </c>
      <c r="O321" s="32">
        <v>2</v>
      </c>
      <c r="P321" s="339"/>
      <c r="Q321" s="339"/>
      <c r="R321" s="339"/>
      <c r="S321" s="339"/>
      <c r="T321" s="32">
        <v>2</v>
      </c>
      <c r="U321" s="32">
        <v>2</v>
      </c>
      <c r="V321" s="339"/>
      <c r="W321" s="339"/>
      <c r="X321" s="339"/>
      <c r="Y321" s="339"/>
      <c r="Z321" s="339"/>
      <c r="AA321" s="339"/>
      <c r="AB321" s="339"/>
      <c r="AC321" s="339"/>
      <c r="AD321" s="339"/>
      <c r="AE321" s="339"/>
      <c r="AF321" s="339"/>
      <c r="AG321" s="339"/>
      <c r="AH321" s="32">
        <v>2</v>
      </c>
      <c r="AI321" s="324">
        <f t="shared" si="1"/>
        <v>10</v>
      </c>
      <c r="AJ321" s="322"/>
      <c r="AK321" s="322"/>
      <c r="AL321" s="322"/>
      <c r="AM321" s="322"/>
      <c r="AN321" s="322"/>
      <c r="AO321" s="322"/>
      <c r="AP321" s="322"/>
      <c r="AQ321" s="322"/>
      <c r="AR321" s="322"/>
      <c r="AS321" s="322"/>
      <c r="AT321" s="322"/>
      <c r="AU321" s="322"/>
      <c r="AV321" s="322"/>
      <c r="AW321" s="322"/>
    </row>
    <row r="322" spans="1:49" ht="15.75" customHeight="1">
      <c r="A322" s="317">
        <v>2212001057</v>
      </c>
      <c r="B322" s="239" t="s">
        <v>336</v>
      </c>
      <c r="C322" s="504" t="s">
        <v>296</v>
      </c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  <c r="AH322" s="325"/>
      <c r="AI322" s="324">
        <f t="shared" si="1"/>
        <v>0</v>
      </c>
      <c r="AJ322" s="322"/>
      <c r="AK322" s="322"/>
      <c r="AL322" s="322"/>
      <c r="AM322" s="322"/>
      <c r="AN322" s="322"/>
      <c r="AO322" s="322"/>
      <c r="AP322" s="322"/>
      <c r="AQ322" s="322"/>
      <c r="AR322" s="322"/>
      <c r="AS322" s="322"/>
      <c r="AT322" s="322"/>
      <c r="AU322" s="322"/>
      <c r="AV322" s="322"/>
      <c r="AW322" s="322"/>
    </row>
    <row r="323" spans="1:49" ht="15.75" customHeight="1">
      <c r="A323" s="317">
        <v>2212001058</v>
      </c>
      <c r="B323" s="239" t="s">
        <v>337</v>
      </c>
      <c r="C323" s="504" t="s">
        <v>296</v>
      </c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  <c r="AE323" s="339"/>
      <c r="AF323" s="339"/>
      <c r="AG323" s="339"/>
      <c r="AH323" s="339"/>
      <c r="AI323" s="324">
        <f t="shared" si="1"/>
        <v>0</v>
      </c>
      <c r="AJ323" s="322"/>
      <c r="AK323" s="322"/>
      <c r="AL323" s="322"/>
      <c r="AM323" s="322"/>
      <c r="AN323" s="322"/>
      <c r="AO323" s="322"/>
      <c r="AP323" s="322"/>
      <c r="AQ323" s="322"/>
      <c r="AR323" s="322"/>
      <c r="AS323" s="322"/>
      <c r="AT323" s="322"/>
      <c r="AU323" s="322"/>
      <c r="AV323" s="322"/>
      <c r="AW323" s="322"/>
    </row>
    <row r="324" spans="1:49" ht="15.75" customHeight="1">
      <c r="A324" s="317">
        <v>2212001060</v>
      </c>
      <c r="B324" s="239" t="s">
        <v>338</v>
      </c>
      <c r="C324" s="504" t="s">
        <v>296</v>
      </c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  <c r="AH324" s="325"/>
      <c r="AI324" s="324">
        <f t="shared" si="1"/>
        <v>0</v>
      </c>
      <c r="AJ324" s="322"/>
      <c r="AK324" s="322"/>
      <c r="AL324" s="322"/>
      <c r="AM324" s="322"/>
      <c r="AN324" s="322"/>
      <c r="AO324" s="322"/>
      <c r="AP324" s="322"/>
      <c r="AQ324" s="322"/>
      <c r="AR324" s="322"/>
      <c r="AS324" s="322"/>
      <c r="AT324" s="322"/>
      <c r="AU324" s="322"/>
      <c r="AV324" s="322"/>
      <c r="AW324" s="322"/>
    </row>
    <row r="325" spans="1:49" ht="15.75" customHeight="1">
      <c r="A325" s="317">
        <v>2212001062</v>
      </c>
      <c r="B325" s="239" t="s">
        <v>339</v>
      </c>
      <c r="C325" s="504" t="s">
        <v>6</v>
      </c>
      <c r="D325" s="339"/>
      <c r="E325" s="339"/>
      <c r="F325" s="32">
        <v>3</v>
      </c>
      <c r="G325" s="32">
        <v>3</v>
      </c>
      <c r="H325" s="339"/>
      <c r="I325" s="339"/>
      <c r="J325" s="339"/>
      <c r="K325" s="339"/>
      <c r="L325" s="339"/>
      <c r="M325" s="32">
        <v>3</v>
      </c>
      <c r="N325" s="32">
        <v>3</v>
      </c>
      <c r="O325" s="339"/>
      <c r="P325" s="339"/>
      <c r="Q325" s="339"/>
      <c r="R325" s="339"/>
      <c r="S325" s="339"/>
      <c r="T325" s="32">
        <v>3</v>
      </c>
      <c r="U325" s="32">
        <v>3</v>
      </c>
      <c r="V325" s="339"/>
      <c r="W325" s="339"/>
      <c r="X325" s="339"/>
      <c r="Y325" s="339"/>
      <c r="Z325" s="339"/>
      <c r="AA325" s="32">
        <v>3</v>
      </c>
      <c r="AB325" s="32">
        <v>3</v>
      </c>
      <c r="AC325" s="339"/>
      <c r="AD325" s="339"/>
      <c r="AE325" s="339"/>
      <c r="AF325" s="339"/>
      <c r="AG325" s="339"/>
      <c r="AH325" s="32">
        <v>3</v>
      </c>
      <c r="AI325" s="324">
        <f t="shared" si="1"/>
        <v>27</v>
      </c>
      <c r="AJ325" s="322"/>
      <c r="AK325" s="322"/>
      <c r="AL325" s="322"/>
      <c r="AM325" s="322"/>
      <c r="AN325" s="322"/>
      <c r="AO325" s="322"/>
      <c r="AP325" s="322"/>
      <c r="AQ325" s="322"/>
      <c r="AR325" s="322"/>
      <c r="AS325" s="322"/>
      <c r="AT325" s="322"/>
      <c r="AU325" s="322"/>
      <c r="AV325" s="322"/>
      <c r="AW325" s="322"/>
    </row>
    <row r="326" spans="1:49" ht="15.75" customHeight="1">
      <c r="A326" s="317">
        <v>2212001063</v>
      </c>
      <c r="B326" s="239" t="s">
        <v>340</v>
      </c>
      <c r="C326" s="504" t="s">
        <v>6</v>
      </c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  <c r="AH326" s="325"/>
      <c r="AI326" s="324">
        <f t="shared" si="1"/>
        <v>0</v>
      </c>
      <c r="AJ326" s="322"/>
      <c r="AK326" s="322"/>
      <c r="AL326" s="322"/>
      <c r="AM326" s="322"/>
      <c r="AN326" s="322"/>
      <c r="AO326" s="322"/>
      <c r="AP326" s="322"/>
      <c r="AQ326" s="322"/>
      <c r="AR326" s="322"/>
      <c r="AS326" s="322"/>
      <c r="AT326" s="322"/>
      <c r="AU326" s="322"/>
      <c r="AV326" s="322"/>
      <c r="AW326" s="322"/>
    </row>
    <row r="327" spans="1:49" ht="15.75" customHeight="1">
      <c r="A327" s="317">
        <v>2212001065</v>
      </c>
      <c r="B327" s="239" t="s">
        <v>341</v>
      </c>
      <c r="C327" s="504" t="s">
        <v>8</v>
      </c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  <c r="AF327" s="339"/>
      <c r="AG327" s="339"/>
      <c r="AH327" s="339"/>
      <c r="AI327" s="324">
        <f t="shared" si="1"/>
        <v>0</v>
      </c>
      <c r="AJ327" s="322"/>
      <c r="AK327" s="322"/>
      <c r="AL327" s="322"/>
      <c r="AM327" s="322"/>
      <c r="AN327" s="322"/>
      <c r="AO327" s="322"/>
      <c r="AP327" s="322"/>
      <c r="AQ327" s="322"/>
      <c r="AR327" s="322"/>
      <c r="AS327" s="322"/>
      <c r="AT327" s="322"/>
      <c r="AU327" s="322"/>
      <c r="AV327" s="322"/>
      <c r="AW327" s="322"/>
    </row>
    <row r="328" spans="1:49" ht="15.75" customHeight="1">
      <c r="A328" s="317">
        <v>2212001066</v>
      </c>
      <c r="B328" s="239" t="s">
        <v>342</v>
      </c>
      <c r="C328" s="504" t="s">
        <v>171</v>
      </c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  <c r="AH328" s="325"/>
      <c r="AI328" s="324">
        <f t="shared" si="1"/>
        <v>0</v>
      </c>
      <c r="AJ328" s="322"/>
      <c r="AK328" s="322"/>
      <c r="AL328" s="322"/>
      <c r="AM328" s="322"/>
      <c r="AN328" s="322"/>
      <c r="AO328" s="322"/>
      <c r="AP328" s="322"/>
      <c r="AQ328" s="322"/>
      <c r="AR328" s="322"/>
      <c r="AS328" s="322"/>
      <c r="AT328" s="322"/>
      <c r="AU328" s="322"/>
      <c r="AV328" s="322"/>
      <c r="AW328" s="322"/>
    </row>
    <row r="329" spans="1:49" ht="15.75" customHeight="1">
      <c r="A329" s="317">
        <v>2212001067</v>
      </c>
      <c r="B329" s="239" t="s">
        <v>343</v>
      </c>
      <c r="C329" s="504" t="s">
        <v>267</v>
      </c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  <c r="AE329" s="339"/>
      <c r="AF329" s="339"/>
      <c r="AG329" s="339"/>
      <c r="AH329" s="339"/>
      <c r="AI329" s="324">
        <f t="shared" si="1"/>
        <v>0</v>
      </c>
      <c r="AJ329" s="322"/>
      <c r="AK329" s="322"/>
      <c r="AL329" s="322"/>
      <c r="AM329" s="322"/>
      <c r="AN329" s="322"/>
      <c r="AO329" s="322"/>
      <c r="AP329" s="322"/>
      <c r="AQ329" s="322"/>
      <c r="AR329" s="322"/>
      <c r="AS329" s="322"/>
      <c r="AT329" s="322"/>
      <c r="AU329" s="322"/>
      <c r="AV329" s="322"/>
      <c r="AW329" s="322"/>
    </row>
    <row r="330" spans="1:49" ht="15.75" customHeight="1">
      <c r="A330" s="241">
        <v>2212007013</v>
      </c>
      <c r="B330" s="242" t="s">
        <v>344</v>
      </c>
      <c r="C330" s="241" t="s">
        <v>313</v>
      </c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  <c r="AH330" s="325"/>
      <c r="AI330" s="324">
        <f t="shared" si="1"/>
        <v>0</v>
      </c>
      <c r="AJ330" s="322"/>
      <c r="AK330" s="322"/>
      <c r="AL330" s="322"/>
      <c r="AM330" s="322"/>
      <c r="AN330" s="322"/>
      <c r="AO330" s="322"/>
      <c r="AP330" s="322"/>
      <c r="AQ330" s="322"/>
      <c r="AR330" s="322"/>
      <c r="AS330" s="322"/>
      <c r="AT330" s="322"/>
      <c r="AU330" s="322"/>
      <c r="AV330" s="322"/>
      <c r="AW330" s="322"/>
    </row>
    <row r="331" spans="1:49" ht="15.75" customHeight="1">
      <c r="A331" s="241">
        <v>2212007014</v>
      </c>
      <c r="B331" s="242" t="s">
        <v>345</v>
      </c>
      <c r="C331" s="241" t="s">
        <v>313</v>
      </c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  <c r="AE331" s="339"/>
      <c r="AF331" s="339"/>
      <c r="AG331" s="339"/>
      <c r="AH331" s="339"/>
      <c r="AI331" s="324">
        <f t="shared" si="1"/>
        <v>0</v>
      </c>
      <c r="AJ331" s="322"/>
      <c r="AK331" s="322"/>
      <c r="AL331" s="322"/>
      <c r="AM331" s="322"/>
      <c r="AN331" s="322"/>
      <c r="AO331" s="322"/>
      <c r="AP331" s="322"/>
      <c r="AQ331" s="322"/>
      <c r="AR331" s="322"/>
      <c r="AS331" s="322"/>
      <c r="AT331" s="322"/>
      <c r="AU331" s="322"/>
      <c r="AV331" s="322"/>
      <c r="AW331" s="322"/>
    </row>
    <row r="332" spans="1:49" ht="15.75" customHeight="1">
      <c r="A332" s="241">
        <v>2212007015</v>
      </c>
      <c r="B332" s="252" t="s">
        <v>346</v>
      </c>
      <c r="C332" s="253" t="s">
        <v>313</v>
      </c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  <c r="AH332" s="325"/>
      <c r="AI332" s="324">
        <f t="shared" si="1"/>
        <v>0</v>
      </c>
      <c r="AJ332" s="322"/>
      <c r="AK332" s="322"/>
      <c r="AL332" s="322"/>
      <c r="AM332" s="322"/>
      <c r="AN332" s="322"/>
      <c r="AO332" s="322"/>
      <c r="AP332" s="322"/>
      <c r="AQ332" s="322"/>
      <c r="AR332" s="322"/>
      <c r="AS332" s="322"/>
      <c r="AT332" s="322"/>
      <c r="AU332" s="322"/>
      <c r="AV332" s="322"/>
      <c r="AW332" s="322"/>
    </row>
    <row r="333" spans="1:49" ht="15.75" customHeight="1">
      <c r="A333" s="241">
        <v>2212007016</v>
      </c>
      <c r="B333" s="242" t="s">
        <v>347</v>
      </c>
      <c r="C333" s="241" t="s">
        <v>313</v>
      </c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  <c r="AE333" s="339"/>
      <c r="AF333" s="339"/>
      <c r="AG333" s="339"/>
      <c r="AH333" s="339"/>
      <c r="AI333" s="324">
        <f t="shared" si="1"/>
        <v>0</v>
      </c>
      <c r="AJ333" s="322"/>
      <c r="AK333" s="322"/>
      <c r="AL333" s="322"/>
      <c r="AM333" s="322"/>
      <c r="AN333" s="322"/>
      <c r="AO333" s="322"/>
      <c r="AP333" s="322"/>
      <c r="AQ333" s="322"/>
      <c r="AR333" s="322"/>
      <c r="AS333" s="322"/>
      <c r="AT333" s="322"/>
      <c r="AU333" s="322"/>
      <c r="AV333" s="322"/>
      <c r="AW333" s="322"/>
    </row>
    <row r="334" spans="1:49" ht="15.75" customHeight="1">
      <c r="A334" s="241">
        <v>2212007017</v>
      </c>
      <c r="B334" s="242" t="s">
        <v>348</v>
      </c>
      <c r="C334" s="241" t="s">
        <v>313</v>
      </c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  <c r="AH334" s="325"/>
      <c r="AI334" s="324">
        <f t="shared" si="1"/>
        <v>0</v>
      </c>
      <c r="AJ334" s="322"/>
      <c r="AK334" s="322"/>
      <c r="AL334" s="322"/>
      <c r="AM334" s="322"/>
      <c r="AN334" s="322"/>
      <c r="AO334" s="322"/>
      <c r="AP334" s="322"/>
      <c r="AQ334" s="322"/>
      <c r="AR334" s="322"/>
      <c r="AS334" s="322"/>
      <c r="AT334" s="322"/>
      <c r="AU334" s="322"/>
      <c r="AV334" s="322"/>
      <c r="AW334" s="322"/>
    </row>
    <row r="335" spans="1:49" ht="15.75" customHeight="1">
      <c r="A335" s="317">
        <v>2212001071</v>
      </c>
      <c r="B335" s="239" t="s">
        <v>349</v>
      </c>
      <c r="C335" s="504" t="s">
        <v>171</v>
      </c>
      <c r="D335" s="339"/>
      <c r="E335" s="339"/>
      <c r="F335" s="339"/>
      <c r="G335" s="339"/>
      <c r="H335" s="339"/>
      <c r="I335" s="339"/>
      <c r="J335" s="339"/>
      <c r="K335" s="339"/>
      <c r="L335" s="339"/>
      <c r="M335" s="32">
        <v>1</v>
      </c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2">
        <v>1</v>
      </c>
      <c r="AB335" s="339"/>
      <c r="AC335" s="339"/>
      <c r="AD335" s="339"/>
      <c r="AE335" s="339"/>
      <c r="AF335" s="339"/>
      <c r="AG335" s="339"/>
      <c r="AH335" s="339"/>
      <c r="AI335" s="324">
        <f t="shared" si="1"/>
        <v>2</v>
      </c>
      <c r="AJ335" s="322"/>
      <c r="AK335" s="322"/>
      <c r="AL335" s="322"/>
      <c r="AM335" s="322"/>
      <c r="AN335" s="322"/>
      <c r="AO335" s="322"/>
      <c r="AP335" s="322"/>
      <c r="AQ335" s="322"/>
      <c r="AR335" s="322"/>
      <c r="AS335" s="322"/>
      <c r="AT335" s="322"/>
      <c r="AU335" s="322"/>
      <c r="AV335" s="322"/>
      <c r="AW335" s="322"/>
    </row>
    <row r="336" spans="1:49" ht="15.75" customHeight="1">
      <c r="A336" s="317">
        <v>2212001072</v>
      </c>
      <c r="B336" s="239" t="s">
        <v>350</v>
      </c>
      <c r="C336" s="504" t="s">
        <v>307</v>
      </c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  <c r="AH336" s="325"/>
      <c r="AI336" s="324">
        <f t="shared" si="1"/>
        <v>0</v>
      </c>
      <c r="AJ336" s="322"/>
      <c r="AK336" s="322"/>
      <c r="AL336" s="322"/>
      <c r="AM336" s="322"/>
      <c r="AN336" s="322"/>
      <c r="AO336" s="322"/>
      <c r="AP336" s="322"/>
      <c r="AQ336" s="322"/>
      <c r="AR336" s="322"/>
      <c r="AS336" s="322"/>
      <c r="AT336" s="322"/>
      <c r="AU336" s="322"/>
      <c r="AV336" s="322"/>
      <c r="AW336" s="322"/>
    </row>
    <row r="337" spans="1:49" ht="15.75" customHeight="1">
      <c r="A337" s="317">
        <v>2212001075</v>
      </c>
      <c r="B337" s="239" t="s">
        <v>351</v>
      </c>
      <c r="C337" s="504" t="s">
        <v>8</v>
      </c>
      <c r="D337" s="339"/>
      <c r="E337" s="339"/>
      <c r="F337" s="32">
        <v>336</v>
      </c>
      <c r="G337" s="32">
        <v>336</v>
      </c>
      <c r="H337" s="339"/>
      <c r="I337" s="339"/>
      <c r="J337" s="339"/>
      <c r="K337" s="339"/>
      <c r="L337" s="339"/>
      <c r="M337" s="32">
        <v>336</v>
      </c>
      <c r="N337" s="32">
        <v>336</v>
      </c>
      <c r="O337" s="32">
        <v>336</v>
      </c>
      <c r="P337" s="339"/>
      <c r="Q337" s="339"/>
      <c r="R337" s="339"/>
      <c r="S337" s="339"/>
      <c r="T337" s="32">
        <v>336</v>
      </c>
      <c r="U337" s="32">
        <v>336</v>
      </c>
      <c r="V337" s="339"/>
      <c r="W337" s="339"/>
      <c r="X337" s="339"/>
      <c r="Y337" s="339"/>
      <c r="Z337" s="339"/>
      <c r="AA337" s="32">
        <v>336</v>
      </c>
      <c r="AB337" s="32">
        <v>336</v>
      </c>
      <c r="AC337" s="339"/>
      <c r="AD337" s="339"/>
      <c r="AE337" s="339"/>
      <c r="AF337" s="339"/>
      <c r="AG337" s="339"/>
      <c r="AH337" s="32">
        <v>336</v>
      </c>
      <c r="AI337" s="324">
        <f t="shared" si="1"/>
        <v>3360</v>
      </c>
      <c r="AJ337" s="322"/>
      <c r="AK337" s="322"/>
      <c r="AL337" s="322"/>
      <c r="AM337" s="322"/>
      <c r="AN337" s="322"/>
      <c r="AO337" s="322"/>
      <c r="AP337" s="322"/>
      <c r="AQ337" s="322"/>
      <c r="AR337" s="322"/>
      <c r="AS337" s="322"/>
      <c r="AT337" s="322"/>
      <c r="AU337" s="322"/>
      <c r="AV337" s="322"/>
      <c r="AW337" s="322"/>
    </row>
    <row r="338" spans="1:49" ht="15.75" customHeight="1">
      <c r="A338" s="317">
        <v>2212001079</v>
      </c>
      <c r="B338" s="239" t="s">
        <v>352</v>
      </c>
      <c r="C338" s="504" t="s">
        <v>86</v>
      </c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  <c r="AF338" s="28">
        <v>0</v>
      </c>
      <c r="AG338" s="28">
        <v>0</v>
      </c>
      <c r="AH338" s="28">
        <v>0</v>
      </c>
      <c r="AI338" s="324">
        <f t="shared" si="1"/>
        <v>0</v>
      </c>
      <c r="AJ338" s="322"/>
      <c r="AK338" s="322"/>
      <c r="AL338" s="322"/>
      <c r="AM338" s="322"/>
      <c r="AN338" s="322"/>
      <c r="AO338" s="322"/>
      <c r="AP338" s="322"/>
      <c r="AQ338" s="322"/>
      <c r="AR338" s="322"/>
      <c r="AS338" s="322"/>
      <c r="AT338" s="322"/>
      <c r="AU338" s="322"/>
      <c r="AV338" s="322"/>
      <c r="AW338" s="322"/>
    </row>
    <row r="339" spans="1:49" ht="15.75" customHeight="1">
      <c r="A339" s="317">
        <v>2212001080</v>
      </c>
      <c r="B339" s="239" t="s">
        <v>353</v>
      </c>
      <c r="C339" s="504" t="s">
        <v>86</v>
      </c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8">
        <v>0</v>
      </c>
      <c r="AG339" s="28">
        <v>0</v>
      </c>
      <c r="AH339" s="28">
        <v>0</v>
      </c>
      <c r="AI339" s="324">
        <f t="shared" si="1"/>
        <v>0</v>
      </c>
      <c r="AJ339" s="322"/>
      <c r="AK339" s="322"/>
      <c r="AL339" s="322"/>
      <c r="AM339" s="322"/>
      <c r="AN339" s="322"/>
      <c r="AO339" s="322"/>
      <c r="AP339" s="322"/>
      <c r="AQ339" s="322"/>
      <c r="AR339" s="322"/>
      <c r="AS339" s="322"/>
      <c r="AT339" s="322"/>
      <c r="AU339" s="322"/>
      <c r="AV339" s="322"/>
      <c r="AW339" s="322"/>
    </row>
    <row r="340" spans="1:49" ht="15.75" customHeight="1">
      <c r="A340" s="317">
        <v>2212001085</v>
      </c>
      <c r="B340" s="239" t="s">
        <v>354</v>
      </c>
      <c r="C340" s="504" t="s">
        <v>8</v>
      </c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8">
        <v>0</v>
      </c>
      <c r="AG340" s="28">
        <v>0</v>
      </c>
      <c r="AH340" s="28">
        <v>0</v>
      </c>
      <c r="AI340" s="324">
        <f t="shared" si="1"/>
        <v>0</v>
      </c>
      <c r="AJ340" s="322"/>
      <c r="AK340" s="322"/>
      <c r="AL340" s="322"/>
      <c r="AM340" s="322"/>
      <c r="AN340" s="322"/>
      <c r="AO340" s="322"/>
      <c r="AP340" s="322"/>
      <c r="AQ340" s="322"/>
      <c r="AR340" s="322"/>
      <c r="AS340" s="322"/>
      <c r="AT340" s="322"/>
      <c r="AU340" s="322"/>
      <c r="AV340" s="322"/>
      <c r="AW340" s="322"/>
    </row>
    <row r="341" spans="1:49" ht="15.75" customHeight="1">
      <c r="A341" s="317">
        <v>2212001086</v>
      </c>
      <c r="B341" s="239" t="s">
        <v>355</v>
      </c>
      <c r="C341" s="504" t="s">
        <v>307</v>
      </c>
      <c r="D341" s="339"/>
      <c r="E341" s="339"/>
      <c r="F341" s="339"/>
      <c r="G341" s="32">
        <v>3</v>
      </c>
      <c r="H341" s="339"/>
      <c r="I341" s="339"/>
      <c r="J341" s="339"/>
      <c r="K341" s="339"/>
      <c r="L341" s="339"/>
      <c r="M341" s="339"/>
      <c r="N341" s="339"/>
      <c r="O341" s="32">
        <v>3</v>
      </c>
      <c r="P341" s="339"/>
      <c r="Q341" s="339"/>
      <c r="R341" s="339"/>
      <c r="S341" s="339"/>
      <c r="T341" s="32">
        <v>3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8">
        <v>0</v>
      </c>
      <c r="AG341" s="28">
        <v>0</v>
      </c>
      <c r="AH341" s="28">
        <v>0</v>
      </c>
      <c r="AI341" s="324">
        <f t="shared" si="1"/>
        <v>9</v>
      </c>
      <c r="AJ341" s="322"/>
      <c r="AK341" s="322"/>
      <c r="AL341" s="322"/>
      <c r="AM341" s="322"/>
      <c r="AN341" s="322"/>
      <c r="AO341" s="322"/>
      <c r="AP341" s="322"/>
      <c r="AQ341" s="322"/>
      <c r="AR341" s="322"/>
      <c r="AS341" s="322"/>
      <c r="AT341" s="322"/>
      <c r="AU341" s="322"/>
      <c r="AV341" s="322"/>
      <c r="AW341" s="322"/>
    </row>
    <row r="342" spans="1:49" ht="15.75" customHeight="1">
      <c r="A342" s="317">
        <v>2212001087</v>
      </c>
      <c r="B342" s="239" t="s">
        <v>356</v>
      </c>
      <c r="C342" s="504" t="s">
        <v>313</v>
      </c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8">
        <v>0</v>
      </c>
      <c r="AG342" s="28">
        <v>0</v>
      </c>
      <c r="AH342" s="28">
        <v>0</v>
      </c>
      <c r="AI342" s="324">
        <f t="shared" si="1"/>
        <v>0</v>
      </c>
      <c r="AJ342" s="322"/>
      <c r="AK342" s="322"/>
      <c r="AL342" s="322"/>
      <c r="AM342" s="322"/>
      <c r="AN342" s="322"/>
      <c r="AO342" s="322"/>
      <c r="AP342" s="322"/>
      <c r="AQ342" s="322"/>
      <c r="AR342" s="322"/>
      <c r="AS342" s="322"/>
      <c r="AT342" s="322"/>
      <c r="AU342" s="322"/>
      <c r="AV342" s="322"/>
      <c r="AW342" s="322"/>
    </row>
    <row r="343" spans="1:49" ht="15.75" customHeight="1">
      <c r="A343" s="317">
        <v>2212001089</v>
      </c>
      <c r="B343" s="239" t="s">
        <v>357</v>
      </c>
      <c r="C343" s="504" t="s">
        <v>296</v>
      </c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8">
        <v>0</v>
      </c>
      <c r="AG343" s="28">
        <v>0</v>
      </c>
      <c r="AH343" s="28">
        <v>0</v>
      </c>
      <c r="AI343" s="324">
        <f t="shared" si="1"/>
        <v>0</v>
      </c>
      <c r="AJ343" s="322"/>
      <c r="AK343" s="322"/>
      <c r="AL343" s="322"/>
      <c r="AM343" s="322"/>
      <c r="AN343" s="322"/>
      <c r="AO343" s="322"/>
      <c r="AP343" s="322"/>
      <c r="AQ343" s="322"/>
      <c r="AR343" s="322"/>
      <c r="AS343" s="322"/>
      <c r="AT343" s="322"/>
      <c r="AU343" s="322"/>
      <c r="AV343" s="322"/>
      <c r="AW343" s="322"/>
    </row>
    <row r="344" spans="1:49" ht="15.75" customHeight="1">
      <c r="A344" s="317">
        <v>2212001100</v>
      </c>
      <c r="B344" s="239" t="s">
        <v>358</v>
      </c>
      <c r="C344" s="504" t="s">
        <v>313</v>
      </c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8">
        <v>0</v>
      </c>
      <c r="AG344" s="28">
        <v>0</v>
      </c>
      <c r="AH344" s="28">
        <v>0</v>
      </c>
      <c r="AI344" s="324">
        <f t="shared" si="1"/>
        <v>0</v>
      </c>
      <c r="AJ344" s="322"/>
      <c r="AK344" s="322"/>
      <c r="AL344" s="322"/>
      <c r="AM344" s="322"/>
      <c r="AN344" s="322"/>
      <c r="AO344" s="322"/>
      <c r="AP344" s="322"/>
      <c r="AQ344" s="322"/>
      <c r="AR344" s="322"/>
      <c r="AS344" s="322"/>
      <c r="AT344" s="322"/>
      <c r="AU344" s="322"/>
      <c r="AV344" s="322"/>
      <c r="AW344" s="322"/>
    </row>
    <row r="345" spans="1:49" ht="15.75" customHeight="1">
      <c r="A345" s="317">
        <v>2212001101</v>
      </c>
      <c r="B345" s="239" t="s">
        <v>359</v>
      </c>
      <c r="C345" s="504" t="s">
        <v>313</v>
      </c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0</v>
      </c>
      <c r="AF345" s="28">
        <v>0</v>
      </c>
      <c r="AG345" s="28">
        <v>0</v>
      </c>
      <c r="AH345" s="28">
        <v>0</v>
      </c>
      <c r="AI345" s="324">
        <f t="shared" si="1"/>
        <v>0</v>
      </c>
      <c r="AJ345" s="322"/>
      <c r="AK345" s="322"/>
      <c r="AL345" s="322"/>
      <c r="AM345" s="322"/>
      <c r="AN345" s="322"/>
      <c r="AO345" s="322"/>
      <c r="AP345" s="322"/>
      <c r="AQ345" s="322"/>
      <c r="AR345" s="322"/>
      <c r="AS345" s="322"/>
      <c r="AT345" s="322"/>
      <c r="AU345" s="322"/>
      <c r="AV345" s="322"/>
      <c r="AW345" s="322"/>
    </row>
    <row r="346" spans="1:49" ht="15.75" customHeight="1">
      <c r="A346" s="317">
        <v>2212001102</v>
      </c>
      <c r="B346" s="239" t="s">
        <v>360</v>
      </c>
      <c r="C346" s="504" t="s">
        <v>313</v>
      </c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8">
        <v>0</v>
      </c>
      <c r="AG346" s="28">
        <v>0</v>
      </c>
      <c r="AH346" s="28">
        <v>0</v>
      </c>
      <c r="AI346" s="324">
        <f t="shared" si="1"/>
        <v>0</v>
      </c>
      <c r="AJ346" s="322"/>
      <c r="AK346" s="322"/>
      <c r="AL346" s="322"/>
      <c r="AM346" s="322"/>
      <c r="AN346" s="322"/>
      <c r="AO346" s="322"/>
      <c r="AP346" s="322"/>
      <c r="AQ346" s="322"/>
      <c r="AR346" s="322"/>
      <c r="AS346" s="322"/>
      <c r="AT346" s="322"/>
      <c r="AU346" s="322"/>
      <c r="AV346" s="322"/>
      <c r="AW346" s="322"/>
    </row>
    <row r="347" spans="1:49" ht="15.75" customHeight="1">
      <c r="A347" s="317">
        <v>2212001103</v>
      </c>
      <c r="B347" s="239" t="s">
        <v>361</v>
      </c>
      <c r="C347" s="504" t="s">
        <v>313</v>
      </c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324">
        <f t="shared" si="1"/>
        <v>0</v>
      </c>
      <c r="AJ347" s="322"/>
      <c r="AK347" s="322"/>
      <c r="AL347" s="322"/>
      <c r="AM347" s="322"/>
      <c r="AN347" s="322"/>
      <c r="AO347" s="322"/>
      <c r="AP347" s="322"/>
      <c r="AQ347" s="322"/>
      <c r="AR347" s="322"/>
      <c r="AS347" s="322"/>
      <c r="AT347" s="322"/>
      <c r="AU347" s="322"/>
      <c r="AV347" s="322"/>
      <c r="AW347" s="322"/>
    </row>
    <row r="348" spans="1:49" ht="15.75" customHeight="1">
      <c r="A348" s="329">
        <v>2212001106</v>
      </c>
      <c r="B348" s="257" t="s">
        <v>362</v>
      </c>
      <c r="C348" s="523" t="s">
        <v>171</v>
      </c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8">
        <v>0</v>
      </c>
      <c r="AG348" s="28">
        <v>0</v>
      </c>
      <c r="AH348" s="28">
        <v>0</v>
      </c>
      <c r="AI348" s="324">
        <f t="shared" si="1"/>
        <v>0</v>
      </c>
      <c r="AJ348" s="322"/>
      <c r="AK348" s="322"/>
      <c r="AL348" s="322"/>
      <c r="AM348" s="322"/>
      <c r="AN348" s="322"/>
      <c r="AO348" s="322"/>
      <c r="AP348" s="322"/>
      <c r="AQ348" s="322"/>
      <c r="AR348" s="322"/>
      <c r="AS348" s="322"/>
      <c r="AT348" s="322"/>
      <c r="AU348" s="322"/>
      <c r="AV348" s="322"/>
      <c r="AW348" s="322"/>
    </row>
    <row r="349" spans="1:49" ht="15.75" customHeight="1">
      <c r="A349" s="330">
        <v>2212001107</v>
      </c>
      <c r="B349" s="260" t="s">
        <v>363</v>
      </c>
      <c r="C349" s="526" t="s">
        <v>171</v>
      </c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8">
        <v>0</v>
      </c>
      <c r="AG349" s="28">
        <v>0</v>
      </c>
      <c r="AH349" s="28">
        <v>0</v>
      </c>
      <c r="AI349" s="324">
        <f t="shared" si="1"/>
        <v>0</v>
      </c>
      <c r="AJ349" s="322"/>
      <c r="AK349" s="322"/>
      <c r="AL349" s="322"/>
      <c r="AM349" s="322"/>
      <c r="AN349" s="322"/>
      <c r="AO349" s="322"/>
      <c r="AP349" s="322"/>
      <c r="AQ349" s="322"/>
      <c r="AR349" s="322"/>
      <c r="AS349" s="322"/>
      <c r="AT349" s="322"/>
      <c r="AU349" s="322"/>
      <c r="AV349" s="322"/>
      <c r="AW349" s="322"/>
    </row>
    <row r="350" spans="1:49" ht="15.75" customHeight="1">
      <c r="A350" s="317">
        <v>2212001109</v>
      </c>
      <c r="B350" s="239" t="s">
        <v>364</v>
      </c>
      <c r="C350" s="504" t="s">
        <v>6</v>
      </c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8">
        <v>0</v>
      </c>
      <c r="AG350" s="28">
        <v>0</v>
      </c>
      <c r="AH350" s="28">
        <v>0</v>
      </c>
      <c r="AI350" s="324">
        <f t="shared" si="1"/>
        <v>0</v>
      </c>
      <c r="AJ350" s="322"/>
      <c r="AK350" s="322"/>
      <c r="AL350" s="322"/>
      <c r="AM350" s="322"/>
      <c r="AN350" s="322"/>
      <c r="AO350" s="322"/>
      <c r="AP350" s="322"/>
      <c r="AQ350" s="322"/>
      <c r="AR350" s="322"/>
      <c r="AS350" s="322"/>
      <c r="AT350" s="322"/>
      <c r="AU350" s="322"/>
      <c r="AV350" s="322"/>
      <c r="AW350" s="322"/>
    </row>
    <row r="351" spans="1:49" ht="15.75" customHeight="1">
      <c r="A351" s="317">
        <v>2212001111</v>
      </c>
      <c r="B351" s="239" t="s">
        <v>365</v>
      </c>
      <c r="C351" s="504" t="s">
        <v>296</v>
      </c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8">
        <v>0</v>
      </c>
      <c r="AG351" s="28">
        <v>0</v>
      </c>
      <c r="AH351" s="28">
        <v>0</v>
      </c>
      <c r="AI351" s="324">
        <f t="shared" si="1"/>
        <v>0</v>
      </c>
      <c r="AJ351" s="322"/>
      <c r="AK351" s="322"/>
      <c r="AL351" s="322"/>
      <c r="AM351" s="322"/>
      <c r="AN351" s="322"/>
      <c r="AO351" s="322"/>
      <c r="AP351" s="322"/>
      <c r="AQ351" s="322"/>
      <c r="AR351" s="322"/>
      <c r="AS351" s="322"/>
      <c r="AT351" s="322"/>
      <c r="AU351" s="322"/>
      <c r="AV351" s="322"/>
      <c r="AW351" s="322"/>
    </row>
    <row r="352" spans="1:49" ht="15.75" customHeight="1">
      <c r="A352" s="317">
        <v>2212001114</v>
      </c>
      <c r="B352" s="239" t="s">
        <v>366</v>
      </c>
      <c r="C352" s="504" t="s">
        <v>86</v>
      </c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  <c r="AF352" s="28">
        <v>0</v>
      </c>
      <c r="AG352" s="28">
        <v>0</v>
      </c>
      <c r="AH352" s="28">
        <v>0</v>
      </c>
      <c r="AI352" s="324">
        <f t="shared" si="1"/>
        <v>0</v>
      </c>
      <c r="AJ352" s="322"/>
      <c r="AK352" s="322"/>
      <c r="AL352" s="322"/>
      <c r="AM352" s="322"/>
      <c r="AN352" s="322"/>
      <c r="AO352" s="322"/>
      <c r="AP352" s="322"/>
      <c r="AQ352" s="322"/>
      <c r="AR352" s="322"/>
      <c r="AS352" s="322"/>
      <c r="AT352" s="322"/>
      <c r="AU352" s="322"/>
      <c r="AV352" s="322"/>
      <c r="AW352" s="322"/>
    </row>
    <row r="353" spans="1:49" ht="15.75" customHeight="1">
      <c r="A353" s="317">
        <v>2212001121</v>
      </c>
      <c r="B353" s="239" t="s">
        <v>367</v>
      </c>
      <c r="C353" s="504" t="s">
        <v>8</v>
      </c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8">
        <v>0</v>
      </c>
      <c r="AG353" s="28">
        <v>0</v>
      </c>
      <c r="AH353" s="28">
        <v>0</v>
      </c>
      <c r="AI353" s="324">
        <f t="shared" si="1"/>
        <v>0</v>
      </c>
      <c r="AJ353" s="322"/>
      <c r="AK353" s="322"/>
      <c r="AL353" s="322"/>
      <c r="AM353" s="322"/>
      <c r="AN353" s="322"/>
      <c r="AO353" s="322"/>
      <c r="AP353" s="322"/>
      <c r="AQ353" s="322"/>
      <c r="AR353" s="322"/>
      <c r="AS353" s="322"/>
      <c r="AT353" s="322"/>
      <c r="AU353" s="322"/>
      <c r="AV353" s="322"/>
      <c r="AW353" s="322"/>
    </row>
    <row r="354" spans="1:49" ht="15.75" customHeight="1">
      <c r="A354" s="317">
        <v>2212001122</v>
      </c>
      <c r="B354" s="239" t="s">
        <v>368</v>
      </c>
      <c r="C354" s="504" t="s">
        <v>296</v>
      </c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8">
        <v>0</v>
      </c>
      <c r="AG354" s="28">
        <v>0</v>
      </c>
      <c r="AH354" s="28">
        <v>0</v>
      </c>
      <c r="AI354" s="324">
        <f t="shared" si="1"/>
        <v>0</v>
      </c>
      <c r="AJ354" s="322"/>
      <c r="AK354" s="322"/>
      <c r="AL354" s="322"/>
      <c r="AM354" s="322"/>
      <c r="AN354" s="322"/>
      <c r="AO354" s="322"/>
      <c r="AP354" s="322"/>
      <c r="AQ354" s="322"/>
      <c r="AR354" s="322"/>
      <c r="AS354" s="322"/>
      <c r="AT354" s="322"/>
      <c r="AU354" s="322"/>
      <c r="AV354" s="322"/>
      <c r="AW354" s="322"/>
    </row>
    <row r="355" spans="1:49" ht="15.75" customHeight="1">
      <c r="A355" s="317">
        <v>2212001123</v>
      </c>
      <c r="B355" s="239" t="s">
        <v>369</v>
      </c>
      <c r="C355" s="504" t="s">
        <v>171</v>
      </c>
      <c r="D355" s="339"/>
      <c r="E355" s="339"/>
      <c r="F355" s="339"/>
      <c r="G355" s="339"/>
      <c r="H355" s="339"/>
      <c r="I355" s="339"/>
      <c r="J355" s="339"/>
      <c r="K355" s="339"/>
      <c r="L355" s="339"/>
      <c r="M355" s="32">
        <v>3</v>
      </c>
      <c r="N355" s="339"/>
      <c r="O355" s="339"/>
      <c r="P355" s="339"/>
      <c r="Q355" s="339"/>
      <c r="R355" s="339"/>
      <c r="S355" s="339"/>
      <c r="T355" s="339"/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8">
        <v>0</v>
      </c>
      <c r="AG355" s="28">
        <v>0</v>
      </c>
      <c r="AH355" s="28">
        <v>0</v>
      </c>
      <c r="AI355" s="324">
        <f t="shared" si="1"/>
        <v>3</v>
      </c>
      <c r="AJ355" s="322"/>
      <c r="AK355" s="322"/>
      <c r="AL355" s="322"/>
      <c r="AM355" s="322"/>
      <c r="AN355" s="322"/>
      <c r="AO355" s="322"/>
      <c r="AP355" s="322"/>
      <c r="AQ355" s="322"/>
      <c r="AR355" s="322"/>
      <c r="AS355" s="322"/>
      <c r="AT355" s="322"/>
      <c r="AU355" s="322"/>
      <c r="AV355" s="322"/>
      <c r="AW355" s="322"/>
    </row>
    <row r="356" spans="1:49" ht="15.75" customHeight="1">
      <c r="A356" s="317">
        <v>2212001125</v>
      </c>
      <c r="B356" s="239" t="s">
        <v>370</v>
      </c>
      <c r="C356" s="504" t="s">
        <v>8</v>
      </c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8">
        <v>0</v>
      </c>
      <c r="AG356" s="28">
        <v>0</v>
      </c>
      <c r="AH356" s="28">
        <v>0</v>
      </c>
      <c r="AI356" s="324">
        <f t="shared" si="1"/>
        <v>0</v>
      </c>
      <c r="AJ356" s="322"/>
      <c r="AK356" s="322"/>
      <c r="AL356" s="322"/>
      <c r="AM356" s="322"/>
      <c r="AN356" s="322"/>
      <c r="AO356" s="322"/>
      <c r="AP356" s="322"/>
      <c r="AQ356" s="322"/>
      <c r="AR356" s="322"/>
      <c r="AS356" s="322"/>
      <c r="AT356" s="322"/>
      <c r="AU356" s="322"/>
      <c r="AV356" s="322"/>
      <c r="AW356" s="322"/>
    </row>
    <row r="357" spans="1:49" ht="15.75" customHeight="1">
      <c r="A357" s="317">
        <v>2212001126</v>
      </c>
      <c r="B357" s="239" t="s">
        <v>371</v>
      </c>
      <c r="C357" s="504" t="s">
        <v>8</v>
      </c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8">
        <v>0</v>
      </c>
      <c r="AG357" s="28">
        <v>0</v>
      </c>
      <c r="AH357" s="28">
        <v>0</v>
      </c>
      <c r="AI357" s="324">
        <f t="shared" si="1"/>
        <v>0</v>
      </c>
      <c r="AJ357" s="322"/>
      <c r="AK357" s="322"/>
      <c r="AL357" s="322"/>
      <c r="AM357" s="322"/>
      <c r="AN357" s="322"/>
      <c r="AO357" s="322"/>
      <c r="AP357" s="322"/>
      <c r="AQ357" s="322"/>
      <c r="AR357" s="322"/>
      <c r="AS357" s="322"/>
      <c r="AT357" s="322"/>
      <c r="AU357" s="322"/>
      <c r="AV357" s="322"/>
      <c r="AW357" s="322"/>
    </row>
    <row r="358" spans="1:49" ht="15.75" customHeight="1">
      <c r="A358" s="317">
        <v>2212001129</v>
      </c>
      <c r="B358" s="239" t="s">
        <v>372</v>
      </c>
      <c r="C358" s="504" t="s">
        <v>313</v>
      </c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8">
        <v>0</v>
      </c>
      <c r="AG358" s="28">
        <v>0</v>
      </c>
      <c r="AH358" s="28">
        <v>0</v>
      </c>
      <c r="AI358" s="324">
        <f t="shared" si="1"/>
        <v>0</v>
      </c>
      <c r="AJ358" s="322"/>
      <c r="AK358" s="322"/>
      <c r="AL358" s="322"/>
      <c r="AM358" s="322"/>
      <c r="AN358" s="322"/>
      <c r="AO358" s="322"/>
      <c r="AP358" s="322"/>
      <c r="AQ358" s="322"/>
      <c r="AR358" s="322"/>
      <c r="AS358" s="322"/>
      <c r="AT358" s="322"/>
      <c r="AU358" s="322"/>
      <c r="AV358" s="322"/>
      <c r="AW358" s="322"/>
    </row>
    <row r="359" spans="1:49" ht="15.75" customHeight="1">
      <c r="A359" s="317">
        <v>2212001130</v>
      </c>
      <c r="B359" s="239" t="s">
        <v>373</v>
      </c>
      <c r="C359" s="504" t="s">
        <v>171</v>
      </c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2">
        <v>3</v>
      </c>
      <c r="O359" s="339"/>
      <c r="P359" s="339"/>
      <c r="Q359" s="339"/>
      <c r="R359" s="339"/>
      <c r="S359" s="339"/>
      <c r="T359" s="339"/>
      <c r="U359" s="32">
        <v>0</v>
      </c>
      <c r="V359" s="32">
        <v>0</v>
      </c>
      <c r="W359" s="32">
        <v>0</v>
      </c>
      <c r="X359" s="32">
        <v>0</v>
      </c>
      <c r="Y359" s="32">
        <v>0</v>
      </c>
      <c r="Z359" s="32">
        <v>0</v>
      </c>
      <c r="AA359" s="32">
        <v>0</v>
      </c>
      <c r="AB359" s="32">
        <v>0</v>
      </c>
      <c r="AC359" s="32">
        <v>0</v>
      </c>
      <c r="AD359" s="32">
        <v>0</v>
      </c>
      <c r="AE359" s="32">
        <v>0</v>
      </c>
      <c r="AF359" s="32">
        <v>0</v>
      </c>
      <c r="AG359" s="32">
        <v>0</v>
      </c>
      <c r="AH359" s="32">
        <v>3</v>
      </c>
      <c r="AI359" s="324">
        <f t="shared" si="1"/>
        <v>6</v>
      </c>
      <c r="AJ359" s="322"/>
      <c r="AK359" s="322"/>
      <c r="AL359" s="322"/>
      <c r="AM359" s="322"/>
      <c r="AN359" s="322"/>
      <c r="AO359" s="322"/>
      <c r="AP359" s="322"/>
      <c r="AQ359" s="322"/>
      <c r="AR359" s="322"/>
      <c r="AS359" s="322"/>
      <c r="AT359" s="322"/>
      <c r="AU359" s="322"/>
      <c r="AV359" s="322"/>
      <c r="AW359" s="322"/>
    </row>
    <row r="360" spans="1:49" ht="15.75" customHeight="1">
      <c r="A360" s="317">
        <v>2212001133</v>
      </c>
      <c r="B360" s="239" t="s">
        <v>374</v>
      </c>
      <c r="C360" s="504" t="s">
        <v>267</v>
      </c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8">
        <v>0</v>
      </c>
      <c r="AG360" s="28">
        <v>0</v>
      </c>
      <c r="AH360" s="28">
        <v>0</v>
      </c>
      <c r="AI360" s="324">
        <f t="shared" si="1"/>
        <v>0</v>
      </c>
      <c r="AJ360" s="322"/>
      <c r="AK360" s="322"/>
      <c r="AL360" s="322"/>
      <c r="AM360" s="322"/>
      <c r="AN360" s="322"/>
      <c r="AO360" s="322"/>
      <c r="AP360" s="322"/>
      <c r="AQ360" s="322"/>
      <c r="AR360" s="322"/>
      <c r="AS360" s="322"/>
      <c r="AT360" s="322"/>
      <c r="AU360" s="322"/>
      <c r="AV360" s="322"/>
      <c r="AW360" s="322"/>
    </row>
    <row r="361" spans="1:49" ht="15.75" customHeight="1">
      <c r="A361" s="317">
        <v>2212001144</v>
      </c>
      <c r="B361" s="239" t="s">
        <v>375</v>
      </c>
      <c r="C361" s="504" t="s">
        <v>171</v>
      </c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8">
        <v>0</v>
      </c>
      <c r="AG361" s="28">
        <v>0</v>
      </c>
      <c r="AH361" s="28">
        <v>0</v>
      </c>
      <c r="AI361" s="324">
        <f t="shared" si="1"/>
        <v>0</v>
      </c>
      <c r="AJ361" s="322"/>
      <c r="AK361" s="322"/>
      <c r="AL361" s="322"/>
      <c r="AM361" s="322"/>
      <c r="AN361" s="322"/>
      <c r="AO361" s="322"/>
      <c r="AP361" s="322"/>
      <c r="AQ361" s="322"/>
      <c r="AR361" s="322"/>
      <c r="AS361" s="322"/>
      <c r="AT361" s="322"/>
      <c r="AU361" s="322"/>
      <c r="AV361" s="322"/>
      <c r="AW361" s="322"/>
    </row>
    <row r="362" spans="1:49" ht="15.75" customHeight="1">
      <c r="A362" s="340">
        <v>2212001146</v>
      </c>
      <c r="B362" s="263" t="s">
        <v>376</v>
      </c>
      <c r="C362" s="526" t="s">
        <v>296</v>
      </c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8">
        <v>0</v>
      </c>
      <c r="AG362" s="28">
        <v>0</v>
      </c>
      <c r="AH362" s="28">
        <v>0</v>
      </c>
      <c r="AI362" s="324">
        <f t="shared" si="1"/>
        <v>0</v>
      </c>
      <c r="AJ362" s="322"/>
      <c r="AK362" s="322"/>
      <c r="AL362" s="322"/>
      <c r="AM362" s="322"/>
      <c r="AN362" s="322"/>
      <c r="AO362" s="322"/>
      <c r="AP362" s="322"/>
      <c r="AQ362" s="322"/>
      <c r="AR362" s="322"/>
      <c r="AS362" s="322"/>
      <c r="AT362" s="322"/>
      <c r="AU362" s="322"/>
      <c r="AV362" s="322"/>
      <c r="AW362" s="322"/>
    </row>
    <row r="363" spans="1:49" ht="15.75" customHeight="1">
      <c r="A363" s="317">
        <v>2212001151</v>
      </c>
      <c r="B363" s="239" t="s">
        <v>377</v>
      </c>
      <c r="C363" s="504" t="s">
        <v>267</v>
      </c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8">
        <v>0</v>
      </c>
      <c r="AG363" s="28">
        <v>0</v>
      </c>
      <c r="AH363" s="28">
        <v>0</v>
      </c>
      <c r="AI363" s="324">
        <f t="shared" si="1"/>
        <v>0</v>
      </c>
      <c r="AJ363" s="322"/>
      <c r="AK363" s="322"/>
      <c r="AL363" s="322"/>
      <c r="AM363" s="322"/>
      <c r="AN363" s="322"/>
      <c r="AO363" s="322"/>
      <c r="AP363" s="322"/>
      <c r="AQ363" s="322"/>
      <c r="AR363" s="322"/>
      <c r="AS363" s="322"/>
      <c r="AT363" s="322"/>
      <c r="AU363" s="322"/>
      <c r="AV363" s="322"/>
      <c r="AW363" s="322"/>
    </row>
    <row r="364" spans="1:49" ht="15.75" customHeight="1">
      <c r="A364" s="317">
        <v>2212001152</v>
      </c>
      <c r="B364" s="239" t="s">
        <v>378</v>
      </c>
      <c r="C364" s="504" t="s">
        <v>379</v>
      </c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0</v>
      </c>
      <c r="AF364" s="28">
        <v>0</v>
      </c>
      <c r="AG364" s="28">
        <v>0</v>
      </c>
      <c r="AH364" s="28">
        <v>0</v>
      </c>
      <c r="AI364" s="324">
        <f t="shared" si="1"/>
        <v>0</v>
      </c>
      <c r="AJ364" s="322"/>
      <c r="AK364" s="322"/>
      <c r="AL364" s="322"/>
      <c r="AM364" s="322"/>
      <c r="AN364" s="322"/>
      <c r="AO364" s="322"/>
      <c r="AP364" s="322"/>
      <c r="AQ364" s="322"/>
      <c r="AR364" s="322"/>
      <c r="AS364" s="322"/>
      <c r="AT364" s="322"/>
      <c r="AU364" s="322"/>
      <c r="AV364" s="322"/>
      <c r="AW364" s="322"/>
    </row>
    <row r="365" spans="1:49" ht="15.75" customHeight="1">
      <c r="A365" s="317">
        <v>2212001155</v>
      </c>
      <c r="B365" s="239" t="s">
        <v>380</v>
      </c>
      <c r="C365" s="504" t="s">
        <v>177</v>
      </c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8">
        <v>0</v>
      </c>
      <c r="AH365" s="28">
        <v>0</v>
      </c>
      <c r="AI365" s="324">
        <f t="shared" si="1"/>
        <v>0</v>
      </c>
      <c r="AJ365" s="322"/>
      <c r="AK365" s="322"/>
      <c r="AL365" s="322"/>
      <c r="AM365" s="322"/>
      <c r="AN365" s="322"/>
      <c r="AO365" s="322"/>
      <c r="AP365" s="322"/>
      <c r="AQ365" s="322"/>
      <c r="AR365" s="322"/>
      <c r="AS365" s="322"/>
      <c r="AT365" s="322"/>
      <c r="AU365" s="322"/>
      <c r="AV365" s="322"/>
      <c r="AW365" s="322"/>
    </row>
    <row r="366" spans="1:49" ht="15.75" customHeight="1">
      <c r="A366" s="317">
        <v>2212001159</v>
      </c>
      <c r="B366" s="239" t="s">
        <v>381</v>
      </c>
      <c r="C366" s="504" t="s">
        <v>175</v>
      </c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28">
        <v>0</v>
      </c>
      <c r="AH366" s="28">
        <v>0</v>
      </c>
      <c r="AI366" s="324">
        <f t="shared" si="1"/>
        <v>0</v>
      </c>
      <c r="AJ366" s="322"/>
      <c r="AK366" s="322"/>
      <c r="AL366" s="322"/>
      <c r="AM366" s="322"/>
      <c r="AN366" s="322"/>
      <c r="AO366" s="322"/>
      <c r="AP366" s="322"/>
      <c r="AQ366" s="322"/>
      <c r="AR366" s="322"/>
      <c r="AS366" s="322"/>
      <c r="AT366" s="322"/>
      <c r="AU366" s="322"/>
      <c r="AV366" s="322"/>
      <c r="AW366" s="322"/>
    </row>
    <row r="367" spans="1:49" ht="15.75" customHeight="1">
      <c r="A367" s="317">
        <v>2212001162</v>
      </c>
      <c r="B367" s="239" t="s">
        <v>382</v>
      </c>
      <c r="C367" s="504" t="s">
        <v>86</v>
      </c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28">
        <v>0</v>
      </c>
      <c r="AH367" s="28">
        <v>0</v>
      </c>
      <c r="AI367" s="324">
        <f t="shared" si="1"/>
        <v>0</v>
      </c>
      <c r="AJ367" s="322"/>
      <c r="AK367" s="322"/>
      <c r="AL367" s="322"/>
      <c r="AM367" s="322"/>
      <c r="AN367" s="322"/>
      <c r="AO367" s="322"/>
      <c r="AP367" s="322"/>
      <c r="AQ367" s="322"/>
      <c r="AR367" s="322"/>
      <c r="AS367" s="322"/>
      <c r="AT367" s="322"/>
      <c r="AU367" s="322"/>
      <c r="AV367" s="322"/>
      <c r="AW367" s="322"/>
    </row>
    <row r="368" spans="1:49" ht="15.75" customHeight="1">
      <c r="A368" s="317">
        <v>2212001163</v>
      </c>
      <c r="B368" s="239" t="s">
        <v>383</v>
      </c>
      <c r="C368" s="504" t="s">
        <v>384</v>
      </c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324">
        <f t="shared" si="1"/>
        <v>0</v>
      </c>
      <c r="AJ368" s="322"/>
      <c r="AK368" s="322"/>
      <c r="AL368" s="322"/>
      <c r="AM368" s="322"/>
      <c r="AN368" s="322"/>
      <c r="AO368" s="322"/>
      <c r="AP368" s="322"/>
      <c r="AQ368" s="322"/>
      <c r="AR368" s="322"/>
      <c r="AS368" s="322"/>
      <c r="AT368" s="322"/>
      <c r="AU368" s="322"/>
      <c r="AV368" s="322"/>
      <c r="AW368" s="322"/>
    </row>
    <row r="369" spans="1:49" ht="15.75" customHeight="1">
      <c r="A369" s="317">
        <v>2212001164</v>
      </c>
      <c r="B369" s="239" t="s">
        <v>385</v>
      </c>
      <c r="C369" s="504" t="s">
        <v>86</v>
      </c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28">
        <v>0</v>
      </c>
      <c r="AH369" s="28">
        <v>0</v>
      </c>
      <c r="AI369" s="324">
        <f t="shared" si="1"/>
        <v>0</v>
      </c>
      <c r="AJ369" s="322"/>
      <c r="AK369" s="322"/>
      <c r="AL369" s="322"/>
      <c r="AM369" s="322"/>
      <c r="AN369" s="322"/>
      <c r="AO369" s="322"/>
      <c r="AP369" s="322"/>
      <c r="AQ369" s="322"/>
      <c r="AR369" s="322"/>
      <c r="AS369" s="322"/>
      <c r="AT369" s="322"/>
      <c r="AU369" s="322"/>
      <c r="AV369" s="322"/>
      <c r="AW369" s="322"/>
    </row>
    <row r="370" spans="1:49" ht="15.75" customHeight="1">
      <c r="A370" s="317">
        <v>2212001165</v>
      </c>
      <c r="B370" s="239" t="s">
        <v>386</v>
      </c>
      <c r="C370" s="504" t="s">
        <v>6</v>
      </c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0</v>
      </c>
      <c r="AF370" s="28">
        <v>0</v>
      </c>
      <c r="AG370" s="28">
        <v>0</v>
      </c>
      <c r="AH370" s="28">
        <v>0</v>
      </c>
      <c r="AI370" s="324">
        <f t="shared" si="1"/>
        <v>0</v>
      </c>
      <c r="AJ370" s="322"/>
      <c r="AK370" s="322"/>
      <c r="AL370" s="322"/>
      <c r="AM370" s="322"/>
      <c r="AN370" s="322"/>
      <c r="AO370" s="322"/>
      <c r="AP370" s="322"/>
      <c r="AQ370" s="322"/>
      <c r="AR370" s="322"/>
      <c r="AS370" s="322"/>
      <c r="AT370" s="322"/>
      <c r="AU370" s="322"/>
      <c r="AV370" s="322"/>
      <c r="AW370" s="322"/>
    </row>
    <row r="371" spans="1:49" ht="15.75" customHeight="1">
      <c r="A371" s="317">
        <v>2212001167</v>
      </c>
      <c r="B371" s="239" t="s">
        <v>387</v>
      </c>
      <c r="C371" s="504" t="s">
        <v>388</v>
      </c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8">
        <v>0</v>
      </c>
      <c r="AH371" s="28">
        <v>0</v>
      </c>
      <c r="AI371" s="324">
        <f t="shared" si="1"/>
        <v>0</v>
      </c>
      <c r="AJ371" s="322"/>
      <c r="AK371" s="322"/>
      <c r="AL371" s="322"/>
      <c r="AM371" s="322"/>
      <c r="AN371" s="322"/>
      <c r="AO371" s="322"/>
      <c r="AP371" s="322"/>
      <c r="AQ371" s="322"/>
      <c r="AR371" s="322"/>
      <c r="AS371" s="322"/>
      <c r="AT371" s="322"/>
      <c r="AU371" s="322"/>
      <c r="AV371" s="322"/>
      <c r="AW371" s="322"/>
    </row>
    <row r="372" spans="1:49" ht="15.75" customHeight="1">
      <c r="A372" s="317">
        <v>2212001172</v>
      </c>
      <c r="B372" s="239" t="s">
        <v>389</v>
      </c>
      <c r="C372" s="504" t="s">
        <v>177</v>
      </c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8">
        <v>0</v>
      </c>
      <c r="AF372" s="28">
        <v>0</v>
      </c>
      <c r="AG372" s="28">
        <v>0</v>
      </c>
      <c r="AH372" s="28">
        <v>0</v>
      </c>
      <c r="AI372" s="324">
        <f t="shared" si="1"/>
        <v>0</v>
      </c>
      <c r="AJ372" s="322"/>
      <c r="AK372" s="322"/>
      <c r="AL372" s="322"/>
      <c r="AM372" s="322"/>
      <c r="AN372" s="322"/>
      <c r="AO372" s="322"/>
      <c r="AP372" s="322"/>
      <c r="AQ372" s="322"/>
      <c r="AR372" s="322"/>
      <c r="AS372" s="322"/>
      <c r="AT372" s="322"/>
      <c r="AU372" s="322"/>
      <c r="AV372" s="322"/>
      <c r="AW372" s="322"/>
    </row>
    <row r="373" spans="1:49" ht="15.75" customHeight="1">
      <c r="A373" s="317">
        <v>2212001173</v>
      </c>
      <c r="B373" s="239" t="s">
        <v>390</v>
      </c>
      <c r="C373" s="504" t="s">
        <v>267</v>
      </c>
      <c r="D373" s="325"/>
      <c r="E373" s="325"/>
      <c r="F373" s="325"/>
      <c r="G373" s="325"/>
      <c r="H373" s="325"/>
      <c r="I373" s="325"/>
      <c r="J373" s="325"/>
      <c r="K373" s="325"/>
      <c r="L373" s="325"/>
      <c r="M373" s="28">
        <v>1</v>
      </c>
      <c r="N373" s="325"/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0</v>
      </c>
      <c r="AG373" s="28">
        <v>0</v>
      </c>
      <c r="AH373" s="28">
        <v>0</v>
      </c>
      <c r="AI373" s="324">
        <f t="shared" si="1"/>
        <v>1</v>
      </c>
      <c r="AJ373" s="322"/>
      <c r="AK373" s="322"/>
      <c r="AL373" s="322"/>
      <c r="AM373" s="322"/>
      <c r="AN373" s="322"/>
      <c r="AO373" s="322"/>
      <c r="AP373" s="322"/>
      <c r="AQ373" s="322"/>
      <c r="AR373" s="322"/>
      <c r="AS373" s="322"/>
      <c r="AT373" s="322"/>
      <c r="AU373" s="322"/>
      <c r="AV373" s="322"/>
      <c r="AW373" s="322"/>
    </row>
    <row r="374" spans="1:49" ht="15.75" customHeight="1">
      <c r="A374" s="317">
        <v>2212001174</v>
      </c>
      <c r="B374" s="239" t="s">
        <v>391</v>
      </c>
      <c r="C374" s="504" t="s">
        <v>267</v>
      </c>
      <c r="D374" s="32">
        <v>0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</v>
      </c>
      <c r="M374" s="32">
        <v>0</v>
      </c>
      <c r="N374" s="32">
        <v>0</v>
      </c>
      <c r="O374" s="32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28">
        <v>0</v>
      </c>
      <c r="AH374" s="28">
        <v>0</v>
      </c>
      <c r="AI374" s="324">
        <f t="shared" si="1"/>
        <v>0</v>
      </c>
      <c r="AJ374" s="322"/>
      <c r="AK374" s="322"/>
      <c r="AL374" s="322"/>
      <c r="AM374" s="322"/>
      <c r="AN374" s="322"/>
      <c r="AO374" s="322"/>
      <c r="AP374" s="322"/>
      <c r="AQ374" s="322"/>
      <c r="AR374" s="322"/>
      <c r="AS374" s="322"/>
      <c r="AT374" s="322"/>
      <c r="AU374" s="322"/>
      <c r="AV374" s="322"/>
      <c r="AW374" s="322"/>
    </row>
    <row r="375" spans="1:49" ht="15.75" customHeight="1">
      <c r="A375" s="317">
        <v>2212001175</v>
      </c>
      <c r="B375" s="239" t="s">
        <v>392</v>
      </c>
      <c r="C375" s="504" t="s">
        <v>267</v>
      </c>
      <c r="D375" s="32">
        <v>0</v>
      </c>
      <c r="E375" s="32">
        <v>0</v>
      </c>
      <c r="F375" s="32">
        <v>0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</v>
      </c>
      <c r="M375" s="32">
        <v>0</v>
      </c>
      <c r="N375" s="32">
        <v>0</v>
      </c>
      <c r="O375" s="32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324">
        <f t="shared" si="1"/>
        <v>0</v>
      </c>
      <c r="AJ375" s="322"/>
      <c r="AK375" s="322"/>
      <c r="AL375" s="322"/>
      <c r="AM375" s="322"/>
      <c r="AN375" s="322"/>
      <c r="AO375" s="322"/>
      <c r="AP375" s="322"/>
      <c r="AQ375" s="322"/>
      <c r="AR375" s="322"/>
      <c r="AS375" s="322"/>
      <c r="AT375" s="322"/>
      <c r="AU375" s="322"/>
      <c r="AV375" s="322"/>
      <c r="AW375" s="322"/>
    </row>
    <row r="376" spans="1:49" ht="15.75" customHeight="1">
      <c r="A376" s="317">
        <v>2212001186</v>
      </c>
      <c r="B376" s="239" t="s">
        <v>393</v>
      </c>
      <c r="C376" s="504" t="s">
        <v>296</v>
      </c>
      <c r="D376" s="32">
        <v>0</v>
      </c>
      <c r="E376" s="32">
        <v>0</v>
      </c>
      <c r="F376" s="32">
        <v>0</v>
      </c>
      <c r="G376" s="32">
        <v>0</v>
      </c>
      <c r="H376" s="32">
        <v>0</v>
      </c>
      <c r="I376" s="32">
        <v>0</v>
      </c>
      <c r="J376" s="32">
        <v>0</v>
      </c>
      <c r="K376" s="32">
        <v>0</v>
      </c>
      <c r="L376" s="32">
        <v>0</v>
      </c>
      <c r="M376" s="32">
        <v>0</v>
      </c>
      <c r="N376" s="32">
        <v>0</v>
      </c>
      <c r="O376" s="32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28">
        <v>0</v>
      </c>
      <c r="AH376" s="28">
        <v>0</v>
      </c>
      <c r="AI376" s="324">
        <f t="shared" si="1"/>
        <v>0</v>
      </c>
      <c r="AJ376" s="322"/>
      <c r="AK376" s="322"/>
      <c r="AL376" s="322"/>
      <c r="AM376" s="322"/>
      <c r="AN376" s="322"/>
      <c r="AO376" s="322"/>
      <c r="AP376" s="322"/>
      <c r="AQ376" s="322"/>
      <c r="AR376" s="322"/>
      <c r="AS376" s="322"/>
      <c r="AT376" s="322"/>
      <c r="AU376" s="322"/>
      <c r="AV376" s="322"/>
      <c r="AW376" s="322"/>
    </row>
    <row r="377" spans="1:49" ht="15.75" customHeight="1">
      <c r="A377" s="317">
        <v>2212001187</v>
      </c>
      <c r="B377" s="239" t="s">
        <v>394</v>
      </c>
      <c r="C377" s="504" t="s">
        <v>86</v>
      </c>
      <c r="D377" s="32">
        <v>0</v>
      </c>
      <c r="E377" s="32">
        <v>0</v>
      </c>
      <c r="F377" s="32">
        <v>0</v>
      </c>
      <c r="G377" s="32">
        <v>0</v>
      </c>
      <c r="H377" s="32">
        <v>0</v>
      </c>
      <c r="I377" s="32">
        <v>0</v>
      </c>
      <c r="J377" s="32">
        <v>0</v>
      </c>
      <c r="K377" s="32">
        <v>0</v>
      </c>
      <c r="L377" s="32">
        <v>0</v>
      </c>
      <c r="M377" s="32">
        <v>0</v>
      </c>
      <c r="N377" s="32">
        <v>0</v>
      </c>
      <c r="O377" s="32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  <c r="AF377" s="28">
        <v>0</v>
      </c>
      <c r="AG377" s="28">
        <v>0</v>
      </c>
      <c r="AH377" s="28">
        <v>0</v>
      </c>
      <c r="AI377" s="324">
        <f t="shared" si="1"/>
        <v>0</v>
      </c>
      <c r="AJ377" s="322"/>
      <c r="AK377" s="322"/>
      <c r="AL377" s="322"/>
      <c r="AM377" s="322"/>
      <c r="AN377" s="322"/>
      <c r="AO377" s="322"/>
      <c r="AP377" s="322"/>
      <c r="AQ377" s="322"/>
      <c r="AR377" s="322"/>
      <c r="AS377" s="322"/>
      <c r="AT377" s="322"/>
      <c r="AU377" s="322"/>
      <c r="AV377" s="322"/>
      <c r="AW377" s="322"/>
    </row>
    <row r="378" spans="1:49" ht="15.75" customHeight="1">
      <c r="A378" s="317">
        <v>2212001189</v>
      </c>
      <c r="B378" s="239" t="s">
        <v>395</v>
      </c>
      <c r="C378" s="504" t="s">
        <v>6</v>
      </c>
      <c r="D378" s="32">
        <v>0</v>
      </c>
      <c r="E378" s="32">
        <v>0</v>
      </c>
      <c r="F378" s="32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  <c r="AC378" s="28">
        <v>0</v>
      </c>
      <c r="AD378" s="28">
        <v>0</v>
      </c>
      <c r="AE378" s="28">
        <v>0</v>
      </c>
      <c r="AF378" s="28">
        <v>0</v>
      </c>
      <c r="AG378" s="28">
        <v>0</v>
      </c>
      <c r="AH378" s="28">
        <v>0</v>
      </c>
      <c r="AI378" s="324">
        <f t="shared" si="1"/>
        <v>0</v>
      </c>
      <c r="AJ378" s="322"/>
      <c r="AK378" s="322"/>
      <c r="AL378" s="322"/>
      <c r="AM378" s="322"/>
      <c r="AN378" s="322"/>
      <c r="AO378" s="322"/>
      <c r="AP378" s="322"/>
      <c r="AQ378" s="322"/>
      <c r="AR378" s="322"/>
      <c r="AS378" s="322"/>
      <c r="AT378" s="322"/>
      <c r="AU378" s="322"/>
      <c r="AV378" s="322"/>
      <c r="AW378" s="322"/>
    </row>
    <row r="379" spans="1:49" ht="15.75" customHeight="1">
      <c r="A379" s="317">
        <v>2212001190</v>
      </c>
      <c r="B379" s="239" t="s">
        <v>396</v>
      </c>
      <c r="C379" s="504" t="s">
        <v>6</v>
      </c>
      <c r="D379" s="32">
        <v>0</v>
      </c>
      <c r="E379" s="32">
        <v>0</v>
      </c>
      <c r="F379" s="32">
        <v>0</v>
      </c>
      <c r="G379" s="32">
        <v>0</v>
      </c>
      <c r="H379" s="32">
        <v>0</v>
      </c>
      <c r="I379" s="32">
        <v>0</v>
      </c>
      <c r="J379" s="32">
        <v>0</v>
      </c>
      <c r="K379" s="32">
        <v>0</v>
      </c>
      <c r="L379" s="32">
        <v>0</v>
      </c>
      <c r="M379" s="32">
        <v>0</v>
      </c>
      <c r="N379" s="32">
        <v>0</v>
      </c>
      <c r="O379" s="32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0</v>
      </c>
      <c r="AF379" s="28">
        <v>0</v>
      </c>
      <c r="AG379" s="28">
        <v>0</v>
      </c>
      <c r="AH379" s="28">
        <v>0</v>
      </c>
      <c r="AI379" s="324">
        <f t="shared" si="1"/>
        <v>0</v>
      </c>
      <c r="AJ379" s="322"/>
      <c r="AK379" s="322"/>
      <c r="AL379" s="322"/>
      <c r="AM379" s="322"/>
      <c r="AN379" s="322"/>
      <c r="AO379" s="322"/>
      <c r="AP379" s="322"/>
      <c r="AQ379" s="322"/>
      <c r="AR379" s="322"/>
      <c r="AS379" s="322"/>
      <c r="AT379" s="322"/>
      <c r="AU379" s="322"/>
      <c r="AV379" s="322"/>
      <c r="AW379" s="322"/>
    </row>
    <row r="380" spans="1:49" ht="15.75" customHeight="1">
      <c r="A380" s="317">
        <v>2212001191</v>
      </c>
      <c r="B380" s="239" t="s">
        <v>397</v>
      </c>
      <c r="C380" s="504" t="s">
        <v>6</v>
      </c>
      <c r="D380" s="32">
        <v>0</v>
      </c>
      <c r="E380" s="32">
        <v>0</v>
      </c>
      <c r="F380" s="32">
        <v>0</v>
      </c>
      <c r="G380" s="32">
        <v>0</v>
      </c>
      <c r="H380" s="32">
        <v>0</v>
      </c>
      <c r="I380" s="32">
        <v>0</v>
      </c>
      <c r="J380" s="32">
        <v>0</v>
      </c>
      <c r="K380" s="32">
        <v>0</v>
      </c>
      <c r="L380" s="32">
        <v>0</v>
      </c>
      <c r="M380" s="32">
        <v>0</v>
      </c>
      <c r="N380" s="32">
        <v>0</v>
      </c>
      <c r="O380" s="32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28">
        <v>0</v>
      </c>
      <c r="AH380" s="28">
        <v>0</v>
      </c>
      <c r="AI380" s="324">
        <f t="shared" si="1"/>
        <v>0</v>
      </c>
      <c r="AJ380" s="322"/>
      <c r="AK380" s="322"/>
      <c r="AL380" s="322"/>
      <c r="AM380" s="322"/>
      <c r="AN380" s="322"/>
      <c r="AO380" s="322"/>
      <c r="AP380" s="322"/>
      <c r="AQ380" s="322"/>
      <c r="AR380" s="322"/>
      <c r="AS380" s="322"/>
      <c r="AT380" s="322"/>
      <c r="AU380" s="322"/>
      <c r="AV380" s="322"/>
      <c r="AW380" s="322"/>
    </row>
    <row r="381" spans="1:49" ht="15.75" customHeight="1">
      <c r="A381" s="317">
        <v>2212001193</v>
      </c>
      <c r="B381" s="239" t="s">
        <v>398</v>
      </c>
      <c r="C381" s="504" t="s">
        <v>8</v>
      </c>
      <c r="D381" s="32">
        <v>0</v>
      </c>
      <c r="E381" s="32">
        <v>0</v>
      </c>
      <c r="F381" s="32">
        <v>0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0</v>
      </c>
      <c r="M381" s="32">
        <v>0</v>
      </c>
      <c r="N381" s="32">
        <v>0</v>
      </c>
      <c r="O381" s="32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28">
        <v>0</v>
      </c>
      <c r="AH381" s="28">
        <v>0</v>
      </c>
      <c r="AI381" s="324">
        <f t="shared" si="1"/>
        <v>0</v>
      </c>
      <c r="AJ381" s="322"/>
      <c r="AK381" s="322"/>
      <c r="AL381" s="322"/>
      <c r="AM381" s="322"/>
      <c r="AN381" s="322"/>
      <c r="AO381" s="322"/>
      <c r="AP381" s="322"/>
      <c r="AQ381" s="322"/>
      <c r="AR381" s="322"/>
      <c r="AS381" s="322"/>
      <c r="AT381" s="322"/>
      <c r="AU381" s="322"/>
      <c r="AV381" s="322"/>
      <c r="AW381" s="322"/>
    </row>
    <row r="382" spans="1:49" ht="15.75" customHeight="1">
      <c r="A382" s="317">
        <v>2212001194</v>
      </c>
      <c r="B382" s="271" t="s">
        <v>399</v>
      </c>
      <c r="C382" s="526" t="s">
        <v>384</v>
      </c>
      <c r="D382" s="32">
        <v>0</v>
      </c>
      <c r="E382" s="32">
        <v>0</v>
      </c>
      <c r="F382" s="32">
        <v>0</v>
      </c>
      <c r="G382" s="32">
        <v>0</v>
      </c>
      <c r="H382" s="32">
        <v>0</v>
      </c>
      <c r="I382" s="32">
        <v>0</v>
      </c>
      <c r="J382" s="32">
        <v>0</v>
      </c>
      <c r="K382" s="32">
        <v>0</v>
      </c>
      <c r="L382" s="32">
        <v>0</v>
      </c>
      <c r="M382" s="32">
        <v>0</v>
      </c>
      <c r="N382" s="32">
        <v>0</v>
      </c>
      <c r="O382" s="32">
        <v>0</v>
      </c>
      <c r="P382" s="32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28">
        <v>0</v>
      </c>
      <c r="AH382" s="28">
        <v>0</v>
      </c>
      <c r="AI382" s="324">
        <f t="shared" si="1"/>
        <v>0</v>
      </c>
      <c r="AJ382" s="322"/>
      <c r="AK382" s="322"/>
      <c r="AL382" s="322"/>
      <c r="AM382" s="322"/>
      <c r="AN382" s="322"/>
      <c r="AO382" s="322"/>
      <c r="AP382" s="322"/>
      <c r="AQ382" s="322"/>
      <c r="AR382" s="322"/>
      <c r="AS382" s="322"/>
      <c r="AT382" s="322"/>
      <c r="AU382" s="322"/>
      <c r="AV382" s="322"/>
      <c r="AW382" s="322"/>
    </row>
    <row r="383" spans="1:49" ht="15.75" customHeight="1">
      <c r="A383" s="317">
        <v>2212003016</v>
      </c>
      <c r="B383" s="239" t="s">
        <v>400</v>
      </c>
      <c r="C383" s="504" t="s">
        <v>171</v>
      </c>
      <c r="D383" s="32">
        <v>0</v>
      </c>
      <c r="E383" s="32">
        <v>0</v>
      </c>
      <c r="F383" s="32">
        <v>0</v>
      </c>
      <c r="G383" s="32">
        <v>0</v>
      </c>
      <c r="H383" s="32">
        <v>0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28">
        <v>0</v>
      </c>
      <c r="AH383" s="28">
        <v>0</v>
      </c>
      <c r="AI383" s="324">
        <f t="shared" si="1"/>
        <v>0</v>
      </c>
      <c r="AJ383" s="322"/>
      <c r="AK383" s="322"/>
      <c r="AL383" s="322"/>
      <c r="AM383" s="322"/>
      <c r="AN383" s="322"/>
      <c r="AO383" s="322"/>
      <c r="AP383" s="322"/>
      <c r="AQ383" s="322"/>
      <c r="AR383" s="322"/>
      <c r="AS383" s="322"/>
      <c r="AT383" s="322"/>
      <c r="AU383" s="322"/>
      <c r="AV383" s="322"/>
      <c r="AW383" s="322"/>
    </row>
    <row r="384" spans="1:49" ht="15.75" customHeight="1">
      <c r="A384" s="535">
        <v>2212008048</v>
      </c>
      <c r="B384" s="275" t="s">
        <v>401</v>
      </c>
      <c r="C384" s="536" t="s">
        <v>8</v>
      </c>
      <c r="D384" s="32">
        <v>0</v>
      </c>
      <c r="E384" s="32">
        <v>0</v>
      </c>
      <c r="F384" s="32">
        <v>0</v>
      </c>
      <c r="G384" s="32">
        <v>0</v>
      </c>
      <c r="H384" s="32">
        <v>0</v>
      </c>
      <c r="I384" s="32">
        <v>0</v>
      </c>
      <c r="J384" s="32">
        <v>0</v>
      </c>
      <c r="K384" s="32">
        <v>0</v>
      </c>
      <c r="L384" s="32">
        <v>0</v>
      </c>
      <c r="M384" s="32">
        <v>0</v>
      </c>
      <c r="N384" s="32">
        <v>0</v>
      </c>
      <c r="O384" s="32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8">
        <v>0</v>
      </c>
      <c r="AF384" s="28">
        <v>0</v>
      </c>
      <c r="AG384" s="28">
        <v>0</v>
      </c>
      <c r="AH384" s="28">
        <v>0</v>
      </c>
      <c r="AI384" s="545">
        <f t="shared" si="1"/>
        <v>0</v>
      </c>
      <c r="AJ384" s="322"/>
      <c r="AK384" s="322"/>
      <c r="AL384" s="322"/>
      <c r="AM384" s="322"/>
      <c r="AN384" s="322"/>
      <c r="AO384" s="322"/>
      <c r="AP384" s="322"/>
      <c r="AQ384" s="322"/>
      <c r="AR384" s="322"/>
      <c r="AS384" s="322"/>
      <c r="AT384" s="322"/>
      <c r="AU384" s="322"/>
      <c r="AV384" s="322"/>
      <c r="AW384" s="322"/>
    </row>
    <row r="385" spans="1:49" ht="15.75" customHeight="1">
      <c r="A385" s="538"/>
      <c r="B385" s="292"/>
      <c r="C385" s="539"/>
      <c r="D385" s="546"/>
      <c r="E385" s="298"/>
      <c r="F385" s="298"/>
      <c r="G385" s="298"/>
      <c r="H385" s="298"/>
      <c r="I385" s="298"/>
      <c r="J385" s="546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546"/>
      <c r="Y385" s="298"/>
      <c r="Z385" s="298"/>
      <c r="AA385" s="298"/>
      <c r="AB385" s="298"/>
      <c r="AC385" s="298"/>
      <c r="AD385" s="298"/>
      <c r="AE385" s="298"/>
      <c r="AF385" s="298"/>
      <c r="AG385" s="298"/>
      <c r="AH385" s="298"/>
      <c r="AI385" s="299"/>
      <c r="AJ385" s="299"/>
      <c r="AK385" s="299"/>
      <c r="AL385" s="299"/>
      <c r="AM385" s="299"/>
      <c r="AN385" s="299"/>
      <c r="AO385" s="299"/>
      <c r="AP385" s="299"/>
      <c r="AQ385" s="299"/>
      <c r="AR385" s="299"/>
      <c r="AS385" s="299"/>
      <c r="AT385" s="299"/>
      <c r="AU385" s="299"/>
      <c r="AV385" s="299"/>
      <c r="AW385" s="299"/>
    </row>
    <row r="386" spans="1:49" ht="15.75" customHeight="1">
      <c r="A386" s="547"/>
      <c r="B386" s="548"/>
      <c r="C386" s="549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  <c r="Z386" s="550"/>
      <c r="AA386" s="550"/>
      <c r="AB386" s="550"/>
      <c r="AC386" s="550"/>
      <c r="AD386" s="550"/>
      <c r="AE386" s="550"/>
      <c r="AF386" s="550"/>
      <c r="AG386" s="550"/>
      <c r="AH386" s="550"/>
      <c r="AI386" s="551"/>
      <c r="AJ386" s="551"/>
      <c r="AK386" s="551"/>
      <c r="AL386" s="551"/>
      <c r="AM386" s="551"/>
      <c r="AN386" s="551"/>
      <c r="AO386" s="551"/>
      <c r="AP386" s="551"/>
      <c r="AQ386" s="551"/>
      <c r="AR386" s="551"/>
      <c r="AS386" s="551"/>
      <c r="AT386" s="551"/>
      <c r="AU386" s="551"/>
      <c r="AV386" s="551"/>
      <c r="AW386" s="551"/>
    </row>
    <row r="387" spans="1:49" ht="15.75" customHeight="1">
      <c r="A387" s="552"/>
      <c r="B387" s="553"/>
      <c r="C387" s="554"/>
      <c r="D387" s="546"/>
      <c r="E387" s="546"/>
      <c r="F387" s="546"/>
      <c r="G387" s="546"/>
      <c r="H387" s="546"/>
      <c r="I387" s="546"/>
      <c r="J387" s="546"/>
      <c r="K387" s="546"/>
      <c r="L387" s="546"/>
      <c r="M387" s="546"/>
      <c r="N387" s="546"/>
      <c r="O387" s="546"/>
      <c r="P387" s="546"/>
      <c r="Q387" s="546"/>
      <c r="R387" s="546"/>
      <c r="S387" s="546"/>
      <c r="T387" s="546"/>
      <c r="U387" s="546"/>
      <c r="V387" s="546"/>
      <c r="W387" s="546"/>
      <c r="X387" s="546"/>
      <c r="Y387" s="546"/>
      <c r="Z387" s="546"/>
      <c r="AA387" s="546"/>
      <c r="AB387" s="546"/>
      <c r="AC387" s="546"/>
      <c r="AD387" s="546"/>
      <c r="AE387" s="546"/>
      <c r="AF387" s="546"/>
      <c r="AG387" s="546"/>
      <c r="AH387" s="546"/>
      <c r="AI387" s="555"/>
      <c r="AJ387" s="555"/>
      <c r="AK387" s="555"/>
      <c r="AL387" s="555"/>
      <c r="AM387" s="555"/>
      <c r="AN387" s="555"/>
      <c r="AO387" s="555"/>
      <c r="AP387" s="555"/>
      <c r="AQ387" s="555"/>
      <c r="AR387" s="555"/>
      <c r="AS387" s="555"/>
      <c r="AT387" s="555"/>
      <c r="AU387" s="555"/>
      <c r="AV387" s="555"/>
      <c r="AW387" s="555"/>
    </row>
    <row r="388" spans="1:49" ht="15.75" customHeight="1">
      <c r="A388" s="547"/>
      <c r="B388" s="548"/>
      <c r="C388" s="549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  <c r="Z388" s="550"/>
      <c r="AA388" s="550"/>
      <c r="AB388" s="550"/>
      <c r="AC388" s="550"/>
      <c r="AD388" s="550"/>
      <c r="AE388" s="550"/>
      <c r="AF388" s="550"/>
      <c r="AG388" s="550"/>
      <c r="AH388" s="550"/>
      <c r="AI388" s="551"/>
      <c r="AJ388" s="551"/>
      <c r="AK388" s="551"/>
      <c r="AL388" s="551"/>
      <c r="AM388" s="551"/>
      <c r="AN388" s="551"/>
      <c r="AO388" s="551"/>
      <c r="AP388" s="551"/>
      <c r="AQ388" s="551"/>
      <c r="AR388" s="551"/>
      <c r="AS388" s="551"/>
      <c r="AT388" s="551"/>
      <c r="AU388" s="551"/>
      <c r="AV388" s="551"/>
      <c r="AW388" s="551"/>
    </row>
    <row r="389" spans="1:49" ht="15.75" customHeight="1">
      <c r="A389" s="552"/>
      <c r="B389" s="553"/>
      <c r="C389" s="554"/>
      <c r="D389" s="546"/>
      <c r="E389" s="546"/>
      <c r="F389" s="546"/>
      <c r="G389" s="546"/>
      <c r="H389" s="546"/>
      <c r="I389" s="546"/>
      <c r="J389" s="546"/>
      <c r="K389" s="546"/>
      <c r="L389" s="546"/>
      <c r="M389" s="546"/>
      <c r="N389" s="546"/>
      <c r="O389" s="546"/>
      <c r="P389" s="546"/>
      <c r="Q389" s="546"/>
      <c r="R389" s="546"/>
      <c r="S389" s="546"/>
      <c r="T389" s="546"/>
      <c r="U389" s="546"/>
      <c r="V389" s="546"/>
      <c r="W389" s="546"/>
      <c r="X389" s="546"/>
      <c r="Y389" s="546"/>
      <c r="Z389" s="546"/>
      <c r="AA389" s="546"/>
      <c r="AB389" s="546"/>
      <c r="AC389" s="546"/>
      <c r="AD389" s="546"/>
      <c r="AE389" s="546"/>
      <c r="AF389" s="546"/>
      <c r="AG389" s="546"/>
      <c r="AH389" s="546"/>
      <c r="AI389" s="555"/>
      <c r="AJ389" s="555"/>
      <c r="AK389" s="555"/>
      <c r="AL389" s="555"/>
      <c r="AM389" s="555"/>
      <c r="AN389" s="555"/>
      <c r="AO389" s="555"/>
      <c r="AP389" s="555"/>
      <c r="AQ389" s="555"/>
      <c r="AR389" s="555"/>
      <c r="AS389" s="555"/>
      <c r="AT389" s="555"/>
      <c r="AU389" s="555"/>
      <c r="AV389" s="555"/>
      <c r="AW389" s="555"/>
    </row>
    <row r="390" spans="1:49" ht="15.75" customHeight="1">
      <c r="A390" s="547"/>
      <c r="B390" s="548"/>
      <c r="C390" s="549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  <c r="Z390" s="550"/>
      <c r="AA390" s="550"/>
      <c r="AB390" s="550"/>
      <c r="AC390" s="550"/>
      <c r="AD390" s="550"/>
      <c r="AE390" s="550"/>
      <c r="AF390" s="550"/>
      <c r="AG390" s="550"/>
      <c r="AH390" s="550"/>
      <c r="AI390" s="551"/>
      <c r="AJ390" s="551"/>
      <c r="AK390" s="551"/>
      <c r="AL390" s="551"/>
      <c r="AM390" s="551"/>
      <c r="AN390" s="551"/>
      <c r="AO390" s="551"/>
      <c r="AP390" s="551"/>
      <c r="AQ390" s="551"/>
      <c r="AR390" s="551"/>
      <c r="AS390" s="551"/>
      <c r="AT390" s="551"/>
      <c r="AU390" s="551"/>
      <c r="AV390" s="551"/>
      <c r="AW390" s="551"/>
    </row>
    <row r="391" spans="1:49" ht="15.75" customHeight="1">
      <c r="A391" s="552"/>
      <c r="B391" s="553"/>
      <c r="C391" s="554"/>
      <c r="D391" s="546"/>
      <c r="E391" s="546"/>
      <c r="F391" s="546"/>
      <c r="G391" s="546"/>
      <c r="H391" s="546"/>
      <c r="I391" s="546"/>
      <c r="J391" s="546"/>
      <c r="K391" s="546"/>
      <c r="L391" s="546"/>
      <c r="M391" s="546"/>
      <c r="N391" s="546"/>
      <c r="O391" s="546"/>
      <c r="P391" s="546"/>
      <c r="Q391" s="546"/>
      <c r="R391" s="546"/>
      <c r="S391" s="546"/>
      <c r="T391" s="546"/>
      <c r="U391" s="546"/>
      <c r="V391" s="546"/>
      <c r="W391" s="546"/>
      <c r="X391" s="546"/>
      <c r="Y391" s="546"/>
      <c r="Z391" s="546"/>
      <c r="AA391" s="546"/>
      <c r="AB391" s="546"/>
      <c r="AC391" s="546"/>
      <c r="AD391" s="546"/>
      <c r="AE391" s="546"/>
      <c r="AF391" s="546"/>
      <c r="AG391" s="546"/>
      <c r="AH391" s="546"/>
      <c r="AI391" s="555"/>
      <c r="AJ391" s="555"/>
      <c r="AK391" s="555"/>
      <c r="AL391" s="555"/>
      <c r="AM391" s="555"/>
      <c r="AN391" s="555"/>
      <c r="AO391" s="555"/>
      <c r="AP391" s="555"/>
      <c r="AQ391" s="555"/>
      <c r="AR391" s="555"/>
      <c r="AS391" s="555"/>
      <c r="AT391" s="555"/>
      <c r="AU391" s="555"/>
      <c r="AV391" s="555"/>
      <c r="AW391" s="555"/>
    </row>
    <row r="392" spans="1:49" ht="15.75" customHeight="1">
      <c r="A392" s="547"/>
      <c r="B392" s="548"/>
      <c r="C392" s="549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  <c r="Z392" s="550"/>
      <c r="AA392" s="550"/>
      <c r="AB392" s="550"/>
      <c r="AC392" s="550"/>
      <c r="AD392" s="550"/>
      <c r="AE392" s="550"/>
      <c r="AF392" s="550"/>
      <c r="AG392" s="550"/>
      <c r="AH392" s="550"/>
      <c r="AI392" s="551"/>
      <c r="AJ392" s="551"/>
      <c r="AK392" s="551"/>
      <c r="AL392" s="551"/>
      <c r="AM392" s="551"/>
      <c r="AN392" s="551"/>
      <c r="AO392" s="551"/>
      <c r="AP392" s="551"/>
      <c r="AQ392" s="551"/>
      <c r="AR392" s="551"/>
      <c r="AS392" s="551"/>
      <c r="AT392" s="551"/>
      <c r="AU392" s="551"/>
      <c r="AV392" s="551"/>
      <c r="AW392" s="551"/>
    </row>
    <row r="393" spans="1:49" ht="15.75" customHeight="1">
      <c r="A393" s="552"/>
      <c r="B393" s="553"/>
      <c r="C393" s="554"/>
      <c r="D393" s="546"/>
      <c r="E393" s="546"/>
      <c r="F393" s="546"/>
      <c r="G393" s="546"/>
      <c r="H393" s="546"/>
      <c r="I393" s="546"/>
      <c r="J393" s="546"/>
      <c r="K393" s="546"/>
      <c r="L393" s="546"/>
      <c r="M393" s="546"/>
      <c r="N393" s="546"/>
      <c r="O393" s="546"/>
      <c r="P393" s="546"/>
      <c r="Q393" s="546"/>
      <c r="R393" s="546"/>
      <c r="S393" s="546"/>
      <c r="T393" s="546"/>
      <c r="U393" s="546"/>
      <c r="V393" s="546"/>
      <c r="W393" s="546"/>
      <c r="X393" s="546"/>
      <c r="Y393" s="546"/>
      <c r="Z393" s="546"/>
      <c r="AA393" s="546"/>
      <c r="AB393" s="546"/>
      <c r="AC393" s="546"/>
      <c r="AD393" s="546"/>
      <c r="AE393" s="546"/>
      <c r="AF393" s="546"/>
      <c r="AG393" s="546"/>
      <c r="AH393" s="546"/>
      <c r="AI393" s="555"/>
      <c r="AJ393" s="555"/>
      <c r="AK393" s="555"/>
      <c r="AL393" s="555"/>
      <c r="AM393" s="555"/>
      <c r="AN393" s="555"/>
      <c r="AO393" s="555"/>
      <c r="AP393" s="555"/>
      <c r="AQ393" s="555"/>
      <c r="AR393" s="555"/>
      <c r="AS393" s="555"/>
      <c r="AT393" s="555"/>
      <c r="AU393" s="555"/>
      <c r="AV393" s="555"/>
      <c r="AW393" s="555"/>
    </row>
    <row r="394" spans="1:49" ht="15.75" customHeight="1">
      <c r="A394" s="547"/>
      <c r="B394" s="548"/>
      <c r="C394" s="549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  <c r="Z394" s="550"/>
      <c r="AA394" s="550"/>
      <c r="AB394" s="550"/>
      <c r="AC394" s="550"/>
      <c r="AD394" s="550"/>
      <c r="AE394" s="550"/>
      <c r="AF394" s="550"/>
      <c r="AG394" s="550"/>
      <c r="AH394" s="550"/>
      <c r="AI394" s="551"/>
      <c r="AJ394" s="551"/>
      <c r="AK394" s="551"/>
      <c r="AL394" s="551"/>
      <c r="AM394" s="551"/>
      <c r="AN394" s="551"/>
      <c r="AO394" s="551"/>
      <c r="AP394" s="551"/>
      <c r="AQ394" s="551"/>
      <c r="AR394" s="551"/>
      <c r="AS394" s="551"/>
      <c r="AT394" s="551"/>
      <c r="AU394" s="551"/>
      <c r="AV394" s="551"/>
      <c r="AW394" s="551"/>
    </row>
    <row r="395" spans="1:49" ht="15.75" customHeight="1">
      <c r="A395" s="552"/>
      <c r="B395" s="553"/>
      <c r="C395" s="554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46"/>
      <c r="P395" s="546"/>
      <c r="Q395" s="546"/>
      <c r="R395" s="546"/>
      <c r="S395" s="546"/>
      <c r="T395" s="546"/>
      <c r="U395" s="546"/>
      <c r="V395" s="546"/>
      <c r="W395" s="546"/>
      <c r="X395" s="546"/>
      <c r="Y395" s="546"/>
      <c r="Z395" s="546"/>
      <c r="AA395" s="546"/>
      <c r="AB395" s="546"/>
      <c r="AC395" s="546"/>
      <c r="AD395" s="546"/>
      <c r="AE395" s="546"/>
      <c r="AF395" s="546"/>
      <c r="AG395" s="546"/>
      <c r="AH395" s="546"/>
      <c r="AI395" s="555"/>
      <c r="AJ395" s="555"/>
      <c r="AK395" s="555"/>
      <c r="AL395" s="555"/>
      <c r="AM395" s="555"/>
      <c r="AN395" s="555"/>
      <c r="AO395" s="555"/>
      <c r="AP395" s="555"/>
      <c r="AQ395" s="555"/>
      <c r="AR395" s="555"/>
      <c r="AS395" s="555"/>
      <c r="AT395" s="555"/>
      <c r="AU395" s="555"/>
      <c r="AV395" s="555"/>
      <c r="AW395" s="555"/>
    </row>
    <row r="396" spans="1:49" ht="15.75" customHeight="1">
      <c r="A396" s="547"/>
      <c r="B396" s="548"/>
      <c r="C396" s="549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  <c r="Z396" s="550"/>
      <c r="AA396" s="550"/>
      <c r="AB396" s="550"/>
      <c r="AC396" s="550"/>
      <c r="AD396" s="550"/>
      <c r="AE396" s="550"/>
      <c r="AF396" s="550"/>
      <c r="AG396" s="550"/>
      <c r="AH396" s="550"/>
      <c r="AI396" s="551"/>
      <c r="AJ396" s="551"/>
      <c r="AK396" s="551"/>
      <c r="AL396" s="551"/>
      <c r="AM396" s="551"/>
      <c r="AN396" s="551"/>
      <c r="AO396" s="551"/>
      <c r="AP396" s="551"/>
      <c r="AQ396" s="551"/>
      <c r="AR396" s="551"/>
      <c r="AS396" s="551"/>
      <c r="AT396" s="551"/>
      <c r="AU396" s="551"/>
      <c r="AV396" s="551"/>
      <c r="AW396" s="551"/>
    </row>
    <row r="397" spans="1:49" ht="15.75" customHeight="1">
      <c r="A397" s="556"/>
      <c r="B397" s="557"/>
      <c r="C397" s="558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59"/>
      <c r="AB397" s="559"/>
      <c r="AC397" s="559"/>
      <c r="AD397" s="559"/>
      <c r="AE397" s="559"/>
      <c r="AF397" s="559"/>
      <c r="AG397" s="559"/>
      <c r="AH397" s="559"/>
      <c r="AI397" s="560"/>
      <c r="AJ397" s="560"/>
      <c r="AK397" s="560"/>
      <c r="AL397" s="560"/>
      <c r="AM397" s="560"/>
      <c r="AN397" s="560"/>
      <c r="AO397" s="560"/>
      <c r="AP397" s="560"/>
      <c r="AQ397" s="560"/>
      <c r="AR397" s="560"/>
      <c r="AS397" s="560"/>
      <c r="AT397" s="560"/>
      <c r="AU397" s="560"/>
      <c r="AV397" s="560"/>
      <c r="AW397" s="560"/>
    </row>
    <row r="398" spans="1:49" ht="15.75" customHeight="1"/>
    <row r="399" spans="1:49" ht="15.75" customHeight="1"/>
    <row r="400" spans="1:49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8">
    <mergeCell ref="A153:C153"/>
    <mergeCell ref="A35:C35"/>
    <mergeCell ref="A90:C90"/>
    <mergeCell ref="A112:C112"/>
    <mergeCell ref="A132:C132"/>
    <mergeCell ref="A142:C142"/>
    <mergeCell ref="A164:C164"/>
    <mergeCell ref="A190:C190"/>
    <mergeCell ref="A225:C225"/>
    <mergeCell ref="A262:C262"/>
    <mergeCell ref="A281:C281"/>
    <mergeCell ref="D3:AI3"/>
    <mergeCell ref="A1:A2"/>
    <mergeCell ref="B1:B2"/>
    <mergeCell ref="C1:C2"/>
    <mergeCell ref="D1:D2"/>
    <mergeCell ref="E1:E2"/>
    <mergeCell ref="F1:F2"/>
    <mergeCell ref="G1:G2"/>
    <mergeCell ref="A3:C3"/>
    <mergeCell ref="AI1:AI2"/>
    <mergeCell ref="V1:V2"/>
    <mergeCell ref="W1:W2"/>
    <mergeCell ref="X1:X2"/>
    <mergeCell ref="Y1:Y2"/>
    <mergeCell ref="Z1:Z2"/>
    <mergeCell ref="AA1:AA2"/>
    <mergeCell ref="AB1:AB2"/>
    <mergeCell ref="AD1:AD2"/>
    <mergeCell ref="AE1:AE2"/>
    <mergeCell ref="AF1:AF2"/>
    <mergeCell ref="AG1:AG2"/>
    <mergeCell ref="AH1:AH2"/>
    <mergeCell ref="R1:R2"/>
    <mergeCell ref="S1:S2"/>
    <mergeCell ref="T1:T2"/>
    <mergeCell ref="U1:U2"/>
    <mergeCell ref="AC1:AC2"/>
    <mergeCell ref="M1:M2"/>
    <mergeCell ref="N1:N2"/>
    <mergeCell ref="O1:O2"/>
    <mergeCell ref="P1:P2"/>
    <mergeCell ref="Q1:Q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AI9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/>
  <cols>
    <col min="1" max="1" width="10.5703125" customWidth="1"/>
    <col min="2" max="2" width="38.140625" customWidth="1"/>
    <col min="3" max="3" width="6.42578125" customWidth="1"/>
    <col min="4" max="34" width="3.85546875" customWidth="1"/>
    <col min="35" max="35" width="6.42578125" customWidth="1"/>
  </cols>
  <sheetData>
    <row r="1" spans="1:35" ht="15.75" customHeight="1">
      <c r="A1" s="600" t="s">
        <v>2</v>
      </c>
      <c r="B1" s="600" t="s">
        <v>0</v>
      </c>
      <c r="C1" s="621" t="s">
        <v>1</v>
      </c>
      <c r="D1" s="600">
        <v>1</v>
      </c>
      <c r="E1" s="600">
        <v>2</v>
      </c>
      <c r="F1" s="600">
        <v>3</v>
      </c>
      <c r="G1" s="600">
        <v>4</v>
      </c>
      <c r="H1" s="600">
        <v>5</v>
      </c>
      <c r="I1" s="600">
        <v>6</v>
      </c>
      <c r="J1" s="600">
        <v>7</v>
      </c>
      <c r="K1" s="600">
        <v>8</v>
      </c>
      <c r="L1" s="600">
        <v>9</v>
      </c>
      <c r="M1" s="600">
        <v>10</v>
      </c>
      <c r="N1" s="600">
        <v>11</v>
      </c>
      <c r="O1" s="600">
        <v>12</v>
      </c>
      <c r="P1" s="600">
        <v>13</v>
      </c>
      <c r="Q1" s="600">
        <v>14</v>
      </c>
      <c r="R1" s="600">
        <v>15</v>
      </c>
      <c r="S1" s="600">
        <v>16</v>
      </c>
      <c r="T1" s="600">
        <v>17</v>
      </c>
      <c r="U1" s="600">
        <v>18</v>
      </c>
      <c r="V1" s="600">
        <v>19</v>
      </c>
      <c r="W1" s="600">
        <v>20</v>
      </c>
      <c r="X1" s="600">
        <v>21</v>
      </c>
      <c r="Y1" s="600">
        <v>22</v>
      </c>
      <c r="Z1" s="600">
        <v>23</v>
      </c>
      <c r="AA1" s="600">
        <v>24</v>
      </c>
      <c r="AB1" s="600">
        <v>25</v>
      </c>
      <c r="AC1" s="600">
        <v>26</v>
      </c>
      <c r="AD1" s="600">
        <v>27</v>
      </c>
      <c r="AE1" s="600">
        <v>28</v>
      </c>
      <c r="AF1" s="600">
        <v>29</v>
      </c>
      <c r="AG1" s="600">
        <v>30</v>
      </c>
      <c r="AH1" s="600">
        <v>31</v>
      </c>
      <c r="AI1" s="622" t="s">
        <v>3</v>
      </c>
    </row>
    <row r="2" spans="1:35" ht="18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</row>
    <row r="3" spans="1:35" ht="18.75" customHeight="1">
      <c r="A3" s="627" t="s">
        <v>4</v>
      </c>
      <c r="B3" s="606"/>
      <c r="C3" s="614"/>
      <c r="D3" s="64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7"/>
    </row>
    <row r="4" spans="1:35" ht="15.75" customHeight="1">
      <c r="A4" s="3">
        <v>2212004001</v>
      </c>
      <c r="B4" s="4" t="s">
        <v>5</v>
      </c>
      <c r="C4" s="320" t="s">
        <v>6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1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1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31">
        <f t="shared" ref="AI4:AI258" si="0">SUM(D4:AH4)</f>
        <v>2</v>
      </c>
    </row>
    <row r="5" spans="1:35" ht="15.75" customHeight="1">
      <c r="A5" s="10">
        <v>2212004002</v>
      </c>
      <c r="B5" s="11" t="s">
        <v>7</v>
      </c>
      <c r="C5" s="323" t="s">
        <v>8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31">
        <f t="shared" si="0"/>
        <v>0</v>
      </c>
    </row>
    <row r="6" spans="1:35" ht="15.75" customHeight="1">
      <c r="A6" s="10">
        <v>2212004003</v>
      </c>
      <c r="B6" s="11" t="s">
        <v>9</v>
      </c>
      <c r="C6" s="323" t="s">
        <v>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31">
        <f t="shared" si="0"/>
        <v>0</v>
      </c>
    </row>
    <row r="7" spans="1:35" ht="15.75" customHeight="1">
      <c r="A7" s="10">
        <v>2212004004</v>
      </c>
      <c r="B7" s="11" t="s">
        <v>10</v>
      </c>
      <c r="C7" s="323" t="s">
        <v>6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2</v>
      </c>
      <c r="J7" s="14">
        <v>1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1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1</v>
      </c>
      <c r="X7" s="14">
        <v>1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1</v>
      </c>
      <c r="AE7" s="14">
        <v>0</v>
      </c>
      <c r="AF7" s="14">
        <v>0</v>
      </c>
      <c r="AG7" s="14">
        <v>0</v>
      </c>
      <c r="AH7" s="14">
        <v>0</v>
      </c>
      <c r="AI7" s="131">
        <f t="shared" si="0"/>
        <v>7</v>
      </c>
    </row>
    <row r="8" spans="1:35" ht="15.75" customHeight="1">
      <c r="A8" s="10">
        <v>2212004005</v>
      </c>
      <c r="B8" s="11" t="s">
        <v>11</v>
      </c>
      <c r="C8" s="323" t="s">
        <v>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  <c r="J8" s="14">
        <v>1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2</v>
      </c>
      <c r="Q8" s="14">
        <v>1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2</v>
      </c>
      <c r="X8" s="14">
        <v>1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2</v>
      </c>
      <c r="AE8" s="14">
        <v>1</v>
      </c>
      <c r="AF8" s="14">
        <v>0</v>
      </c>
      <c r="AG8" s="14">
        <v>0</v>
      </c>
      <c r="AH8" s="14">
        <v>0</v>
      </c>
      <c r="AI8" s="131">
        <f t="shared" si="0"/>
        <v>11</v>
      </c>
    </row>
    <row r="9" spans="1:35" ht="15.75" customHeight="1">
      <c r="A9" s="10">
        <v>2212004006</v>
      </c>
      <c r="B9" s="11" t="s">
        <v>12</v>
      </c>
      <c r="C9" s="323" t="s">
        <v>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1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1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1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1</v>
      </c>
      <c r="AF9" s="14">
        <v>0</v>
      </c>
      <c r="AG9" s="14">
        <v>0</v>
      </c>
      <c r="AH9" s="14">
        <v>0</v>
      </c>
      <c r="AI9" s="131">
        <f t="shared" si="0"/>
        <v>4</v>
      </c>
    </row>
    <row r="10" spans="1:35" ht="15.75" customHeight="1">
      <c r="A10" s="10">
        <v>2212004007</v>
      </c>
      <c r="B10" s="11" t="s">
        <v>13</v>
      </c>
      <c r="C10" s="323" t="s">
        <v>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2</v>
      </c>
      <c r="J10" s="14">
        <v>2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2</v>
      </c>
      <c r="Q10" s="14">
        <v>2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2</v>
      </c>
      <c r="X10" s="14">
        <v>2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2</v>
      </c>
      <c r="AE10" s="14">
        <v>2</v>
      </c>
      <c r="AF10" s="14">
        <v>0</v>
      </c>
      <c r="AG10" s="14">
        <v>0</v>
      </c>
      <c r="AH10" s="14">
        <v>0</v>
      </c>
      <c r="AI10" s="131">
        <f t="shared" si="0"/>
        <v>16</v>
      </c>
    </row>
    <row r="11" spans="1:35" ht="15.75" customHeight="1">
      <c r="A11" s="10">
        <v>2212004008</v>
      </c>
      <c r="B11" s="11" t="s">
        <v>14</v>
      </c>
      <c r="C11" s="323" t="s">
        <v>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31">
        <f t="shared" si="0"/>
        <v>0</v>
      </c>
    </row>
    <row r="12" spans="1:35" ht="15.75" customHeight="1">
      <c r="A12" s="10">
        <v>2212004009</v>
      </c>
      <c r="B12" s="11" t="s">
        <v>15</v>
      </c>
      <c r="C12" s="323" t="s">
        <v>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2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2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2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2</v>
      </c>
      <c r="AF12" s="14">
        <v>0</v>
      </c>
      <c r="AG12" s="14">
        <v>0</v>
      </c>
      <c r="AH12" s="14">
        <v>0</v>
      </c>
      <c r="AI12" s="131">
        <f t="shared" si="0"/>
        <v>8</v>
      </c>
    </row>
    <row r="13" spans="1:35" ht="15.75" customHeight="1">
      <c r="A13" s="10">
        <v>2212004011</v>
      </c>
      <c r="B13" s="11" t="s">
        <v>16</v>
      </c>
      <c r="C13" s="323" t="s">
        <v>6</v>
      </c>
      <c r="D13" s="14">
        <v>0</v>
      </c>
      <c r="E13" s="14">
        <v>10</v>
      </c>
      <c r="F13" s="14">
        <v>0</v>
      </c>
      <c r="G13" s="14">
        <v>10</v>
      </c>
      <c r="H13" s="14">
        <v>0</v>
      </c>
      <c r="I13" s="14">
        <v>12</v>
      </c>
      <c r="J13" s="14">
        <v>4</v>
      </c>
      <c r="K13" s="14">
        <v>10</v>
      </c>
      <c r="L13" s="14">
        <v>0</v>
      </c>
      <c r="M13" s="14">
        <v>10</v>
      </c>
      <c r="N13" s="14">
        <v>0</v>
      </c>
      <c r="O13" s="14">
        <v>0</v>
      </c>
      <c r="P13" s="14">
        <v>1</v>
      </c>
      <c r="Q13" s="14">
        <v>14</v>
      </c>
      <c r="R13" s="14">
        <v>0</v>
      </c>
      <c r="S13" s="14">
        <v>0</v>
      </c>
      <c r="T13" s="14">
        <v>10</v>
      </c>
      <c r="U13" s="14">
        <v>0</v>
      </c>
      <c r="V13" s="14">
        <v>0</v>
      </c>
      <c r="W13" s="14">
        <v>12</v>
      </c>
      <c r="X13" s="14">
        <v>4</v>
      </c>
      <c r="Y13" s="14">
        <v>0</v>
      </c>
      <c r="Z13" s="14">
        <v>10</v>
      </c>
      <c r="AA13" s="14">
        <v>0</v>
      </c>
      <c r="AB13" s="14">
        <v>0</v>
      </c>
      <c r="AC13" s="14">
        <v>10</v>
      </c>
      <c r="AD13" s="14">
        <v>1</v>
      </c>
      <c r="AE13" s="14">
        <v>4</v>
      </c>
      <c r="AF13" s="14">
        <v>10</v>
      </c>
      <c r="AG13" s="14">
        <v>0</v>
      </c>
      <c r="AH13" s="14">
        <v>0</v>
      </c>
      <c r="AI13" s="131">
        <f t="shared" si="0"/>
        <v>132</v>
      </c>
    </row>
    <row r="14" spans="1:35" ht="15.75" customHeight="1">
      <c r="A14" s="10">
        <v>2212004012</v>
      </c>
      <c r="B14" s="11" t="s">
        <v>17</v>
      </c>
      <c r="C14" s="323" t="s">
        <v>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4</v>
      </c>
      <c r="K14" s="14">
        <v>0</v>
      </c>
      <c r="L14" s="14">
        <v>0</v>
      </c>
      <c r="M14" s="14">
        <v>0</v>
      </c>
      <c r="N14" s="14">
        <v>10</v>
      </c>
      <c r="O14" s="14">
        <v>0</v>
      </c>
      <c r="P14" s="14">
        <v>10</v>
      </c>
      <c r="Q14" s="14">
        <v>4</v>
      </c>
      <c r="R14" s="14">
        <v>0</v>
      </c>
      <c r="S14" s="14">
        <v>10</v>
      </c>
      <c r="T14" s="14">
        <v>0</v>
      </c>
      <c r="U14" s="14">
        <v>0</v>
      </c>
      <c r="V14" s="14">
        <v>10</v>
      </c>
      <c r="W14" s="14">
        <v>0</v>
      </c>
      <c r="X14" s="14">
        <v>4</v>
      </c>
      <c r="Y14" s="14">
        <v>10</v>
      </c>
      <c r="Z14" s="14">
        <v>0</v>
      </c>
      <c r="AA14" s="14">
        <v>0</v>
      </c>
      <c r="AB14" s="14">
        <v>10</v>
      </c>
      <c r="AC14" s="14">
        <v>0</v>
      </c>
      <c r="AD14" s="14">
        <v>0</v>
      </c>
      <c r="AE14" s="14">
        <v>14</v>
      </c>
      <c r="AF14" s="14">
        <v>0</v>
      </c>
      <c r="AG14" s="14">
        <v>0</v>
      </c>
      <c r="AH14" s="14">
        <v>10</v>
      </c>
      <c r="AI14" s="131">
        <f t="shared" si="0"/>
        <v>96</v>
      </c>
    </row>
    <row r="15" spans="1:35" ht="15.75" customHeight="1">
      <c r="A15" s="10">
        <v>2212004013</v>
      </c>
      <c r="B15" s="11" t="s">
        <v>18</v>
      </c>
      <c r="C15" s="323" t="s">
        <v>6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2</v>
      </c>
      <c r="J15" s="14">
        <v>2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2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2</v>
      </c>
      <c r="X15" s="14">
        <v>2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2</v>
      </c>
      <c r="AE15" s="14">
        <v>0</v>
      </c>
      <c r="AF15" s="14">
        <v>0</v>
      </c>
      <c r="AG15" s="14">
        <v>0</v>
      </c>
      <c r="AH15" s="14">
        <v>0</v>
      </c>
      <c r="AI15" s="131">
        <f t="shared" si="0"/>
        <v>12</v>
      </c>
    </row>
    <row r="16" spans="1:35" ht="15.75" customHeight="1">
      <c r="A16" s="10">
        <v>2212004014</v>
      </c>
      <c r="B16" s="11" t="s">
        <v>19</v>
      </c>
      <c r="C16" s="323" t="s">
        <v>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1</v>
      </c>
      <c r="J16" s="14">
        <v>7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1</v>
      </c>
      <c r="Q16" s="14">
        <v>7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1</v>
      </c>
      <c r="X16" s="14">
        <v>7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1</v>
      </c>
      <c r="AE16" s="14">
        <v>7</v>
      </c>
      <c r="AF16" s="14">
        <v>0</v>
      </c>
      <c r="AG16" s="14">
        <v>0</v>
      </c>
      <c r="AH16" s="14">
        <v>0</v>
      </c>
      <c r="AI16" s="131">
        <f t="shared" si="0"/>
        <v>32</v>
      </c>
    </row>
    <row r="17" spans="1:35" ht="15.75" customHeight="1">
      <c r="A17" s="10">
        <v>2212004015</v>
      </c>
      <c r="B17" s="11" t="s">
        <v>20</v>
      </c>
      <c r="C17" s="323" t="s">
        <v>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2</v>
      </c>
      <c r="J17" s="14">
        <v>7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5</v>
      </c>
      <c r="Q17" s="14">
        <v>7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2</v>
      </c>
      <c r="X17" s="14">
        <v>7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2</v>
      </c>
      <c r="AE17" s="14">
        <v>7</v>
      </c>
      <c r="AF17" s="14">
        <v>0</v>
      </c>
      <c r="AG17" s="14">
        <v>0</v>
      </c>
      <c r="AH17" s="14">
        <v>0</v>
      </c>
      <c r="AI17" s="131">
        <f t="shared" si="0"/>
        <v>39</v>
      </c>
    </row>
    <row r="18" spans="1:35" ht="15.75" customHeight="1">
      <c r="A18" s="10">
        <v>2212004016</v>
      </c>
      <c r="B18" s="11" t="s">
        <v>21</v>
      </c>
      <c r="C18" s="323" t="s">
        <v>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31">
        <f t="shared" si="0"/>
        <v>0</v>
      </c>
    </row>
    <row r="19" spans="1:35" ht="15.75" customHeight="1">
      <c r="A19" s="10">
        <v>2212004017</v>
      </c>
      <c r="B19" s="11" t="s">
        <v>22</v>
      </c>
      <c r="C19" s="323" t="s">
        <v>6</v>
      </c>
      <c r="D19" s="14">
        <v>10</v>
      </c>
      <c r="E19" s="14">
        <v>0</v>
      </c>
      <c r="F19" s="14">
        <v>10</v>
      </c>
      <c r="G19" s="14">
        <v>0</v>
      </c>
      <c r="H19" s="14">
        <v>10</v>
      </c>
      <c r="I19" s="14">
        <v>1</v>
      </c>
      <c r="J19" s="14">
        <v>12</v>
      </c>
      <c r="K19" s="14">
        <v>0</v>
      </c>
      <c r="L19" s="14">
        <v>10</v>
      </c>
      <c r="M19" s="14">
        <v>0</v>
      </c>
      <c r="N19" s="14">
        <v>0</v>
      </c>
      <c r="O19" s="14">
        <v>10</v>
      </c>
      <c r="P19" s="14">
        <v>1</v>
      </c>
      <c r="Q19" s="14">
        <v>0</v>
      </c>
      <c r="R19" s="14">
        <v>10</v>
      </c>
      <c r="S19" s="14">
        <v>0</v>
      </c>
      <c r="T19" s="14">
        <v>0</v>
      </c>
      <c r="U19" s="14">
        <v>10</v>
      </c>
      <c r="V19" s="14">
        <v>0</v>
      </c>
      <c r="W19" s="14">
        <v>1</v>
      </c>
      <c r="X19" s="14">
        <v>12</v>
      </c>
      <c r="Y19" s="14">
        <v>0</v>
      </c>
      <c r="Z19" s="14">
        <v>0</v>
      </c>
      <c r="AA19" s="14">
        <v>10</v>
      </c>
      <c r="AB19" s="14">
        <v>0</v>
      </c>
      <c r="AC19" s="14">
        <v>0</v>
      </c>
      <c r="AD19" s="14">
        <v>11</v>
      </c>
      <c r="AE19" s="14">
        <v>0</v>
      </c>
      <c r="AF19" s="14">
        <v>0</v>
      </c>
      <c r="AG19" s="14">
        <v>10</v>
      </c>
      <c r="AH19" s="14">
        <v>0</v>
      </c>
      <c r="AI19" s="131">
        <f t="shared" si="0"/>
        <v>128</v>
      </c>
    </row>
    <row r="20" spans="1:35" ht="15.75" customHeight="1">
      <c r="A20" s="10">
        <v>2212004018</v>
      </c>
      <c r="B20" s="11" t="s">
        <v>23</v>
      </c>
      <c r="C20" s="323" t="s">
        <v>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2</v>
      </c>
      <c r="J20" s="14">
        <v>4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2</v>
      </c>
      <c r="Q20" s="14">
        <v>4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2</v>
      </c>
      <c r="X20" s="14">
        <v>4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2</v>
      </c>
      <c r="AE20" s="14">
        <v>4</v>
      </c>
      <c r="AF20" s="14">
        <v>0</v>
      </c>
      <c r="AG20" s="14">
        <v>0</v>
      </c>
      <c r="AH20" s="14">
        <v>0</v>
      </c>
      <c r="AI20" s="131">
        <f t="shared" si="0"/>
        <v>24</v>
      </c>
    </row>
    <row r="21" spans="1:35" ht="15.75" customHeight="1">
      <c r="A21" s="10">
        <v>2212004019</v>
      </c>
      <c r="B21" s="11" t="s">
        <v>24</v>
      </c>
      <c r="C21" s="323" t="s">
        <v>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2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2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31">
        <f t="shared" si="0"/>
        <v>4</v>
      </c>
    </row>
    <row r="22" spans="1:35" ht="15.75" customHeight="1">
      <c r="A22" s="10">
        <v>2212004020</v>
      </c>
      <c r="B22" s="11" t="s">
        <v>25</v>
      </c>
      <c r="C22" s="323" t="s">
        <v>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2</v>
      </c>
      <c r="J22" s="14">
        <v>1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2</v>
      </c>
      <c r="Q22" s="14">
        <v>1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2</v>
      </c>
      <c r="X22" s="14">
        <v>1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2</v>
      </c>
      <c r="AE22" s="14">
        <v>1</v>
      </c>
      <c r="AF22" s="14">
        <v>0</v>
      </c>
      <c r="AG22" s="14">
        <v>0</v>
      </c>
      <c r="AH22" s="14">
        <v>0</v>
      </c>
      <c r="AI22" s="131">
        <f t="shared" si="0"/>
        <v>12</v>
      </c>
    </row>
    <row r="23" spans="1:35" ht="15.75" customHeight="1">
      <c r="A23" s="10">
        <v>2212004021</v>
      </c>
      <c r="B23" s="11" t="s">
        <v>26</v>
      </c>
      <c r="C23" s="323" t="s">
        <v>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2</v>
      </c>
      <c r="J23" s="14">
        <v>2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2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2</v>
      </c>
      <c r="X23" s="14">
        <v>2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2</v>
      </c>
      <c r="AE23" s="14">
        <v>0</v>
      </c>
      <c r="AF23" s="14">
        <v>0</v>
      </c>
      <c r="AG23" s="14">
        <v>0</v>
      </c>
      <c r="AH23" s="14">
        <v>0</v>
      </c>
      <c r="AI23" s="131">
        <f t="shared" si="0"/>
        <v>12</v>
      </c>
    </row>
    <row r="24" spans="1:35" ht="15.75" customHeight="1">
      <c r="A24" s="10">
        <v>2212004022</v>
      </c>
      <c r="B24" s="11" t="s">
        <v>27</v>
      </c>
      <c r="C24" s="323" t="s">
        <v>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31">
        <f t="shared" si="0"/>
        <v>0</v>
      </c>
    </row>
    <row r="25" spans="1:35" ht="15.75" customHeight="1">
      <c r="A25" s="10">
        <v>2212004023</v>
      </c>
      <c r="B25" s="11" t="s">
        <v>28</v>
      </c>
      <c r="C25" s="323" t="s">
        <v>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3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3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3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3</v>
      </c>
      <c r="AF25" s="14">
        <v>0</v>
      </c>
      <c r="AG25" s="14">
        <v>0</v>
      </c>
      <c r="AH25" s="14">
        <v>0</v>
      </c>
      <c r="AI25" s="131">
        <f t="shared" si="0"/>
        <v>12</v>
      </c>
    </row>
    <row r="26" spans="1:35" ht="15.75" customHeight="1">
      <c r="A26" s="10">
        <v>2212004025</v>
      </c>
      <c r="B26" s="11" t="s">
        <v>29</v>
      </c>
      <c r="C26" s="323" t="s">
        <v>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31">
        <f t="shared" si="0"/>
        <v>0</v>
      </c>
    </row>
    <row r="27" spans="1:35" ht="15.75" customHeight="1">
      <c r="A27" s="33">
        <v>2212004028</v>
      </c>
      <c r="B27" s="36" t="s">
        <v>30</v>
      </c>
      <c r="C27" s="323" t="s">
        <v>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2</v>
      </c>
      <c r="J27" s="14">
        <v>1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2</v>
      </c>
      <c r="Q27" s="14">
        <v>1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2</v>
      </c>
      <c r="X27" s="14">
        <v>1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2</v>
      </c>
      <c r="AE27" s="14">
        <v>1</v>
      </c>
      <c r="AF27" s="14">
        <v>0</v>
      </c>
      <c r="AG27" s="14">
        <v>0</v>
      </c>
      <c r="AH27" s="14">
        <v>0</v>
      </c>
      <c r="AI27" s="131">
        <f t="shared" si="0"/>
        <v>12</v>
      </c>
    </row>
    <row r="28" spans="1:35" ht="15.75" customHeight="1">
      <c r="A28" s="10">
        <v>2212004029</v>
      </c>
      <c r="B28" s="11" t="s">
        <v>31</v>
      </c>
      <c r="C28" s="323" t="s">
        <v>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1</v>
      </c>
      <c r="J28" s="14">
        <v>1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1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1</v>
      </c>
      <c r="X28" s="14">
        <v>1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1</v>
      </c>
      <c r="AE28" s="14">
        <v>0</v>
      </c>
      <c r="AF28" s="14">
        <v>0</v>
      </c>
      <c r="AG28" s="14">
        <v>0</v>
      </c>
      <c r="AH28" s="14">
        <v>0</v>
      </c>
      <c r="AI28" s="131">
        <f t="shared" si="0"/>
        <v>6</v>
      </c>
    </row>
    <row r="29" spans="1:35" ht="15.75" customHeight="1">
      <c r="A29" s="10">
        <v>2212004030</v>
      </c>
      <c r="B29" s="11" t="s">
        <v>32</v>
      </c>
      <c r="C29" s="323" t="s">
        <v>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2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1</v>
      </c>
      <c r="Q29" s="14">
        <v>1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2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1</v>
      </c>
      <c r="AE29" s="14">
        <v>1</v>
      </c>
      <c r="AF29" s="14">
        <v>0</v>
      </c>
      <c r="AG29" s="14">
        <v>0</v>
      </c>
      <c r="AH29" s="14">
        <v>0</v>
      </c>
      <c r="AI29" s="131">
        <f t="shared" si="0"/>
        <v>8</v>
      </c>
    </row>
    <row r="30" spans="1:35" ht="15.75" customHeight="1">
      <c r="A30" s="10">
        <v>2212004031</v>
      </c>
      <c r="B30" s="11" t="s">
        <v>33</v>
      </c>
      <c r="C30" s="323" t="s">
        <v>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31">
        <f t="shared" si="0"/>
        <v>0</v>
      </c>
    </row>
    <row r="31" spans="1:35" ht="15.75" customHeight="1">
      <c r="A31" s="10">
        <v>2212004032</v>
      </c>
      <c r="B31" s="11" t="s">
        <v>34</v>
      </c>
      <c r="C31" s="323" t="s">
        <v>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1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</v>
      </c>
      <c r="AF31" s="14">
        <v>0</v>
      </c>
      <c r="AG31" s="14">
        <v>0</v>
      </c>
      <c r="AH31" s="14">
        <v>0</v>
      </c>
      <c r="AI31" s="131">
        <f t="shared" si="0"/>
        <v>2</v>
      </c>
    </row>
    <row r="32" spans="1:35" ht="15.75" customHeight="1">
      <c r="A32" s="10">
        <v>2212004034</v>
      </c>
      <c r="B32" s="11" t="s">
        <v>35</v>
      </c>
      <c r="C32" s="323" t="s">
        <v>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31">
        <f t="shared" si="0"/>
        <v>0</v>
      </c>
    </row>
    <row r="33" spans="1:35" ht="15.75" customHeight="1">
      <c r="A33" s="10">
        <v>2212004035</v>
      </c>
      <c r="B33" s="11" t="s">
        <v>36</v>
      </c>
      <c r="C33" s="323" t="s">
        <v>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2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2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31">
        <f t="shared" si="0"/>
        <v>4</v>
      </c>
    </row>
    <row r="34" spans="1:35" ht="15.75" customHeight="1">
      <c r="A34" s="37">
        <v>2212004038</v>
      </c>
      <c r="B34" s="38" t="s">
        <v>37</v>
      </c>
      <c r="C34" s="334" t="s">
        <v>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31">
        <f t="shared" si="0"/>
        <v>0</v>
      </c>
    </row>
    <row r="35" spans="1:35" ht="18.75" customHeight="1">
      <c r="A35" s="615" t="s">
        <v>38</v>
      </c>
      <c r="B35" s="606"/>
      <c r="C35" s="607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131">
        <f t="shared" si="0"/>
        <v>0</v>
      </c>
    </row>
    <row r="36" spans="1:35" ht="15.75" customHeight="1">
      <c r="A36" s="45">
        <v>2212010003</v>
      </c>
      <c r="B36" s="46" t="s">
        <v>39</v>
      </c>
      <c r="C36" s="337" t="s">
        <v>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1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1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1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31">
        <f t="shared" si="0"/>
        <v>3</v>
      </c>
    </row>
    <row r="37" spans="1:35" ht="15.75" customHeight="1">
      <c r="A37" s="49">
        <v>2212010004</v>
      </c>
      <c r="B37" s="50" t="s">
        <v>40</v>
      </c>
      <c r="C37" s="342" t="s">
        <v>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1</v>
      </c>
      <c r="J37" s="14">
        <v>1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1</v>
      </c>
      <c r="Q37" s="14">
        <v>1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1</v>
      </c>
      <c r="X37" s="14">
        <v>1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2</v>
      </c>
      <c r="AE37" s="14">
        <v>1</v>
      </c>
      <c r="AF37" s="14">
        <v>0</v>
      </c>
      <c r="AG37" s="14">
        <v>0</v>
      </c>
      <c r="AH37" s="14">
        <v>0</v>
      </c>
      <c r="AI37" s="131">
        <f t="shared" si="0"/>
        <v>9</v>
      </c>
    </row>
    <row r="38" spans="1:35" ht="15.75" customHeight="1">
      <c r="A38" s="49">
        <v>2212010005</v>
      </c>
      <c r="B38" s="50" t="s">
        <v>41</v>
      </c>
      <c r="C38" s="342" t="s">
        <v>42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31">
        <f t="shared" si="0"/>
        <v>0</v>
      </c>
    </row>
    <row r="39" spans="1:35" ht="15.75" customHeight="1">
      <c r="A39" s="49">
        <v>2212010006</v>
      </c>
      <c r="B39" s="50" t="s">
        <v>43</v>
      </c>
      <c r="C39" s="342" t="s">
        <v>42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31">
        <f t="shared" si="0"/>
        <v>0</v>
      </c>
    </row>
    <row r="40" spans="1:35" ht="15.75" customHeight="1">
      <c r="A40" s="49">
        <v>2212010007</v>
      </c>
      <c r="B40" s="50" t="s">
        <v>44</v>
      </c>
      <c r="C40" s="342" t="s">
        <v>42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1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1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1</v>
      </c>
      <c r="AF40" s="14">
        <v>0</v>
      </c>
      <c r="AG40" s="14">
        <v>0</v>
      </c>
      <c r="AH40" s="14">
        <v>0</v>
      </c>
      <c r="AI40" s="131">
        <f t="shared" si="0"/>
        <v>4</v>
      </c>
    </row>
    <row r="41" spans="1:35" ht="15.75" customHeight="1">
      <c r="A41" s="49">
        <v>2212010008</v>
      </c>
      <c r="B41" s="50" t="s">
        <v>45</v>
      </c>
      <c r="C41" s="342" t="s">
        <v>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3</v>
      </c>
      <c r="J41" s="14">
        <v>2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2</v>
      </c>
      <c r="Q41" s="14">
        <v>2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2</v>
      </c>
      <c r="X41" s="14">
        <v>2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2</v>
      </c>
      <c r="AE41" s="14">
        <v>2</v>
      </c>
      <c r="AF41" s="14">
        <v>0</v>
      </c>
      <c r="AG41" s="14">
        <v>0</v>
      </c>
      <c r="AH41" s="14">
        <v>0</v>
      </c>
      <c r="AI41" s="131">
        <f t="shared" si="0"/>
        <v>17</v>
      </c>
    </row>
    <row r="42" spans="1:35" ht="15.75" customHeight="1">
      <c r="A42" s="49">
        <v>2212010009</v>
      </c>
      <c r="B42" s="50" t="s">
        <v>46</v>
      </c>
      <c r="C42" s="342" t="s">
        <v>6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1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1</v>
      </c>
      <c r="AF42" s="14">
        <v>0</v>
      </c>
      <c r="AG42" s="14">
        <v>0</v>
      </c>
      <c r="AH42" s="14">
        <v>0</v>
      </c>
      <c r="AI42" s="131">
        <f t="shared" si="0"/>
        <v>2</v>
      </c>
    </row>
    <row r="43" spans="1:35" ht="15.75" customHeight="1">
      <c r="A43" s="49">
        <v>2212010010</v>
      </c>
      <c r="B43" s="50" t="s">
        <v>47</v>
      </c>
      <c r="C43" s="342" t="s">
        <v>42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1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1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1</v>
      </c>
      <c r="AE43" s="14">
        <v>0</v>
      </c>
      <c r="AF43" s="14">
        <v>0</v>
      </c>
      <c r="AG43" s="14">
        <v>0</v>
      </c>
      <c r="AH43" s="14">
        <v>0</v>
      </c>
      <c r="AI43" s="131">
        <f t="shared" si="0"/>
        <v>3</v>
      </c>
    </row>
    <row r="44" spans="1:35" ht="15.75" customHeight="1">
      <c r="A44" s="49">
        <v>2212010011</v>
      </c>
      <c r="B44" s="50" t="s">
        <v>48</v>
      </c>
      <c r="C44" s="342" t="s">
        <v>6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1</v>
      </c>
      <c r="J44" s="14">
        <v>2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2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2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1</v>
      </c>
      <c r="AE44" s="14">
        <v>2</v>
      </c>
      <c r="AF44" s="14">
        <v>0</v>
      </c>
      <c r="AG44" s="14">
        <v>0</v>
      </c>
      <c r="AH44" s="14">
        <v>0</v>
      </c>
      <c r="AI44" s="131">
        <f t="shared" si="0"/>
        <v>10</v>
      </c>
    </row>
    <row r="45" spans="1:35" ht="15.75" customHeight="1">
      <c r="A45" s="49">
        <v>2212010012</v>
      </c>
      <c r="B45" s="50" t="s">
        <v>49</v>
      </c>
      <c r="C45" s="342" t="s">
        <v>6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2</v>
      </c>
      <c r="J45" s="14">
        <v>1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1</v>
      </c>
      <c r="Q45" s="14">
        <v>1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1</v>
      </c>
      <c r="X45" s="14">
        <v>1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2</v>
      </c>
      <c r="AE45" s="14">
        <v>1</v>
      </c>
      <c r="AF45" s="14">
        <v>0</v>
      </c>
      <c r="AG45" s="14">
        <v>0</v>
      </c>
      <c r="AH45" s="14">
        <v>0</v>
      </c>
      <c r="AI45" s="131">
        <f t="shared" si="0"/>
        <v>10</v>
      </c>
    </row>
    <row r="46" spans="1:35" ht="15.75" customHeight="1">
      <c r="A46" s="49">
        <v>2212010013</v>
      </c>
      <c r="B46" s="50" t="s">
        <v>50</v>
      </c>
      <c r="C46" s="342" t="s">
        <v>6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31">
        <f t="shared" si="0"/>
        <v>0</v>
      </c>
    </row>
    <row r="47" spans="1:35" ht="15.75" customHeight="1">
      <c r="A47" s="49">
        <v>2212010014</v>
      </c>
      <c r="B47" s="50" t="s">
        <v>51</v>
      </c>
      <c r="C47" s="342" t="s">
        <v>6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2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</v>
      </c>
      <c r="AF47" s="14">
        <v>0</v>
      </c>
      <c r="AG47" s="14">
        <v>0</v>
      </c>
      <c r="AH47" s="14">
        <v>0</v>
      </c>
      <c r="AI47" s="131">
        <f t="shared" si="0"/>
        <v>4</v>
      </c>
    </row>
    <row r="48" spans="1:35" ht="15.75" customHeight="1">
      <c r="A48" s="49">
        <v>2212010015</v>
      </c>
      <c r="B48" s="50" t="s">
        <v>52</v>
      </c>
      <c r="C48" s="342" t="s">
        <v>6</v>
      </c>
      <c r="D48" s="14">
        <v>2</v>
      </c>
      <c r="E48" s="14">
        <v>2</v>
      </c>
      <c r="F48" s="14">
        <v>2</v>
      </c>
      <c r="G48" s="14">
        <v>2</v>
      </c>
      <c r="H48" s="14">
        <v>2</v>
      </c>
      <c r="I48" s="14">
        <v>3</v>
      </c>
      <c r="J48" s="14">
        <v>6</v>
      </c>
      <c r="K48" s="14">
        <v>2</v>
      </c>
      <c r="L48" s="14">
        <v>2</v>
      </c>
      <c r="M48" s="14">
        <v>2</v>
      </c>
      <c r="N48" s="14">
        <v>2</v>
      </c>
      <c r="O48" s="14">
        <v>2</v>
      </c>
      <c r="P48" s="14">
        <v>3</v>
      </c>
      <c r="Q48" s="14">
        <v>6</v>
      </c>
      <c r="R48" s="14">
        <v>2</v>
      </c>
      <c r="S48" s="14">
        <v>2</v>
      </c>
      <c r="T48" s="14">
        <v>2</v>
      </c>
      <c r="U48" s="14">
        <v>2</v>
      </c>
      <c r="V48" s="14">
        <v>2</v>
      </c>
      <c r="W48" s="14">
        <v>2</v>
      </c>
      <c r="X48" s="14">
        <v>6</v>
      </c>
      <c r="Y48" s="14">
        <v>2</v>
      </c>
      <c r="Z48" s="14">
        <v>2</v>
      </c>
      <c r="AA48" s="14">
        <v>2</v>
      </c>
      <c r="AB48" s="14">
        <v>2</v>
      </c>
      <c r="AC48" s="14">
        <v>2</v>
      </c>
      <c r="AD48" s="14">
        <v>3</v>
      </c>
      <c r="AE48" s="14">
        <v>6</v>
      </c>
      <c r="AF48" s="14">
        <v>2</v>
      </c>
      <c r="AG48" s="14">
        <v>2</v>
      </c>
      <c r="AH48" s="14">
        <v>2</v>
      </c>
      <c r="AI48" s="131">
        <f t="shared" si="0"/>
        <v>81</v>
      </c>
    </row>
    <row r="49" spans="1:35" ht="15.75" customHeight="1">
      <c r="A49" s="49">
        <v>2212010016</v>
      </c>
      <c r="B49" s="50" t="s">
        <v>53</v>
      </c>
      <c r="C49" s="342" t="s">
        <v>42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1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31">
        <f t="shared" si="0"/>
        <v>1</v>
      </c>
    </row>
    <row r="50" spans="1:35" ht="15.75" customHeight="1">
      <c r="A50" s="49">
        <v>2212010017</v>
      </c>
      <c r="B50" s="50" t="s">
        <v>54</v>
      </c>
      <c r="C50" s="342" t="s">
        <v>6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1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31">
        <f t="shared" si="0"/>
        <v>2</v>
      </c>
    </row>
    <row r="51" spans="1:35" ht="15.75" customHeight="1">
      <c r="A51" s="49">
        <v>2212010019</v>
      </c>
      <c r="B51" s="50" t="s">
        <v>55</v>
      </c>
      <c r="C51" s="342" t="s">
        <v>6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2</v>
      </c>
      <c r="J51" s="14">
        <v>5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</v>
      </c>
      <c r="Q51" s="14">
        <v>5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1</v>
      </c>
      <c r="X51" s="14">
        <v>5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2</v>
      </c>
      <c r="AE51" s="14">
        <v>5</v>
      </c>
      <c r="AF51" s="14">
        <v>0</v>
      </c>
      <c r="AG51" s="14">
        <v>0</v>
      </c>
      <c r="AH51" s="14">
        <v>0</v>
      </c>
      <c r="AI51" s="131">
        <f t="shared" si="0"/>
        <v>26</v>
      </c>
    </row>
    <row r="52" spans="1:35" ht="15.75" customHeight="1">
      <c r="A52" s="49">
        <v>2212010020</v>
      </c>
      <c r="B52" s="50" t="s">
        <v>56</v>
      </c>
      <c r="C52" s="342" t="s">
        <v>6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31">
        <f t="shared" si="0"/>
        <v>0</v>
      </c>
    </row>
    <row r="53" spans="1:35" ht="15.75" customHeight="1">
      <c r="A53" s="49">
        <v>2212010021</v>
      </c>
      <c r="B53" s="50" t="s">
        <v>57</v>
      </c>
      <c r="C53" s="342" t="s">
        <v>6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1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1</v>
      </c>
      <c r="AE53" s="14">
        <v>1</v>
      </c>
      <c r="AF53" s="14">
        <v>0</v>
      </c>
      <c r="AG53" s="14">
        <v>0</v>
      </c>
      <c r="AH53" s="14">
        <v>0</v>
      </c>
      <c r="AI53" s="131">
        <f t="shared" si="0"/>
        <v>3</v>
      </c>
    </row>
    <row r="54" spans="1:35" ht="15.75" customHeight="1">
      <c r="A54" s="49">
        <v>2212010022</v>
      </c>
      <c r="B54" s="50" t="s">
        <v>58</v>
      </c>
      <c r="C54" s="342" t="s">
        <v>6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2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1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2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31">
        <f t="shared" si="0"/>
        <v>5</v>
      </c>
    </row>
    <row r="55" spans="1:35" ht="15.75" customHeight="1">
      <c r="A55" s="49">
        <v>2212010023</v>
      </c>
      <c r="B55" s="50" t="s">
        <v>59</v>
      </c>
      <c r="C55" s="342" t="s">
        <v>6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1</v>
      </c>
      <c r="J55" s="14">
        <v>2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2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31">
        <f t="shared" si="0"/>
        <v>5</v>
      </c>
    </row>
    <row r="56" spans="1:35" ht="15.75" customHeight="1">
      <c r="A56" s="49">
        <v>2212010024</v>
      </c>
      <c r="B56" s="50" t="s">
        <v>60</v>
      </c>
      <c r="C56" s="342" t="s">
        <v>6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2</v>
      </c>
      <c r="J56" s="14">
        <v>1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1</v>
      </c>
      <c r="Q56" s="14">
        <v>1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1</v>
      </c>
      <c r="X56" s="14">
        <v>1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1</v>
      </c>
      <c r="AE56" s="14">
        <v>1</v>
      </c>
      <c r="AF56" s="14">
        <v>0</v>
      </c>
      <c r="AG56" s="14">
        <v>0</v>
      </c>
      <c r="AH56" s="14">
        <v>0</v>
      </c>
      <c r="AI56" s="131">
        <f t="shared" si="0"/>
        <v>9</v>
      </c>
    </row>
    <row r="57" spans="1:35" ht="15.75" customHeight="1">
      <c r="A57" s="49">
        <v>2212010025</v>
      </c>
      <c r="B57" s="50" t="s">
        <v>61</v>
      </c>
      <c r="C57" s="342" t="s">
        <v>42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1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1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31">
        <f t="shared" si="0"/>
        <v>2</v>
      </c>
    </row>
    <row r="58" spans="1:35" ht="15.75" customHeight="1">
      <c r="A58" s="49">
        <v>2212010026</v>
      </c>
      <c r="B58" s="50" t="s">
        <v>62</v>
      </c>
      <c r="C58" s="342" t="s">
        <v>6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1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31">
        <f t="shared" si="0"/>
        <v>1</v>
      </c>
    </row>
    <row r="59" spans="1:35" ht="15.75" customHeight="1">
      <c r="A59" s="49">
        <v>2212010027</v>
      </c>
      <c r="B59" s="50" t="s">
        <v>63</v>
      </c>
      <c r="C59" s="342" t="s">
        <v>6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31">
        <f t="shared" si="0"/>
        <v>0</v>
      </c>
    </row>
    <row r="60" spans="1:35" ht="15.75" customHeight="1">
      <c r="A60" s="49">
        <v>2212010028</v>
      </c>
      <c r="B60" s="50" t="s">
        <v>64</v>
      </c>
      <c r="C60" s="342" t="s">
        <v>6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1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1</v>
      </c>
      <c r="X60" s="14">
        <v>1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31">
        <f t="shared" si="0"/>
        <v>3</v>
      </c>
    </row>
    <row r="61" spans="1:35" ht="15.75" customHeight="1">
      <c r="A61" s="49">
        <v>2212010029</v>
      </c>
      <c r="B61" s="50" t="s">
        <v>65</v>
      </c>
      <c r="C61" s="342" t="s">
        <v>6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1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1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1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1</v>
      </c>
      <c r="AF61" s="14">
        <v>0</v>
      </c>
      <c r="AG61" s="14">
        <v>0</v>
      </c>
      <c r="AH61" s="14">
        <v>0</v>
      </c>
      <c r="AI61" s="131">
        <f t="shared" si="0"/>
        <v>4</v>
      </c>
    </row>
    <row r="62" spans="1:35" ht="15.75" customHeight="1">
      <c r="A62" s="49">
        <v>2212010030</v>
      </c>
      <c r="B62" s="50" t="s">
        <v>66</v>
      </c>
      <c r="C62" s="342" t="s">
        <v>8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12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12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31">
        <f t="shared" si="0"/>
        <v>24</v>
      </c>
    </row>
    <row r="63" spans="1:35" ht="15.75" customHeight="1">
      <c r="A63" s="49">
        <v>2212010031</v>
      </c>
      <c r="B63" s="50" t="s">
        <v>67</v>
      </c>
      <c r="C63" s="342" t="s">
        <v>6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1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1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1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1</v>
      </c>
      <c r="AF63" s="14">
        <v>0</v>
      </c>
      <c r="AG63" s="14">
        <v>0</v>
      </c>
      <c r="AH63" s="14">
        <v>0</v>
      </c>
      <c r="AI63" s="131">
        <f t="shared" si="0"/>
        <v>4</v>
      </c>
    </row>
    <row r="64" spans="1:35" ht="15.75" customHeight="1">
      <c r="A64" s="49">
        <v>2212010032</v>
      </c>
      <c r="B64" s="50" t="s">
        <v>68</v>
      </c>
      <c r="C64" s="342" t="s">
        <v>6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31">
        <f t="shared" si="0"/>
        <v>0</v>
      </c>
    </row>
    <row r="65" spans="1:35" ht="15.75" customHeight="1">
      <c r="A65" s="49">
        <v>2212010033</v>
      </c>
      <c r="B65" s="50" t="s">
        <v>69</v>
      </c>
      <c r="C65" s="342" t="s">
        <v>42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31">
        <f t="shared" si="0"/>
        <v>0</v>
      </c>
    </row>
    <row r="66" spans="1:35" ht="15.75" customHeight="1">
      <c r="A66" s="49">
        <v>2212010034</v>
      </c>
      <c r="B66" s="50" t="s">
        <v>70</v>
      </c>
      <c r="C66" s="342" t="s">
        <v>6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2</v>
      </c>
      <c r="J66" s="14">
        <v>1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1</v>
      </c>
      <c r="Q66" s="14">
        <v>1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1</v>
      </c>
      <c r="X66" s="14">
        <v>1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1</v>
      </c>
      <c r="AE66" s="14">
        <v>1</v>
      </c>
      <c r="AF66" s="14">
        <v>0</v>
      </c>
      <c r="AG66" s="14">
        <v>0</v>
      </c>
      <c r="AH66" s="14">
        <v>0</v>
      </c>
      <c r="AI66" s="131">
        <f t="shared" si="0"/>
        <v>9</v>
      </c>
    </row>
    <row r="67" spans="1:35" ht="15.75" customHeight="1">
      <c r="A67" s="49">
        <v>2212010035</v>
      </c>
      <c r="B67" s="50" t="s">
        <v>71</v>
      </c>
      <c r="C67" s="342" t="s">
        <v>6</v>
      </c>
      <c r="D67" s="14">
        <v>2</v>
      </c>
      <c r="E67" s="14">
        <v>2</v>
      </c>
      <c r="F67" s="14">
        <v>2</v>
      </c>
      <c r="G67" s="14">
        <v>2</v>
      </c>
      <c r="H67" s="14">
        <v>2</v>
      </c>
      <c r="I67" s="14">
        <v>3</v>
      </c>
      <c r="J67" s="14">
        <v>10</v>
      </c>
      <c r="K67" s="14">
        <v>2</v>
      </c>
      <c r="L67" s="14">
        <v>2</v>
      </c>
      <c r="M67" s="14">
        <v>2</v>
      </c>
      <c r="N67" s="14">
        <v>2</v>
      </c>
      <c r="O67" s="14">
        <v>2</v>
      </c>
      <c r="P67" s="14">
        <v>4</v>
      </c>
      <c r="Q67" s="14">
        <v>10</v>
      </c>
      <c r="R67" s="14">
        <v>2</v>
      </c>
      <c r="S67" s="14">
        <v>2</v>
      </c>
      <c r="T67" s="14">
        <v>2</v>
      </c>
      <c r="U67" s="14">
        <v>2</v>
      </c>
      <c r="V67" s="14">
        <v>2</v>
      </c>
      <c r="W67" s="14">
        <v>4</v>
      </c>
      <c r="X67" s="14">
        <v>10</v>
      </c>
      <c r="Y67" s="14">
        <v>2</v>
      </c>
      <c r="Z67" s="14">
        <v>2</v>
      </c>
      <c r="AA67" s="14">
        <v>2</v>
      </c>
      <c r="AB67" s="14">
        <v>2</v>
      </c>
      <c r="AC67" s="14">
        <v>2</v>
      </c>
      <c r="AD67" s="14">
        <v>3</v>
      </c>
      <c r="AE67" s="14">
        <v>10</v>
      </c>
      <c r="AF67" s="14">
        <v>2</v>
      </c>
      <c r="AG67" s="14">
        <v>2</v>
      </c>
      <c r="AH67" s="14">
        <v>2</v>
      </c>
      <c r="AI67" s="131">
        <f t="shared" si="0"/>
        <v>100</v>
      </c>
    </row>
    <row r="68" spans="1:35" ht="15.75" customHeight="1">
      <c r="A68" s="49">
        <v>2212010036</v>
      </c>
      <c r="B68" s="50" t="s">
        <v>72</v>
      </c>
      <c r="C68" s="342" t="s">
        <v>8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1</v>
      </c>
      <c r="J68" s="14">
        <v>1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1</v>
      </c>
      <c r="Q68" s="14">
        <v>1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1</v>
      </c>
      <c r="X68" s="14">
        <v>1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1</v>
      </c>
      <c r="AE68" s="14">
        <v>1</v>
      </c>
      <c r="AF68" s="14">
        <v>0</v>
      </c>
      <c r="AG68" s="14">
        <v>0</v>
      </c>
      <c r="AH68" s="14">
        <v>0</v>
      </c>
      <c r="AI68" s="131">
        <f t="shared" si="0"/>
        <v>8</v>
      </c>
    </row>
    <row r="69" spans="1:35" ht="15.75" customHeight="1">
      <c r="A69" s="49">
        <v>2212010037</v>
      </c>
      <c r="B69" s="50" t="s">
        <v>73</v>
      </c>
      <c r="C69" s="342" t="s">
        <v>6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2</v>
      </c>
      <c r="J69" s="14">
        <v>2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2</v>
      </c>
      <c r="Q69" s="14">
        <v>2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2</v>
      </c>
      <c r="X69" s="14">
        <v>2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2</v>
      </c>
      <c r="AE69" s="14">
        <v>2</v>
      </c>
      <c r="AF69" s="14">
        <v>0</v>
      </c>
      <c r="AG69" s="14">
        <v>0</v>
      </c>
      <c r="AH69" s="14">
        <v>0</v>
      </c>
      <c r="AI69" s="131">
        <f t="shared" si="0"/>
        <v>16</v>
      </c>
    </row>
    <row r="70" spans="1:35" ht="15.75" customHeight="1">
      <c r="A70" s="49">
        <v>2212010038</v>
      </c>
      <c r="B70" s="50" t="s">
        <v>74</v>
      </c>
      <c r="C70" s="342" t="s">
        <v>6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1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1</v>
      </c>
      <c r="Q70" s="14">
        <v>1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1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1</v>
      </c>
      <c r="AE70" s="14">
        <v>1</v>
      </c>
      <c r="AF70" s="14">
        <v>0</v>
      </c>
      <c r="AG70" s="14">
        <v>0</v>
      </c>
      <c r="AH70" s="14">
        <v>0</v>
      </c>
      <c r="AI70" s="131">
        <f t="shared" si="0"/>
        <v>6</v>
      </c>
    </row>
    <row r="71" spans="1:35" ht="15.75" customHeight="1">
      <c r="A71" s="49">
        <v>2212010039</v>
      </c>
      <c r="B71" s="50" t="s">
        <v>75</v>
      </c>
      <c r="C71" s="342" t="s">
        <v>42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1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31">
        <f t="shared" si="0"/>
        <v>1</v>
      </c>
    </row>
    <row r="72" spans="1:35" ht="15.75" customHeight="1">
      <c r="A72" s="49">
        <v>2212010040</v>
      </c>
      <c r="B72" s="50" t="s">
        <v>76</v>
      </c>
      <c r="C72" s="342" t="s">
        <v>6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3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3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3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3</v>
      </c>
      <c r="AF72" s="14">
        <v>0</v>
      </c>
      <c r="AG72" s="14">
        <v>0</v>
      </c>
      <c r="AH72" s="14">
        <v>0</v>
      </c>
      <c r="AI72" s="131">
        <f t="shared" si="0"/>
        <v>12</v>
      </c>
    </row>
    <row r="73" spans="1:35" ht="15.75" customHeight="1">
      <c r="A73" s="49">
        <v>2212010041</v>
      </c>
      <c r="B73" s="50" t="s">
        <v>77</v>
      </c>
      <c r="C73" s="342" t="s">
        <v>6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1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1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1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1</v>
      </c>
      <c r="AF73" s="14">
        <v>0</v>
      </c>
      <c r="AG73" s="14">
        <v>0</v>
      </c>
      <c r="AH73" s="14">
        <v>0</v>
      </c>
      <c r="AI73" s="131">
        <f t="shared" si="0"/>
        <v>4</v>
      </c>
    </row>
    <row r="74" spans="1:35" ht="15.75" customHeight="1">
      <c r="A74" s="49">
        <v>2212010042</v>
      </c>
      <c r="B74" s="50" t="s">
        <v>78</v>
      </c>
      <c r="C74" s="342" t="s">
        <v>6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2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1</v>
      </c>
      <c r="Q74" s="14">
        <v>2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2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1</v>
      </c>
      <c r="AE74" s="14">
        <v>2</v>
      </c>
      <c r="AF74" s="14">
        <v>0</v>
      </c>
      <c r="AG74" s="14">
        <v>0</v>
      </c>
      <c r="AH74" s="14">
        <v>0</v>
      </c>
      <c r="AI74" s="131">
        <f t="shared" si="0"/>
        <v>10</v>
      </c>
    </row>
    <row r="75" spans="1:35" ht="15.75" customHeight="1">
      <c r="A75" s="49">
        <v>2212010043</v>
      </c>
      <c r="B75" s="50" t="s">
        <v>79</v>
      </c>
      <c r="C75" s="342" t="s">
        <v>42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31">
        <f t="shared" si="0"/>
        <v>0</v>
      </c>
    </row>
    <row r="76" spans="1:35" ht="15.75" customHeight="1">
      <c r="A76" s="49">
        <v>2212010044</v>
      </c>
      <c r="B76" s="50" t="s">
        <v>80</v>
      </c>
      <c r="C76" s="342" t="s">
        <v>42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31">
        <f t="shared" si="0"/>
        <v>0</v>
      </c>
    </row>
    <row r="77" spans="1:35" ht="15.75" customHeight="1">
      <c r="A77" s="49">
        <v>2212010046</v>
      </c>
      <c r="B77" s="50" t="s">
        <v>81</v>
      </c>
      <c r="C77" s="342" t="s">
        <v>42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31">
        <f t="shared" si="0"/>
        <v>0</v>
      </c>
    </row>
    <row r="78" spans="1:35" ht="15.75" customHeight="1">
      <c r="A78" s="49">
        <v>2212010047</v>
      </c>
      <c r="B78" s="50" t="s">
        <v>82</v>
      </c>
      <c r="C78" s="342" t="s">
        <v>6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1</v>
      </c>
      <c r="J78" s="14">
        <v>2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1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1</v>
      </c>
      <c r="X78" s="14">
        <v>2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1</v>
      </c>
      <c r="AE78" s="14">
        <v>0</v>
      </c>
      <c r="AF78" s="14">
        <v>0</v>
      </c>
      <c r="AG78" s="14">
        <v>0</v>
      </c>
      <c r="AH78" s="14">
        <v>0</v>
      </c>
      <c r="AI78" s="131">
        <f t="shared" si="0"/>
        <v>8</v>
      </c>
    </row>
    <row r="79" spans="1:35" ht="15.75" customHeight="1">
      <c r="A79" s="49">
        <v>2212010048</v>
      </c>
      <c r="B79" s="50" t="s">
        <v>83</v>
      </c>
      <c r="C79" s="342" t="s">
        <v>6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1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31">
        <f t="shared" si="0"/>
        <v>1</v>
      </c>
    </row>
    <row r="80" spans="1:35" ht="15.75" customHeight="1">
      <c r="A80" s="49">
        <v>2212010049</v>
      </c>
      <c r="B80" s="50" t="s">
        <v>84</v>
      </c>
      <c r="C80" s="342" t="s">
        <v>6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1</v>
      </c>
      <c r="J80" s="14">
        <v>4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4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4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1</v>
      </c>
      <c r="AE80" s="14">
        <v>4</v>
      </c>
      <c r="AF80" s="14">
        <v>0</v>
      </c>
      <c r="AG80" s="14">
        <v>0</v>
      </c>
      <c r="AH80" s="14">
        <v>0</v>
      </c>
      <c r="AI80" s="131">
        <f t="shared" si="0"/>
        <v>18</v>
      </c>
    </row>
    <row r="81" spans="1:35" ht="15.75" customHeight="1">
      <c r="A81" s="49">
        <v>2212010050</v>
      </c>
      <c r="B81" s="50" t="s">
        <v>85</v>
      </c>
      <c r="C81" s="342" t="s">
        <v>86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1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1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1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1</v>
      </c>
      <c r="AE81" s="14">
        <v>0</v>
      </c>
      <c r="AF81" s="14">
        <v>0</v>
      </c>
      <c r="AG81" s="14">
        <v>0</v>
      </c>
      <c r="AH81" s="14">
        <v>0</v>
      </c>
      <c r="AI81" s="131">
        <f t="shared" si="0"/>
        <v>4</v>
      </c>
    </row>
    <row r="82" spans="1:35" ht="15.75" customHeight="1">
      <c r="A82" s="49">
        <v>2212010053</v>
      </c>
      <c r="B82" s="50" t="s">
        <v>87</v>
      </c>
      <c r="C82" s="342" t="s">
        <v>42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31">
        <f t="shared" si="0"/>
        <v>0</v>
      </c>
    </row>
    <row r="83" spans="1:35" ht="15.75" customHeight="1">
      <c r="A83" s="49">
        <v>2212010054</v>
      </c>
      <c r="B83" s="50" t="s">
        <v>88</v>
      </c>
      <c r="C83" s="342" t="s">
        <v>6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1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31">
        <f t="shared" si="0"/>
        <v>1</v>
      </c>
    </row>
    <row r="84" spans="1:35" ht="15.75" customHeight="1">
      <c r="A84" s="49">
        <v>2212010055</v>
      </c>
      <c r="B84" s="50" t="s">
        <v>89</v>
      </c>
      <c r="C84" s="342" t="s">
        <v>6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1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1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1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1</v>
      </c>
      <c r="AF84" s="14">
        <v>0</v>
      </c>
      <c r="AG84" s="14">
        <v>0</v>
      </c>
      <c r="AH84" s="14">
        <v>0</v>
      </c>
      <c r="AI84" s="131">
        <f t="shared" si="0"/>
        <v>4</v>
      </c>
    </row>
    <row r="85" spans="1:35" ht="15.75" customHeight="1">
      <c r="A85" s="49">
        <v>2212010056</v>
      </c>
      <c r="B85" s="50" t="s">
        <v>90</v>
      </c>
      <c r="C85" s="342" t="s">
        <v>8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31">
        <f t="shared" si="0"/>
        <v>0</v>
      </c>
    </row>
    <row r="86" spans="1:35" ht="15.75" customHeight="1">
      <c r="A86" s="49">
        <v>2212010057</v>
      </c>
      <c r="B86" s="50" t="s">
        <v>91</v>
      </c>
      <c r="C86" s="342" t="s">
        <v>8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31">
        <f t="shared" si="0"/>
        <v>0</v>
      </c>
    </row>
    <row r="87" spans="1:35" ht="15.75" customHeight="1">
      <c r="A87" s="49">
        <v>2212010058</v>
      </c>
      <c r="B87" s="50" t="s">
        <v>92</v>
      </c>
      <c r="C87" s="342" t="s">
        <v>6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1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1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1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1</v>
      </c>
      <c r="AF87" s="14">
        <v>0</v>
      </c>
      <c r="AG87" s="14">
        <v>0</v>
      </c>
      <c r="AH87" s="14">
        <v>0</v>
      </c>
      <c r="AI87" s="131">
        <f t="shared" si="0"/>
        <v>4</v>
      </c>
    </row>
    <row r="88" spans="1:35" ht="15.75" customHeight="1">
      <c r="A88" s="49">
        <v>2212010060</v>
      </c>
      <c r="B88" s="50" t="s">
        <v>93</v>
      </c>
      <c r="C88" s="342" t="s">
        <v>6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1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31">
        <f t="shared" si="0"/>
        <v>1</v>
      </c>
    </row>
    <row r="89" spans="1:35" ht="15.75" customHeight="1">
      <c r="A89" s="69">
        <v>2212004040</v>
      </c>
      <c r="B89" s="70" t="s">
        <v>94</v>
      </c>
      <c r="C89" s="350" t="s">
        <v>6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31">
        <f t="shared" si="0"/>
        <v>0</v>
      </c>
    </row>
    <row r="90" spans="1:35" ht="18.75" customHeight="1">
      <c r="A90" s="616" t="s">
        <v>95</v>
      </c>
      <c r="B90" s="606"/>
      <c r="C90" s="607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  <c r="AF90" s="375"/>
      <c r="AG90" s="375"/>
      <c r="AH90" s="375"/>
      <c r="AI90" s="131">
        <f t="shared" si="0"/>
        <v>0</v>
      </c>
    </row>
    <row r="91" spans="1:35" ht="15.75" customHeight="1">
      <c r="A91" s="74">
        <v>2212002001</v>
      </c>
      <c r="B91" s="75" t="s">
        <v>96</v>
      </c>
      <c r="C91" s="353" t="s">
        <v>6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1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1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31">
        <f t="shared" si="0"/>
        <v>2</v>
      </c>
    </row>
    <row r="92" spans="1:35" ht="15.75" customHeight="1">
      <c r="A92" s="78">
        <v>2212002004</v>
      </c>
      <c r="B92" s="79" t="s">
        <v>97</v>
      </c>
      <c r="C92" s="354" t="s">
        <v>6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2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2</v>
      </c>
      <c r="AF92" s="14">
        <v>0</v>
      </c>
      <c r="AG92" s="14">
        <v>0</v>
      </c>
      <c r="AH92" s="14">
        <v>0</v>
      </c>
      <c r="AI92" s="131">
        <f t="shared" si="0"/>
        <v>4</v>
      </c>
    </row>
    <row r="93" spans="1:35" ht="15.75" customHeight="1">
      <c r="A93" s="78">
        <v>2212002007</v>
      </c>
      <c r="B93" s="79" t="s">
        <v>98</v>
      </c>
      <c r="C93" s="354" t="s">
        <v>6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1</v>
      </c>
      <c r="J93" s="14">
        <v>2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1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31">
        <f t="shared" si="0"/>
        <v>4</v>
      </c>
    </row>
    <row r="94" spans="1:35" ht="15.75" customHeight="1">
      <c r="A94" s="78">
        <v>2212002009</v>
      </c>
      <c r="B94" s="79" t="s">
        <v>99</v>
      </c>
      <c r="C94" s="354" t="s">
        <v>6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31">
        <f t="shared" si="0"/>
        <v>0</v>
      </c>
    </row>
    <row r="95" spans="1:35" ht="15.75" customHeight="1">
      <c r="A95" s="78">
        <v>2212002010</v>
      </c>
      <c r="B95" s="79" t="s">
        <v>100</v>
      </c>
      <c r="C95" s="354" t="s">
        <v>6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2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31">
        <f t="shared" si="0"/>
        <v>2</v>
      </c>
    </row>
    <row r="96" spans="1:35" ht="15.75" customHeight="1">
      <c r="A96" s="78">
        <v>2212002011</v>
      </c>
      <c r="B96" s="79" t="s">
        <v>101</v>
      </c>
      <c r="C96" s="354" t="s">
        <v>6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2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1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2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1</v>
      </c>
      <c r="AE96" s="14">
        <v>0</v>
      </c>
      <c r="AF96" s="14">
        <v>0</v>
      </c>
      <c r="AG96" s="14">
        <v>0</v>
      </c>
      <c r="AH96" s="14">
        <v>0</v>
      </c>
      <c r="AI96" s="131">
        <f t="shared" si="0"/>
        <v>6</v>
      </c>
    </row>
    <row r="97" spans="1:35" ht="15.75" customHeight="1">
      <c r="A97" s="78">
        <v>2212002014</v>
      </c>
      <c r="B97" s="79" t="s">
        <v>102</v>
      </c>
      <c r="C97" s="354" t="s">
        <v>6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2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31">
        <f t="shared" si="0"/>
        <v>2</v>
      </c>
    </row>
    <row r="98" spans="1:35" ht="15.75" customHeight="1">
      <c r="A98" s="78">
        <v>2212002016</v>
      </c>
      <c r="B98" s="79" t="s">
        <v>103</v>
      </c>
      <c r="C98" s="354" t="s">
        <v>6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2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31">
        <f t="shared" si="0"/>
        <v>2</v>
      </c>
    </row>
    <row r="99" spans="1:35" ht="15.75" customHeight="1">
      <c r="A99" s="78">
        <v>2212002018</v>
      </c>
      <c r="B99" s="79" t="s">
        <v>104</v>
      </c>
      <c r="C99" s="354" t="s">
        <v>6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31">
        <f t="shared" si="0"/>
        <v>0</v>
      </c>
    </row>
    <row r="100" spans="1:35" ht="15.75" customHeight="1">
      <c r="A100" s="78">
        <v>2212002022</v>
      </c>
      <c r="B100" s="79" t="s">
        <v>105</v>
      </c>
      <c r="C100" s="354" t="s">
        <v>6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1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31">
        <f t="shared" si="0"/>
        <v>1</v>
      </c>
    </row>
    <row r="101" spans="1:35" ht="15.75" customHeight="1">
      <c r="A101" s="78">
        <v>2212002023</v>
      </c>
      <c r="B101" s="79" t="s">
        <v>106</v>
      </c>
      <c r="C101" s="354" t="s">
        <v>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31">
        <f t="shared" si="0"/>
        <v>0</v>
      </c>
    </row>
    <row r="102" spans="1:35" ht="15.75" customHeight="1">
      <c r="A102" s="78">
        <v>2212002025</v>
      </c>
      <c r="B102" s="79" t="s">
        <v>107</v>
      </c>
      <c r="C102" s="354" t="s">
        <v>6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31">
        <f t="shared" si="0"/>
        <v>0</v>
      </c>
    </row>
    <row r="103" spans="1:35" ht="15.75" customHeight="1">
      <c r="A103" s="78">
        <v>2212002026</v>
      </c>
      <c r="B103" s="79" t="s">
        <v>108</v>
      </c>
      <c r="C103" s="354" t="s">
        <v>6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31">
        <f t="shared" si="0"/>
        <v>0</v>
      </c>
    </row>
    <row r="104" spans="1:35" ht="15.75" customHeight="1">
      <c r="A104" s="78">
        <v>2212002027</v>
      </c>
      <c r="B104" s="79" t="s">
        <v>109</v>
      </c>
      <c r="C104" s="354" t="s">
        <v>6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1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31">
        <f t="shared" si="0"/>
        <v>1</v>
      </c>
    </row>
    <row r="105" spans="1:35" ht="15.75" customHeight="1">
      <c r="A105" s="78">
        <v>2212002028</v>
      </c>
      <c r="B105" s="79" t="s">
        <v>110</v>
      </c>
      <c r="C105" s="354" t="s">
        <v>6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2</v>
      </c>
      <c r="AF105" s="14">
        <v>0</v>
      </c>
      <c r="AG105" s="14">
        <v>0</v>
      </c>
      <c r="AH105" s="14">
        <v>0</v>
      </c>
      <c r="AI105" s="131">
        <f t="shared" si="0"/>
        <v>2</v>
      </c>
    </row>
    <row r="106" spans="1:35" ht="15.75" customHeight="1">
      <c r="A106" s="78">
        <v>2212002030</v>
      </c>
      <c r="B106" s="79" t="s">
        <v>111</v>
      </c>
      <c r="C106" s="354" t="s">
        <v>6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2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31">
        <f t="shared" si="0"/>
        <v>2</v>
      </c>
    </row>
    <row r="107" spans="1:35" ht="15.75" customHeight="1">
      <c r="A107" s="78">
        <v>2212002035</v>
      </c>
      <c r="B107" s="79" t="s">
        <v>112</v>
      </c>
      <c r="C107" s="354" t="s">
        <v>6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1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1</v>
      </c>
      <c r="AE107" s="14">
        <v>2</v>
      </c>
      <c r="AF107" s="14">
        <v>0</v>
      </c>
      <c r="AG107" s="14">
        <v>0</v>
      </c>
      <c r="AH107" s="14">
        <v>0</v>
      </c>
      <c r="AI107" s="131">
        <f t="shared" si="0"/>
        <v>4</v>
      </c>
    </row>
    <row r="108" spans="1:35" ht="15.75" customHeight="1">
      <c r="A108" s="78">
        <v>2212002036</v>
      </c>
      <c r="B108" s="79" t="s">
        <v>113</v>
      </c>
      <c r="C108" s="354" t="s">
        <v>6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31">
        <f t="shared" si="0"/>
        <v>0</v>
      </c>
    </row>
    <row r="109" spans="1:35" ht="15.75" customHeight="1">
      <c r="A109" s="78">
        <v>2212002040</v>
      </c>
      <c r="B109" s="79" t="s">
        <v>114</v>
      </c>
      <c r="C109" s="354" t="s">
        <v>6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31">
        <f t="shared" si="0"/>
        <v>0</v>
      </c>
    </row>
    <row r="110" spans="1:35" ht="15.75" customHeight="1">
      <c r="A110" s="78">
        <v>2212002045</v>
      </c>
      <c r="B110" s="79" t="s">
        <v>115</v>
      </c>
      <c r="C110" s="354" t="s">
        <v>6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31">
        <f t="shared" si="0"/>
        <v>0</v>
      </c>
    </row>
    <row r="111" spans="1:35" ht="15.75" customHeight="1">
      <c r="A111" s="81">
        <v>2212002046</v>
      </c>
      <c r="B111" s="82" t="s">
        <v>116</v>
      </c>
      <c r="C111" s="355" t="s">
        <v>6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31">
        <f t="shared" si="0"/>
        <v>0</v>
      </c>
    </row>
    <row r="112" spans="1:35" ht="18.75" customHeight="1">
      <c r="A112" s="617" t="s">
        <v>117</v>
      </c>
      <c r="B112" s="606"/>
      <c r="C112" s="607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  <c r="AF112" s="375"/>
      <c r="AG112" s="375"/>
      <c r="AH112" s="375"/>
      <c r="AI112" s="131">
        <f t="shared" si="0"/>
        <v>0</v>
      </c>
    </row>
    <row r="113" spans="1:35" ht="15.75" customHeight="1">
      <c r="A113" s="152">
        <v>2212002003</v>
      </c>
      <c r="B113" s="88" t="s">
        <v>118</v>
      </c>
      <c r="C113" s="357" t="s">
        <v>6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2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2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31">
        <f t="shared" si="0"/>
        <v>4</v>
      </c>
    </row>
    <row r="114" spans="1:35" ht="15.75" customHeight="1">
      <c r="A114" s="155">
        <v>2212002005</v>
      </c>
      <c r="B114" s="92" t="s">
        <v>119</v>
      </c>
      <c r="C114" s="358" t="s">
        <v>6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2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2</v>
      </c>
      <c r="AF114" s="14">
        <v>0</v>
      </c>
      <c r="AG114" s="14">
        <v>0</v>
      </c>
      <c r="AH114" s="14">
        <v>0</v>
      </c>
      <c r="AI114" s="131">
        <f t="shared" si="0"/>
        <v>4</v>
      </c>
    </row>
    <row r="115" spans="1:35" ht="15.75" customHeight="1">
      <c r="A115" s="155">
        <v>2212002006</v>
      </c>
      <c r="B115" s="92" t="s">
        <v>120</v>
      </c>
      <c r="C115" s="358" t="s">
        <v>6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1</v>
      </c>
      <c r="J115" s="14">
        <v>1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31">
        <f t="shared" si="0"/>
        <v>2</v>
      </c>
    </row>
    <row r="116" spans="1:35" ht="15.75" customHeight="1">
      <c r="A116" s="155">
        <v>2212002008</v>
      </c>
      <c r="B116" s="92" t="s">
        <v>121</v>
      </c>
      <c r="C116" s="358" t="s">
        <v>6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2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1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31">
        <f t="shared" si="0"/>
        <v>3</v>
      </c>
    </row>
    <row r="117" spans="1:35" ht="15.75" customHeight="1">
      <c r="A117" s="155">
        <v>2212002012</v>
      </c>
      <c r="B117" s="92" t="s">
        <v>122</v>
      </c>
      <c r="C117" s="358" t="s">
        <v>6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2</v>
      </c>
      <c r="AF117" s="14">
        <v>0</v>
      </c>
      <c r="AG117" s="14">
        <v>0</v>
      </c>
      <c r="AH117" s="14">
        <v>0</v>
      </c>
      <c r="AI117" s="131">
        <f t="shared" si="0"/>
        <v>2</v>
      </c>
    </row>
    <row r="118" spans="1:35" ht="15.75" customHeight="1">
      <c r="A118" s="155">
        <v>2212002013</v>
      </c>
      <c r="B118" s="92" t="s">
        <v>123</v>
      </c>
      <c r="C118" s="358" t="s">
        <v>6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1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2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1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31">
        <f t="shared" si="0"/>
        <v>4</v>
      </c>
    </row>
    <row r="119" spans="1:35" ht="15.75" customHeight="1">
      <c r="A119" s="155">
        <v>2212002015</v>
      </c>
      <c r="B119" s="92" t="s">
        <v>124</v>
      </c>
      <c r="C119" s="358" t="s">
        <v>6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31">
        <f t="shared" si="0"/>
        <v>0</v>
      </c>
    </row>
    <row r="120" spans="1:35" ht="15.75" customHeight="1">
      <c r="A120" s="155">
        <v>2212002019</v>
      </c>
      <c r="B120" s="92" t="s">
        <v>125</v>
      </c>
      <c r="C120" s="358" t="s">
        <v>6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2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1</v>
      </c>
      <c r="AE120" s="14">
        <v>2</v>
      </c>
      <c r="AF120" s="14">
        <v>0</v>
      </c>
      <c r="AG120" s="14">
        <v>0</v>
      </c>
      <c r="AH120" s="14">
        <v>0</v>
      </c>
      <c r="AI120" s="131">
        <f t="shared" si="0"/>
        <v>5</v>
      </c>
    </row>
    <row r="121" spans="1:35" ht="15.75" customHeight="1">
      <c r="A121" s="155">
        <v>2212002020</v>
      </c>
      <c r="B121" s="92" t="s">
        <v>126</v>
      </c>
      <c r="C121" s="358" t="s">
        <v>6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31">
        <f t="shared" si="0"/>
        <v>2</v>
      </c>
    </row>
    <row r="122" spans="1:35" ht="15.75" customHeight="1">
      <c r="A122" s="155">
        <v>2212002021</v>
      </c>
      <c r="B122" s="92" t="s">
        <v>127</v>
      </c>
      <c r="C122" s="358" t="s">
        <v>6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1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31">
        <f t="shared" si="0"/>
        <v>1</v>
      </c>
    </row>
    <row r="123" spans="1:35" ht="15.75" customHeight="1">
      <c r="A123" s="155">
        <v>2212002024</v>
      </c>
      <c r="B123" s="92" t="s">
        <v>128</v>
      </c>
      <c r="C123" s="358" t="s">
        <v>6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3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31">
        <f t="shared" si="0"/>
        <v>3</v>
      </c>
    </row>
    <row r="124" spans="1:35" ht="15.75" customHeight="1">
      <c r="A124" s="155">
        <v>2212002032</v>
      </c>
      <c r="B124" s="92" t="s">
        <v>129</v>
      </c>
      <c r="C124" s="358" t="s">
        <v>6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31">
        <f t="shared" si="0"/>
        <v>0</v>
      </c>
    </row>
    <row r="125" spans="1:35" ht="15.75" customHeight="1">
      <c r="A125" s="155">
        <v>2212002033</v>
      </c>
      <c r="B125" s="92" t="s">
        <v>130</v>
      </c>
      <c r="C125" s="358" t="s">
        <v>6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1</v>
      </c>
      <c r="AE125" s="14">
        <v>2</v>
      </c>
      <c r="AF125" s="14">
        <v>0</v>
      </c>
      <c r="AG125" s="14">
        <v>0</v>
      </c>
      <c r="AH125" s="14">
        <v>0</v>
      </c>
      <c r="AI125" s="131">
        <f t="shared" si="0"/>
        <v>3</v>
      </c>
    </row>
    <row r="126" spans="1:35" ht="15.75" customHeight="1">
      <c r="A126" s="155">
        <v>2212002037</v>
      </c>
      <c r="B126" s="92" t="s">
        <v>131</v>
      </c>
      <c r="C126" s="358" t="s">
        <v>6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2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31">
        <f t="shared" si="0"/>
        <v>2</v>
      </c>
    </row>
    <row r="127" spans="1:35" ht="15.75" customHeight="1">
      <c r="A127" s="155">
        <v>2212002039</v>
      </c>
      <c r="B127" s="92" t="s">
        <v>132</v>
      </c>
      <c r="C127" s="358" t="s">
        <v>6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1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1</v>
      </c>
      <c r="AE127" s="14">
        <v>3</v>
      </c>
      <c r="AF127" s="14">
        <v>0</v>
      </c>
      <c r="AG127" s="14">
        <v>0</v>
      </c>
      <c r="AH127" s="14">
        <v>0</v>
      </c>
      <c r="AI127" s="131">
        <f t="shared" si="0"/>
        <v>5</v>
      </c>
    </row>
    <row r="128" spans="1:35" ht="15.75" customHeight="1">
      <c r="A128" s="155">
        <v>2212002041</v>
      </c>
      <c r="B128" s="92" t="s">
        <v>133</v>
      </c>
      <c r="C128" s="358" t="s">
        <v>6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31">
        <f t="shared" si="0"/>
        <v>0</v>
      </c>
    </row>
    <row r="129" spans="1:35" ht="15.75" customHeight="1">
      <c r="A129" s="155">
        <v>2212002042</v>
      </c>
      <c r="B129" s="92" t="s">
        <v>134</v>
      </c>
      <c r="C129" s="358" t="s">
        <v>6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2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31">
        <f t="shared" si="0"/>
        <v>2</v>
      </c>
    </row>
    <row r="130" spans="1:35" ht="15.75" customHeight="1">
      <c r="A130" s="155">
        <v>2212002043</v>
      </c>
      <c r="B130" s="92" t="s">
        <v>135</v>
      </c>
      <c r="C130" s="358" t="s">
        <v>6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2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31">
        <f t="shared" si="0"/>
        <v>2</v>
      </c>
    </row>
    <row r="131" spans="1:35" ht="15.75" customHeight="1">
      <c r="A131" s="172">
        <v>2212002044</v>
      </c>
      <c r="B131" s="95" t="s">
        <v>136</v>
      </c>
      <c r="C131" s="385" t="s">
        <v>6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31">
        <f t="shared" si="0"/>
        <v>0</v>
      </c>
    </row>
    <row r="132" spans="1:35" ht="18.75" customHeight="1">
      <c r="A132" s="628" t="s">
        <v>137</v>
      </c>
      <c r="B132" s="606"/>
      <c r="C132" s="607"/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5"/>
      <c r="AE132" s="375"/>
      <c r="AF132" s="375"/>
      <c r="AG132" s="375"/>
      <c r="AH132" s="375"/>
      <c r="AI132" s="131">
        <f t="shared" si="0"/>
        <v>0</v>
      </c>
    </row>
    <row r="133" spans="1:35" ht="15.75" customHeight="1">
      <c r="A133" s="174">
        <v>2212006001</v>
      </c>
      <c r="B133" s="100" t="s">
        <v>138</v>
      </c>
      <c r="C133" s="390" t="s">
        <v>6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1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1</v>
      </c>
      <c r="AE133" s="14">
        <v>0</v>
      </c>
      <c r="AF133" s="14">
        <v>0</v>
      </c>
      <c r="AG133" s="14">
        <v>0</v>
      </c>
      <c r="AH133" s="14">
        <v>0</v>
      </c>
      <c r="AI133" s="131">
        <f t="shared" si="0"/>
        <v>2</v>
      </c>
    </row>
    <row r="134" spans="1:35" ht="15.75" customHeight="1">
      <c r="A134" s="180">
        <v>2212006003</v>
      </c>
      <c r="B134" s="170" t="s">
        <v>139</v>
      </c>
      <c r="C134" s="392" t="s">
        <v>6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2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31">
        <f t="shared" si="0"/>
        <v>2</v>
      </c>
    </row>
    <row r="135" spans="1:35" ht="15.75" customHeight="1">
      <c r="A135" s="180">
        <v>2212006004</v>
      </c>
      <c r="B135" s="106" t="s">
        <v>140</v>
      </c>
      <c r="C135" s="392" t="s">
        <v>6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3</v>
      </c>
      <c r="J135" s="14">
        <v>7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3</v>
      </c>
      <c r="Q135" s="14">
        <v>7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3</v>
      </c>
      <c r="X135" s="14">
        <v>7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3</v>
      </c>
      <c r="AE135" s="14">
        <v>7</v>
      </c>
      <c r="AF135" s="14">
        <v>0</v>
      </c>
      <c r="AG135" s="14">
        <v>0</v>
      </c>
      <c r="AH135" s="14">
        <v>0</v>
      </c>
      <c r="AI135" s="131">
        <f t="shared" si="0"/>
        <v>40</v>
      </c>
    </row>
    <row r="136" spans="1:35" ht="15.75" customHeight="1">
      <c r="A136" s="180">
        <v>2212006005</v>
      </c>
      <c r="B136" s="106" t="s">
        <v>141</v>
      </c>
      <c r="C136" s="392" t="s">
        <v>6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31">
        <f t="shared" si="0"/>
        <v>0</v>
      </c>
    </row>
    <row r="137" spans="1:35" ht="15.75" customHeight="1">
      <c r="A137" s="180">
        <v>2212006006</v>
      </c>
      <c r="B137" s="106" t="s">
        <v>142</v>
      </c>
      <c r="C137" s="392" t="s">
        <v>6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2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2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2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2</v>
      </c>
      <c r="AF137" s="14">
        <v>0</v>
      </c>
      <c r="AG137" s="14">
        <v>0</v>
      </c>
      <c r="AH137" s="14">
        <v>0</v>
      </c>
      <c r="AI137" s="131">
        <f t="shared" si="0"/>
        <v>8</v>
      </c>
    </row>
    <row r="138" spans="1:35" ht="15.75" customHeight="1">
      <c r="A138" s="180">
        <v>2212006009</v>
      </c>
      <c r="B138" s="106" t="s">
        <v>143</v>
      </c>
      <c r="C138" s="392" t="s">
        <v>6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3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1</v>
      </c>
      <c r="Q138" s="14">
        <v>3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3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1</v>
      </c>
      <c r="AE138" s="14">
        <v>3</v>
      </c>
      <c r="AF138" s="14">
        <v>0</v>
      </c>
      <c r="AG138" s="14">
        <v>0</v>
      </c>
      <c r="AH138" s="14">
        <v>0</v>
      </c>
      <c r="AI138" s="131">
        <f t="shared" si="0"/>
        <v>14</v>
      </c>
    </row>
    <row r="139" spans="1:35" ht="15.75" customHeight="1">
      <c r="A139" s="180">
        <v>2212006011</v>
      </c>
      <c r="B139" s="106" t="s">
        <v>144</v>
      </c>
      <c r="C139" s="392" t="s">
        <v>8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31">
        <f t="shared" si="0"/>
        <v>0</v>
      </c>
    </row>
    <row r="140" spans="1:35" ht="15.75" customHeight="1">
      <c r="A140" s="180">
        <v>2212006012</v>
      </c>
      <c r="B140" s="106" t="s">
        <v>145</v>
      </c>
      <c r="C140" s="392" t="s">
        <v>8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2</v>
      </c>
      <c r="AF140" s="14">
        <v>0</v>
      </c>
      <c r="AG140" s="14">
        <v>0</v>
      </c>
      <c r="AH140" s="14">
        <v>0</v>
      </c>
      <c r="AI140" s="131">
        <f t="shared" si="0"/>
        <v>4</v>
      </c>
    </row>
    <row r="141" spans="1:35" ht="15.75" customHeight="1">
      <c r="A141" s="180">
        <v>2212006013</v>
      </c>
      <c r="B141" s="109" t="s">
        <v>146</v>
      </c>
      <c r="C141" s="406" t="s">
        <v>6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31">
        <f t="shared" si="0"/>
        <v>0</v>
      </c>
    </row>
    <row r="142" spans="1:35" ht="18.75" customHeight="1">
      <c r="A142" s="619" t="s">
        <v>147</v>
      </c>
      <c r="B142" s="606"/>
      <c r="C142" s="607"/>
      <c r="D142" s="375"/>
      <c r="E142" s="375"/>
      <c r="F142" s="375"/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  <c r="AA142" s="375"/>
      <c r="AB142" s="375"/>
      <c r="AC142" s="375"/>
      <c r="AD142" s="375"/>
      <c r="AE142" s="375"/>
      <c r="AF142" s="375"/>
      <c r="AG142" s="375"/>
      <c r="AH142" s="375"/>
      <c r="AI142" s="131">
        <f t="shared" si="0"/>
        <v>0</v>
      </c>
    </row>
    <row r="143" spans="1:35" ht="15.75" customHeight="1">
      <c r="A143" s="198">
        <v>2212007001</v>
      </c>
      <c r="B143" s="120" t="s">
        <v>148</v>
      </c>
      <c r="C143" s="414" t="s">
        <v>6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1</v>
      </c>
      <c r="J143" s="14">
        <v>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1</v>
      </c>
      <c r="X143" s="14">
        <v>2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31">
        <f t="shared" si="0"/>
        <v>6</v>
      </c>
    </row>
    <row r="144" spans="1:35" ht="15.75" customHeight="1">
      <c r="A144" s="200">
        <v>2212007002</v>
      </c>
      <c r="B144" s="123" t="s">
        <v>149</v>
      </c>
      <c r="C144" s="419" t="s">
        <v>6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31">
        <f t="shared" si="0"/>
        <v>0</v>
      </c>
    </row>
    <row r="145" spans="1:35" ht="15.75" customHeight="1">
      <c r="A145" s="198">
        <v>2212007003</v>
      </c>
      <c r="B145" s="127" t="s">
        <v>150</v>
      </c>
      <c r="C145" s="424" t="s">
        <v>6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1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31">
        <f t="shared" si="0"/>
        <v>1</v>
      </c>
    </row>
    <row r="146" spans="1:35" ht="15.75" customHeight="1">
      <c r="A146" s="198">
        <v>2212007004</v>
      </c>
      <c r="B146" s="127" t="s">
        <v>151</v>
      </c>
      <c r="C146" s="424" t="s">
        <v>6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1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1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31">
        <f t="shared" si="0"/>
        <v>2</v>
      </c>
    </row>
    <row r="147" spans="1:35" ht="15.75" customHeight="1">
      <c r="A147" s="198">
        <v>2212007005</v>
      </c>
      <c r="B147" s="127" t="s">
        <v>152</v>
      </c>
      <c r="C147" s="424" t="s">
        <v>6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31">
        <f t="shared" si="0"/>
        <v>0</v>
      </c>
    </row>
    <row r="148" spans="1:35" ht="15.75" customHeight="1">
      <c r="A148" s="198">
        <v>2212007006</v>
      </c>
      <c r="B148" s="127" t="s">
        <v>153</v>
      </c>
      <c r="C148" s="424" t="s">
        <v>6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31">
        <f t="shared" si="0"/>
        <v>0</v>
      </c>
    </row>
    <row r="149" spans="1:35" ht="15.75" customHeight="1">
      <c r="A149" s="198">
        <v>2212007007</v>
      </c>
      <c r="B149" s="127" t="s">
        <v>154</v>
      </c>
      <c r="C149" s="424" t="s">
        <v>6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31">
        <f t="shared" si="0"/>
        <v>0</v>
      </c>
    </row>
    <row r="150" spans="1:35" ht="15.75" customHeight="1">
      <c r="A150" s="198">
        <v>2212007008</v>
      </c>
      <c r="B150" s="127" t="s">
        <v>155</v>
      </c>
      <c r="C150" s="424" t="s">
        <v>6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31">
        <f t="shared" si="0"/>
        <v>0</v>
      </c>
    </row>
    <row r="151" spans="1:35" ht="15.75" customHeight="1">
      <c r="A151" s="198">
        <v>2212007009</v>
      </c>
      <c r="B151" s="127" t="s">
        <v>156</v>
      </c>
      <c r="C151" s="424" t="s">
        <v>6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31">
        <f t="shared" si="0"/>
        <v>0</v>
      </c>
    </row>
    <row r="152" spans="1:35" ht="15.75" customHeight="1">
      <c r="A152" s="203">
        <v>2212007010</v>
      </c>
      <c r="B152" s="134" t="s">
        <v>157</v>
      </c>
      <c r="C152" s="433" t="s">
        <v>6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31">
        <f t="shared" si="0"/>
        <v>0</v>
      </c>
    </row>
    <row r="153" spans="1:35" ht="18.75" customHeight="1">
      <c r="A153" s="620" t="s">
        <v>158</v>
      </c>
      <c r="B153" s="606"/>
      <c r="C153" s="607"/>
      <c r="D153" s="375"/>
      <c r="E153" s="375"/>
      <c r="F153" s="375"/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  <c r="AA153" s="375"/>
      <c r="AB153" s="375"/>
      <c r="AC153" s="375"/>
      <c r="AD153" s="375"/>
      <c r="AE153" s="375"/>
      <c r="AF153" s="375"/>
      <c r="AG153" s="375"/>
      <c r="AH153" s="375"/>
      <c r="AI153" s="131">
        <f t="shared" si="0"/>
        <v>0</v>
      </c>
    </row>
    <row r="154" spans="1:35" ht="15.75" customHeight="1">
      <c r="A154" s="152">
        <v>2212003002</v>
      </c>
      <c r="B154" s="88" t="s">
        <v>159</v>
      </c>
      <c r="C154" s="357" t="s">
        <v>6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1</v>
      </c>
      <c r="J154" s="14">
        <v>1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1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1</v>
      </c>
      <c r="AE154" s="14">
        <v>0</v>
      </c>
      <c r="AF154" s="14">
        <v>0</v>
      </c>
      <c r="AG154" s="14">
        <v>0</v>
      </c>
      <c r="AH154" s="14">
        <v>0</v>
      </c>
      <c r="AI154" s="131">
        <f t="shared" si="0"/>
        <v>4</v>
      </c>
    </row>
    <row r="155" spans="1:35" ht="15.75" customHeight="1">
      <c r="A155" s="155">
        <v>2212003003</v>
      </c>
      <c r="B155" s="92" t="s">
        <v>160</v>
      </c>
      <c r="C155" s="358" t="s">
        <v>6</v>
      </c>
      <c r="D155" s="14">
        <v>2</v>
      </c>
      <c r="E155" s="14">
        <v>2</v>
      </c>
      <c r="F155" s="14">
        <v>2</v>
      </c>
      <c r="G155" s="14">
        <v>2</v>
      </c>
      <c r="H155" s="14">
        <v>2</v>
      </c>
      <c r="I155" s="14">
        <v>2</v>
      </c>
      <c r="J155" s="14">
        <v>3</v>
      </c>
      <c r="K155" s="14">
        <v>2</v>
      </c>
      <c r="L155" s="14">
        <v>2</v>
      </c>
      <c r="M155" s="14">
        <v>2</v>
      </c>
      <c r="N155" s="14">
        <v>2</v>
      </c>
      <c r="O155" s="14">
        <v>2</v>
      </c>
      <c r="P155" s="14">
        <v>2</v>
      </c>
      <c r="Q155" s="14">
        <v>2</v>
      </c>
      <c r="R155" s="14">
        <v>2</v>
      </c>
      <c r="S155" s="14">
        <v>2</v>
      </c>
      <c r="T155" s="14">
        <v>2</v>
      </c>
      <c r="U155" s="14">
        <v>2</v>
      </c>
      <c r="V155" s="14">
        <v>2</v>
      </c>
      <c r="W155" s="14">
        <v>2</v>
      </c>
      <c r="X155" s="14">
        <v>2</v>
      </c>
      <c r="Y155" s="14">
        <v>2</v>
      </c>
      <c r="Z155" s="14">
        <v>2</v>
      </c>
      <c r="AA155" s="14">
        <v>2</v>
      </c>
      <c r="AB155" s="14">
        <v>2</v>
      </c>
      <c r="AC155" s="14">
        <v>2</v>
      </c>
      <c r="AD155" s="14">
        <v>2</v>
      </c>
      <c r="AE155" s="14">
        <v>2</v>
      </c>
      <c r="AF155" s="14">
        <v>2</v>
      </c>
      <c r="AG155" s="14">
        <v>2</v>
      </c>
      <c r="AH155" s="14">
        <v>2</v>
      </c>
      <c r="AI155" s="131">
        <f t="shared" si="0"/>
        <v>63</v>
      </c>
    </row>
    <row r="156" spans="1:35" ht="15.75" customHeight="1">
      <c r="A156" s="155">
        <v>2212003004</v>
      </c>
      <c r="B156" s="92" t="s">
        <v>161</v>
      </c>
      <c r="C156" s="358" t="s">
        <v>6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31">
        <f t="shared" si="0"/>
        <v>0</v>
      </c>
    </row>
    <row r="157" spans="1:35" ht="15.75" customHeight="1">
      <c r="A157" s="155">
        <v>2212003008</v>
      </c>
      <c r="B157" s="92" t="s">
        <v>162</v>
      </c>
      <c r="C157" s="358" t="s">
        <v>6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1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1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1</v>
      </c>
      <c r="AE157" s="14">
        <v>0</v>
      </c>
      <c r="AF157" s="14">
        <v>0</v>
      </c>
      <c r="AG157" s="14">
        <v>0</v>
      </c>
      <c r="AH157" s="14">
        <v>0</v>
      </c>
      <c r="AI157" s="131">
        <f t="shared" si="0"/>
        <v>3</v>
      </c>
    </row>
    <row r="158" spans="1:35" ht="15.75" customHeight="1">
      <c r="A158" s="155">
        <v>2212003009</v>
      </c>
      <c r="B158" s="92" t="s">
        <v>163</v>
      </c>
      <c r="C158" s="358" t="s">
        <v>6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31">
        <f t="shared" si="0"/>
        <v>0</v>
      </c>
    </row>
    <row r="159" spans="1:35" ht="15.75" customHeight="1">
      <c r="A159" s="155">
        <v>2212003010</v>
      </c>
      <c r="B159" s="92" t="s">
        <v>164</v>
      </c>
      <c r="C159" s="358" t="s">
        <v>6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1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31">
        <f t="shared" si="0"/>
        <v>1</v>
      </c>
    </row>
    <row r="160" spans="1:35" ht="15.75" customHeight="1">
      <c r="A160" s="155">
        <v>2212003011</v>
      </c>
      <c r="B160" s="92" t="s">
        <v>165</v>
      </c>
      <c r="C160" s="358" t="s">
        <v>6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1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31">
        <f t="shared" si="0"/>
        <v>1</v>
      </c>
    </row>
    <row r="161" spans="1:35" ht="15.75" customHeight="1">
      <c r="A161" s="155">
        <v>2212003012</v>
      </c>
      <c r="B161" s="92" t="s">
        <v>166</v>
      </c>
      <c r="C161" s="358" t="s">
        <v>6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1</v>
      </c>
      <c r="AF161" s="14">
        <v>0</v>
      </c>
      <c r="AG161" s="14">
        <v>0</v>
      </c>
      <c r="AH161" s="14">
        <v>0</v>
      </c>
      <c r="AI161" s="131">
        <f t="shared" si="0"/>
        <v>1</v>
      </c>
    </row>
    <row r="162" spans="1:35" ht="15.75" customHeight="1">
      <c r="A162" s="155">
        <v>2212003013</v>
      </c>
      <c r="B162" s="92" t="s">
        <v>167</v>
      </c>
      <c r="C162" s="358" t="s">
        <v>6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31">
        <f t="shared" si="0"/>
        <v>0</v>
      </c>
    </row>
    <row r="163" spans="1:35" ht="15.75" customHeight="1">
      <c r="A163" s="172">
        <v>2212003017</v>
      </c>
      <c r="B163" s="95" t="s">
        <v>168</v>
      </c>
      <c r="C163" s="385" t="s">
        <v>6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1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1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2</v>
      </c>
      <c r="AF163" s="14">
        <v>0</v>
      </c>
      <c r="AG163" s="14">
        <v>0</v>
      </c>
      <c r="AH163" s="14">
        <v>0</v>
      </c>
      <c r="AI163" s="131">
        <f t="shared" si="0"/>
        <v>4</v>
      </c>
    </row>
    <row r="164" spans="1:35" ht="18.75" customHeight="1">
      <c r="A164" s="629" t="s">
        <v>169</v>
      </c>
      <c r="B164" s="606"/>
      <c r="C164" s="607"/>
      <c r="D164" s="375"/>
      <c r="E164" s="375"/>
      <c r="F164" s="375"/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  <c r="AA164" s="375"/>
      <c r="AB164" s="375"/>
      <c r="AC164" s="375"/>
      <c r="AD164" s="375"/>
      <c r="AE164" s="375"/>
      <c r="AF164" s="375"/>
      <c r="AG164" s="375"/>
      <c r="AH164" s="375"/>
      <c r="AI164" s="131">
        <f t="shared" si="0"/>
        <v>0</v>
      </c>
    </row>
    <row r="165" spans="1:35" ht="15.75" customHeight="1">
      <c r="A165" s="229">
        <v>2212001196</v>
      </c>
      <c r="B165" s="141" t="s">
        <v>170</v>
      </c>
      <c r="C165" s="437" t="s">
        <v>171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2</v>
      </c>
      <c r="J165" s="14">
        <v>10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2</v>
      </c>
      <c r="Q165" s="14">
        <v>10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2</v>
      </c>
      <c r="X165" s="14">
        <v>10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2</v>
      </c>
      <c r="AE165" s="14">
        <v>10</v>
      </c>
      <c r="AF165" s="14">
        <v>0</v>
      </c>
      <c r="AG165" s="14">
        <v>0</v>
      </c>
      <c r="AH165" s="14">
        <v>0</v>
      </c>
      <c r="AI165" s="131">
        <f t="shared" si="0"/>
        <v>48</v>
      </c>
    </row>
    <row r="166" spans="1:35" ht="15.75" customHeight="1">
      <c r="A166" s="234">
        <v>2212005007</v>
      </c>
      <c r="B166" s="146" t="s">
        <v>172</v>
      </c>
      <c r="C166" s="438" t="s">
        <v>171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1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1</v>
      </c>
      <c r="Q166" s="14">
        <v>12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1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1</v>
      </c>
      <c r="AE166" s="14">
        <v>0</v>
      </c>
      <c r="AF166" s="14">
        <v>0</v>
      </c>
      <c r="AG166" s="14">
        <v>0</v>
      </c>
      <c r="AH166" s="14">
        <v>0</v>
      </c>
      <c r="AI166" s="131">
        <f t="shared" si="0"/>
        <v>16</v>
      </c>
    </row>
    <row r="167" spans="1:35" ht="15.75" customHeight="1">
      <c r="A167" s="234">
        <v>2212005010</v>
      </c>
      <c r="B167" s="146" t="s">
        <v>173</v>
      </c>
      <c r="C167" s="438" t="s">
        <v>6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31">
        <f t="shared" si="0"/>
        <v>0</v>
      </c>
    </row>
    <row r="168" spans="1:35" ht="15.75" customHeight="1">
      <c r="A168" s="234">
        <v>2212005011</v>
      </c>
      <c r="B168" s="146" t="s">
        <v>174</v>
      </c>
      <c r="C168" s="438" t="s">
        <v>175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1</v>
      </c>
      <c r="J168" s="14">
        <v>1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1</v>
      </c>
      <c r="AF168" s="14">
        <v>0</v>
      </c>
      <c r="AG168" s="14">
        <v>0</v>
      </c>
      <c r="AH168" s="14">
        <v>0</v>
      </c>
      <c r="AI168" s="131">
        <f t="shared" si="0"/>
        <v>3</v>
      </c>
    </row>
    <row r="169" spans="1:35" ht="15.75" customHeight="1">
      <c r="A169" s="147">
        <v>2212007012</v>
      </c>
      <c r="B169" s="148" t="s">
        <v>176</v>
      </c>
      <c r="C169" s="147" t="s">
        <v>177</v>
      </c>
      <c r="D169" s="14">
        <v>2</v>
      </c>
      <c r="E169" s="14">
        <v>2</v>
      </c>
      <c r="F169" s="14">
        <v>2</v>
      </c>
      <c r="G169" s="14">
        <v>2</v>
      </c>
      <c r="H169" s="14">
        <v>2</v>
      </c>
      <c r="I169" s="14">
        <v>3</v>
      </c>
      <c r="J169" s="14">
        <v>3</v>
      </c>
      <c r="K169" s="14">
        <v>2</v>
      </c>
      <c r="L169" s="14">
        <v>2</v>
      </c>
      <c r="M169" s="14">
        <v>2</v>
      </c>
      <c r="N169" s="14">
        <v>2</v>
      </c>
      <c r="O169" s="14">
        <v>2</v>
      </c>
      <c r="P169" s="14">
        <v>3</v>
      </c>
      <c r="Q169" s="14">
        <v>3</v>
      </c>
      <c r="R169" s="14">
        <v>2</v>
      </c>
      <c r="S169" s="14">
        <v>2</v>
      </c>
      <c r="T169" s="14">
        <v>2</v>
      </c>
      <c r="U169" s="14">
        <v>2</v>
      </c>
      <c r="V169" s="14">
        <v>2</v>
      </c>
      <c r="W169" s="14">
        <v>3</v>
      </c>
      <c r="X169" s="14">
        <v>3</v>
      </c>
      <c r="Y169" s="14">
        <v>2</v>
      </c>
      <c r="Z169" s="14">
        <v>2</v>
      </c>
      <c r="AA169" s="14">
        <v>2</v>
      </c>
      <c r="AB169" s="14">
        <v>2</v>
      </c>
      <c r="AC169" s="14">
        <v>2</v>
      </c>
      <c r="AD169" s="14">
        <v>3</v>
      </c>
      <c r="AE169" s="14">
        <v>3</v>
      </c>
      <c r="AF169" s="14">
        <v>2</v>
      </c>
      <c r="AG169" s="14">
        <v>2</v>
      </c>
      <c r="AH169" s="14">
        <v>2</v>
      </c>
      <c r="AI169" s="131">
        <f t="shared" si="0"/>
        <v>70</v>
      </c>
    </row>
    <row r="170" spans="1:35" ht="15.75" customHeight="1">
      <c r="A170" s="234">
        <v>2212005015</v>
      </c>
      <c r="B170" s="146" t="s">
        <v>178</v>
      </c>
      <c r="C170" s="438" t="s">
        <v>171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31">
        <f t="shared" si="0"/>
        <v>0</v>
      </c>
    </row>
    <row r="171" spans="1:35" ht="15.75" customHeight="1">
      <c r="A171" s="234">
        <v>2212005016</v>
      </c>
      <c r="B171" s="146" t="s">
        <v>179</v>
      </c>
      <c r="C171" s="438" t="s">
        <v>6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1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1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31">
        <f t="shared" si="0"/>
        <v>2</v>
      </c>
    </row>
    <row r="172" spans="1:35" ht="15.75" customHeight="1">
      <c r="A172" s="234">
        <v>2212005017</v>
      </c>
      <c r="B172" s="146" t="s">
        <v>180</v>
      </c>
      <c r="C172" s="438" t="s">
        <v>6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2</v>
      </c>
      <c r="J172" s="14">
        <v>2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2</v>
      </c>
      <c r="Q172" s="14">
        <v>1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2</v>
      </c>
      <c r="X172" s="14">
        <v>1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2</v>
      </c>
      <c r="AE172" s="14">
        <v>1</v>
      </c>
      <c r="AF172" s="14">
        <v>0</v>
      </c>
      <c r="AG172" s="14">
        <v>0</v>
      </c>
      <c r="AH172" s="14">
        <v>0</v>
      </c>
      <c r="AI172" s="131">
        <f t="shared" si="0"/>
        <v>13</v>
      </c>
    </row>
    <row r="173" spans="1:35" ht="15.75" customHeight="1">
      <c r="A173" s="234">
        <v>2212005018</v>
      </c>
      <c r="B173" s="146" t="s">
        <v>181</v>
      </c>
      <c r="C173" s="438" t="s">
        <v>6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1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1</v>
      </c>
      <c r="AF173" s="14">
        <v>0</v>
      </c>
      <c r="AG173" s="14">
        <v>0</v>
      </c>
      <c r="AH173" s="14">
        <v>0</v>
      </c>
      <c r="AI173" s="131">
        <f t="shared" si="0"/>
        <v>2</v>
      </c>
    </row>
    <row r="174" spans="1:35" ht="15.75" customHeight="1">
      <c r="A174" s="234">
        <v>2212005019</v>
      </c>
      <c r="B174" s="146" t="s">
        <v>182</v>
      </c>
      <c r="C174" s="438" t="s">
        <v>6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1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1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1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1</v>
      </c>
      <c r="AF174" s="14">
        <v>0</v>
      </c>
      <c r="AG174" s="14">
        <v>0</v>
      </c>
      <c r="AH174" s="14">
        <v>0</v>
      </c>
      <c r="AI174" s="131">
        <f t="shared" si="0"/>
        <v>4</v>
      </c>
    </row>
    <row r="175" spans="1:35" ht="15.75" customHeight="1">
      <c r="A175" s="234">
        <v>2212005020</v>
      </c>
      <c r="B175" s="146" t="s">
        <v>183</v>
      </c>
      <c r="C175" s="438" t="s">
        <v>6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1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1</v>
      </c>
      <c r="AF175" s="14">
        <v>0</v>
      </c>
      <c r="AG175" s="14">
        <v>0</v>
      </c>
      <c r="AH175" s="14">
        <v>0</v>
      </c>
      <c r="AI175" s="131">
        <f t="shared" si="0"/>
        <v>2</v>
      </c>
    </row>
    <row r="176" spans="1:35" ht="15.75" customHeight="1">
      <c r="A176" s="234">
        <v>2212005021</v>
      </c>
      <c r="B176" s="146" t="s">
        <v>184</v>
      </c>
      <c r="C176" s="438" t="s">
        <v>6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1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1</v>
      </c>
      <c r="AF176" s="14">
        <v>0</v>
      </c>
      <c r="AG176" s="14">
        <v>0</v>
      </c>
      <c r="AH176" s="14">
        <v>0</v>
      </c>
      <c r="AI176" s="131">
        <f t="shared" si="0"/>
        <v>2</v>
      </c>
    </row>
    <row r="177" spans="1:35" ht="15.75" customHeight="1">
      <c r="A177" s="234">
        <v>2212005022</v>
      </c>
      <c r="B177" s="146" t="s">
        <v>185</v>
      </c>
      <c r="C177" s="438" t="s">
        <v>6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2</v>
      </c>
      <c r="J177" s="14">
        <v>1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1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1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1</v>
      </c>
      <c r="AE177" s="14">
        <v>1</v>
      </c>
      <c r="AF177" s="14">
        <v>0</v>
      </c>
      <c r="AG177" s="14">
        <v>0</v>
      </c>
      <c r="AH177" s="14">
        <v>0</v>
      </c>
      <c r="AI177" s="131">
        <f t="shared" si="0"/>
        <v>7</v>
      </c>
    </row>
    <row r="178" spans="1:35" ht="15.75" customHeight="1">
      <c r="A178" s="234">
        <v>2212005023</v>
      </c>
      <c r="B178" s="146" t="s">
        <v>186</v>
      </c>
      <c r="C178" s="438" t="s">
        <v>171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1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31">
        <f t="shared" si="0"/>
        <v>1</v>
      </c>
    </row>
    <row r="179" spans="1:35" ht="15.75" customHeight="1">
      <c r="A179" s="234">
        <v>2212005024</v>
      </c>
      <c r="B179" s="146" t="s">
        <v>187</v>
      </c>
      <c r="C179" s="438" t="s">
        <v>171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1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31">
        <f t="shared" si="0"/>
        <v>1</v>
      </c>
    </row>
    <row r="180" spans="1:35" ht="15.75" customHeight="1">
      <c r="A180" s="234">
        <v>2212005026</v>
      </c>
      <c r="B180" s="146" t="s">
        <v>188</v>
      </c>
      <c r="C180" s="438" t="s">
        <v>6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31">
        <f t="shared" si="0"/>
        <v>0</v>
      </c>
    </row>
    <row r="181" spans="1:35" ht="15.75" customHeight="1">
      <c r="A181" s="234">
        <v>2212005027</v>
      </c>
      <c r="B181" s="146" t="s">
        <v>189</v>
      </c>
      <c r="C181" s="438" t="s">
        <v>171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31">
        <f t="shared" si="0"/>
        <v>0</v>
      </c>
    </row>
    <row r="182" spans="1:35" ht="15.75" customHeight="1">
      <c r="A182" s="234">
        <v>2212005028</v>
      </c>
      <c r="B182" s="146" t="s">
        <v>190</v>
      </c>
      <c r="C182" s="438" t="s">
        <v>177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1</v>
      </c>
      <c r="J182" s="14">
        <v>1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1</v>
      </c>
      <c r="Q182" s="14">
        <v>1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1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1</v>
      </c>
      <c r="AE182" s="14">
        <v>1</v>
      </c>
      <c r="AF182" s="14">
        <v>0</v>
      </c>
      <c r="AG182" s="14">
        <v>0</v>
      </c>
      <c r="AH182" s="14">
        <v>0</v>
      </c>
      <c r="AI182" s="131">
        <f t="shared" si="0"/>
        <v>7</v>
      </c>
    </row>
    <row r="183" spans="1:35" ht="15.75" customHeight="1">
      <c r="A183" s="234">
        <v>2212005032</v>
      </c>
      <c r="B183" s="146" t="s">
        <v>191</v>
      </c>
      <c r="C183" s="438" t="s">
        <v>177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31">
        <f t="shared" si="0"/>
        <v>0</v>
      </c>
    </row>
    <row r="184" spans="1:35" ht="15.75" customHeight="1">
      <c r="A184" s="234">
        <v>2212005034</v>
      </c>
      <c r="B184" s="146" t="s">
        <v>192</v>
      </c>
      <c r="C184" s="438" t="s">
        <v>6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1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31">
        <f t="shared" si="0"/>
        <v>1</v>
      </c>
    </row>
    <row r="185" spans="1:35" ht="15.75" customHeight="1">
      <c r="A185" s="234">
        <v>2212005035</v>
      </c>
      <c r="B185" s="146" t="s">
        <v>193</v>
      </c>
      <c r="C185" s="438" t="s">
        <v>8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10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10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10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10</v>
      </c>
      <c r="AF185" s="14">
        <v>0</v>
      </c>
      <c r="AG185" s="14">
        <v>0</v>
      </c>
      <c r="AH185" s="14">
        <v>0</v>
      </c>
      <c r="AI185" s="131">
        <f t="shared" si="0"/>
        <v>40</v>
      </c>
    </row>
    <row r="186" spans="1:35" ht="15.75" customHeight="1">
      <c r="A186" s="234">
        <v>2212005037</v>
      </c>
      <c r="B186" s="146" t="s">
        <v>194</v>
      </c>
      <c r="C186" s="438" t="s">
        <v>6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1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31">
        <f t="shared" si="0"/>
        <v>1</v>
      </c>
    </row>
    <row r="187" spans="1:35" ht="15.75" customHeight="1">
      <c r="A187" s="234">
        <v>2212005038</v>
      </c>
      <c r="B187" s="146" t="s">
        <v>195</v>
      </c>
      <c r="C187" s="438" t="s">
        <v>171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31">
        <f t="shared" si="0"/>
        <v>0</v>
      </c>
    </row>
    <row r="188" spans="1:35" ht="15.75" customHeight="1">
      <c r="A188" s="234">
        <v>2212005041</v>
      </c>
      <c r="B188" s="146" t="s">
        <v>196</v>
      </c>
      <c r="C188" s="438" t="s">
        <v>6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1</v>
      </c>
      <c r="J188" s="14">
        <v>1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1</v>
      </c>
      <c r="AE188" s="14">
        <v>1</v>
      </c>
      <c r="AF188" s="14">
        <v>0</v>
      </c>
      <c r="AG188" s="14">
        <v>0</v>
      </c>
      <c r="AH188" s="14">
        <v>0</v>
      </c>
      <c r="AI188" s="131">
        <f t="shared" si="0"/>
        <v>4</v>
      </c>
    </row>
    <row r="189" spans="1:35" ht="15.75" customHeight="1">
      <c r="A189" s="247">
        <v>2212005042</v>
      </c>
      <c r="B189" s="158" t="s">
        <v>197</v>
      </c>
      <c r="C189" s="439" t="s">
        <v>171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31">
        <f t="shared" si="0"/>
        <v>0</v>
      </c>
    </row>
    <row r="190" spans="1:35" ht="18.75" customHeight="1">
      <c r="A190" s="623" t="s">
        <v>198</v>
      </c>
      <c r="B190" s="606"/>
      <c r="C190" s="607"/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  <c r="AB190" s="375"/>
      <c r="AC190" s="375"/>
      <c r="AD190" s="375"/>
      <c r="AE190" s="375"/>
      <c r="AF190" s="375"/>
      <c r="AG190" s="375"/>
      <c r="AH190" s="375"/>
      <c r="AI190" s="131">
        <f t="shared" si="0"/>
        <v>0</v>
      </c>
    </row>
    <row r="191" spans="1:35" ht="15.75" customHeight="1">
      <c r="A191" s="249">
        <v>2212004041</v>
      </c>
      <c r="B191" s="163" t="s">
        <v>199</v>
      </c>
      <c r="C191" s="441" t="s">
        <v>6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31">
        <f t="shared" si="0"/>
        <v>0</v>
      </c>
    </row>
    <row r="192" spans="1:35" ht="15.75" customHeight="1">
      <c r="A192" s="250">
        <v>2212008002</v>
      </c>
      <c r="B192" s="166" t="s">
        <v>200</v>
      </c>
      <c r="C192" s="442" t="s">
        <v>86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1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1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1</v>
      </c>
      <c r="AF192" s="14">
        <v>0</v>
      </c>
      <c r="AG192" s="14">
        <v>0</v>
      </c>
      <c r="AH192" s="14">
        <v>0</v>
      </c>
      <c r="AI192" s="131">
        <f t="shared" si="0"/>
        <v>4</v>
      </c>
    </row>
    <row r="193" spans="1:35" ht="15.75" customHeight="1">
      <c r="A193" s="250">
        <v>2212008007</v>
      </c>
      <c r="B193" s="166" t="s">
        <v>201</v>
      </c>
      <c r="C193" s="442" t="s">
        <v>8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5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5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5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5</v>
      </c>
      <c r="AF193" s="14">
        <v>0</v>
      </c>
      <c r="AG193" s="14">
        <v>0</v>
      </c>
      <c r="AH193" s="14">
        <v>0</v>
      </c>
      <c r="AI193" s="131">
        <f t="shared" si="0"/>
        <v>20</v>
      </c>
    </row>
    <row r="194" spans="1:35" ht="15.75" customHeight="1">
      <c r="A194" s="250">
        <v>2212008008</v>
      </c>
      <c r="B194" s="166" t="s">
        <v>202</v>
      </c>
      <c r="C194" s="442" t="s">
        <v>8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31">
        <f t="shared" si="0"/>
        <v>0</v>
      </c>
    </row>
    <row r="195" spans="1:35" ht="15.75" customHeight="1">
      <c r="A195" s="250">
        <v>2212008009</v>
      </c>
      <c r="B195" s="166" t="s">
        <v>203</v>
      </c>
      <c r="C195" s="442" t="s">
        <v>8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31">
        <f t="shared" si="0"/>
        <v>0</v>
      </c>
    </row>
    <row r="196" spans="1:35" ht="15.75" customHeight="1">
      <c r="A196" s="250">
        <v>2212008010</v>
      </c>
      <c r="B196" s="166" t="s">
        <v>204</v>
      </c>
      <c r="C196" s="442" t="s">
        <v>86</v>
      </c>
      <c r="D196" s="14">
        <v>6</v>
      </c>
      <c r="E196" s="14">
        <v>6</v>
      </c>
      <c r="F196" s="14">
        <v>6</v>
      </c>
      <c r="G196" s="14">
        <v>6</v>
      </c>
      <c r="H196" s="14">
        <v>6</v>
      </c>
      <c r="I196" s="14">
        <v>7</v>
      </c>
      <c r="J196" s="14">
        <v>7</v>
      </c>
      <c r="K196" s="14">
        <v>6</v>
      </c>
      <c r="L196" s="14">
        <v>6</v>
      </c>
      <c r="M196" s="14">
        <v>6</v>
      </c>
      <c r="N196" s="14">
        <v>6</v>
      </c>
      <c r="O196" s="14">
        <v>6</v>
      </c>
      <c r="P196" s="14">
        <v>6</v>
      </c>
      <c r="Q196" s="14">
        <v>6</v>
      </c>
      <c r="R196" s="14">
        <v>6</v>
      </c>
      <c r="S196" s="14">
        <v>6</v>
      </c>
      <c r="T196" s="14">
        <v>6</v>
      </c>
      <c r="U196" s="14">
        <v>6</v>
      </c>
      <c r="V196" s="14">
        <v>6</v>
      </c>
      <c r="W196" s="14">
        <v>6</v>
      </c>
      <c r="X196" s="14">
        <v>7</v>
      </c>
      <c r="Y196" s="14">
        <v>6</v>
      </c>
      <c r="Z196" s="14">
        <v>6</v>
      </c>
      <c r="AA196" s="14">
        <v>6</v>
      </c>
      <c r="AB196" s="14">
        <v>6</v>
      </c>
      <c r="AC196" s="14">
        <v>6</v>
      </c>
      <c r="AD196" s="14">
        <v>6</v>
      </c>
      <c r="AE196" s="14">
        <v>6</v>
      </c>
      <c r="AF196" s="14">
        <v>6</v>
      </c>
      <c r="AG196" s="14">
        <v>6</v>
      </c>
      <c r="AH196" s="14">
        <v>6</v>
      </c>
      <c r="AI196" s="131">
        <f t="shared" si="0"/>
        <v>189</v>
      </c>
    </row>
    <row r="197" spans="1:35" ht="15.75" customHeight="1">
      <c r="A197" s="250">
        <v>2212008011</v>
      </c>
      <c r="B197" s="166" t="s">
        <v>205</v>
      </c>
      <c r="C197" s="442" t="s">
        <v>8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31">
        <f t="shared" si="0"/>
        <v>0</v>
      </c>
    </row>
    <row r="198" spans="1:35" ht="15.75" customHeight="1">
      <c r="A198" s="250">
        <v>2212008012</v>
      </c>
      <c r="B198" s="166" t="s">
        <v>206</v>
      </c>
      <c r="C198" s="442" t="s">
        <v>6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1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1</v>
      </c>
      <c r="AF198" s="14">
        <v>0</v>
      </c>
      <c r="AG198" s="14">
        <v>0</v>
      </c>
      <c r="AH198" s="14">
        <v>0</v>
      </c>
      <c r="AI198" s="131">
        <f t="shared" si="0"/>
        <v>2</v>
      </c>
    </row>
    <row r="199" spans="1:35" ht="15.75" customHeight="1">
      <c r="A199" s="250">
        <v>2212008013</v>
      </c>
      <c r="B199" s="166" t="s">
        <v>207</v>
      </c>
      <c r="C199" s="442" t="s">
        <v>86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2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31">
        <f t="shared" si="0"/>
        <v>2</v>
      </c>
    </row>
    <row r="200" spans="1:35" ht="15.75" customHeight="1">
      <c r="A200" s="250">
        <v>2212008014</v>
      </c>
      <c r="B200" s="166" t="s">
        <v>208</v>
      </c>
      <c r="C200" s="442" t="s">
        <v>86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2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31">
        <f t="shared" si="0"/>
        <v>2</v>
      </c>
    </row>
    <row r="201" spans="1:35" ht="15.75" customHeight="1">
      <c r="A201" s="250">
        <v>2212008015</v>
      </c>
      <c r="B201" s="166" t="s">
        <v>209</v>
      </c>
      <c r="C201" s="442" t="s">
        <v>86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1</v>
      </c>
      <c r="J201" s="14">
        <v>1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1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1</v>
      </c>
      <c r="AE201" s="14">
        <v>0</v>
      </c>
      <c r="AF201" s="14">
        <v>0</v>
      </c>
      <c r="AG201" s="14">
        <v>0</v>
      </c>
      <c r="AH201" s="14">
        <v>0</v>
      </c>
      <c r="AI201" s="131">
        <f t="shared" si="0"/>
        <v>4</v>
      </c>
    </row>
    <row r="202" spans="1:35" ht="15.75" customHeight="1">
      <c r="A202" s="250">
        <v>2212008016</v>
      </c>
      <c r="B202" s="166" t="s">
        <v>210</v>
      </c>
      <c r="C202" s="442" t="s">
        <v>8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31">
        <f t="shared" si="0"/>
        <v>0</v>
      </c>
    </row>
    <row r="203" spans="1:35" ht="15.75" customHeight="1">
      <c r="A203" s="250">
        <v>2212008017</v>
      </c>
      <c r="B203" s="166" t="s">
        <v>211</v>
      </c>
      <c r="C203" s="442" t="s">
        <v>8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31">
        <f t="shared" si="0"/>
        <v>0</v>
      </c>
    </row>
    <row r="204" spans="1:35" ht="15.75" customHeight="1">
      <c r="A204" s="250">
        <v>2212008018</v>
      </c>
      <c r="B204" s="166" t="s">
        <v>212</v>
      </c>
      <c r="C204" s="442" t="s">
        <v>8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5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5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5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5</v>
      </c>
      <c r="AF204" s="14">
        <v>0</v>
      </c>
      <c r="AG204" s="14">
        <v>0</v>
      </c>
      <c r="AH204" s="14">
        <v>0</v>
      </c>
      <c r="AI204" s="131">
        <f t="shared" si="0"/>
        <v>20</v>
      </c>
    </row>
    <row r="205" spans="1:35" ht="15.75" customHeight="1">
      <c r="A205" s="250">
        <v>2212008020</v>
      </c>
      <c r="B205" s="166" t="s">
        <v>213</v>
      </c>
      <c r="C205" s="442" t="s">
        <v>6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1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1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31">
        <f t="shared" si="0"/>
        <v>2</v>
      </c>
    </row>
    <row r="206" spans="1:35" ht="15.75" customHeight="1">
      <c r="A206" s="250">
        <v>2212008021</v>
      </c>
      <c r="B206" s="166" t="s">
        <v>214</v>
      </c>
      <c r="C206" s="442" t="s">
        <v>6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31">
        <f t="shared" si="0"/>
        <v>0</v>
      </c>
    </row>
    <row r="207" spans="1:35" ht="15.75" customHeight="1">
      <c r="A207" s="250">
        <v>2212008022</v>
      </c>
      <c r="B207" s="166" t="s">
        <v>215</v>
      </c>
      <c r="C207" s="442" t="s">
        <v>8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24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31">
        <f t="shared" si="0"/>
        <v>24</v>
      </c>
    </row>
    <row r="208" spans="1:35" ht="15.75" customHeight="1">
      <c r="A208" s="250">
        <v>2212008023</v>
      </c>
      <c r="B208" s="166" t="s">
        <v>216</v>
      </c>
      <c r="C208" s="442" t="s">
        <v>6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1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1</v>
      </c>
      <c r="AF208" s="14">
        <v>0</v>
      </c>
      <c r="AG208" s="14">
        <v>0</v>
      </c>
      <c r="AH208" s="14">
        <v>0</v>
      </c>
      <c r="AI208" s="131">
        <f t="shared" si="0"/>
        <v>2</v>
      </c>
    </row>
    <row r="209" spans="1:35" ht="15.75" customHeight="1">
      <c r="A209" s="250">
        <v>2212008024</v>
      </c>
      <c r="B209" s="166" t="s">
        <v>217</v>
      </c>
      <c r="C209" s="442" t="s">
        <v>86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1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1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1</v>
      </c>
      <c r="AE209" s="14">
        <v>1</v>
      </c>
      <c r="AF209" s="14">
        <v>0</v>
      </c>
      <c r="AG209" s="14">
        <v>0</v>
      </c>
      <c r="AH209" s="14">
        <v>0</v>
      </c>
      <c r="AI209" s="131">
        <f t="shared" si="0"/>
        <v>4</v>
      </c>
    </row>
    <row r="210" spans="1:35" ht="15.75" customHeight="1">
      <c r="A210" s="250">
        <v>2212008025</v>
      </c>
      <c r="B210" s="166" t="s">
        <v>218</v>
      </c>
      <c r="C210" s="442" t="s">
        <v>219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31">
        <f t="shared" si="0"/>
        <v>0</v>
      </c>
    </row>
    <row r="211" spans="1:35" ht="15.75" customHeight="1">
      <c r="A211" s="250">
        <v>2212008026</v>
      </c>
      <c r="B211" s="166" t="s">
        <v>220</v>
      </c>
      <c r="C211" s="442" t="s">
        <v>8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31">
        <f t="shared" si="0"/>
        <v>0</v>
      </c>
    </row>
    <row r="212" spans="1:35" ht="15.75" customHeight="1">
      <c r="A212" s="250">
        <v>2212008028</v>
      </c>
      <c r="B212" s="166" t="s">
        <v>221</v>
      </c>
      <c r="C212" s="442" t="s">
        <v>8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10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31">
        <f t="shared" si="0"/>
        <v>10</v>
      </c>
    </row>
    <row r="213" spans="1:35" ht="15.75" customHeight="1">
      <c r="A213" s="250">
        <v>2212008029</v>
      </c>
      <c r="B213" s="166" t="s">
        <v>222</v>
      </c>
      <c r="C213" s="442" t="s">
        <v>8</v>
      </c>
      <c r="D213" s="14">
        <v>0</v>
      </c>
      <c r="E213" s="14">
        <v>5</v>
      </c>
      <c r="F213" s="14">
        <v>0</v>
      </c>
      <c r="G213" s="14">
        <v>0</v>
      </c>
      <c r="H213" s="14">
        <v>0</v>
      </c>
      <c r="I213" s="14">
        <v>0</v>
      </c>
      <c r="J213" s="14">
        <v>10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10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10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10</v>
      </c>
      <c r="AF213" s="14">
        <v>0</v>
      </c>
      <c r="AG213" s="14">
        <v>0</v>
      </c>
      <c r="AH213" s="14">
        <v>0</v>
      </c>
      <c r="AI213" s="131">
        <f t="shared" si="0"/>
        <v>45</v>
      </c>
    </row>
    <row r="214" spans="1:35" ht="15.75" customHeight="1">
      <c r="A214" s="262">
        <v>2212008031</v>
      </c>
      <c r="B214" s="177" t="s">
        <v>223</v>
      </c>
      <c r="C214" s="443" t="s">
        <v>8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31">
        <f t="shared" si="0"/>
        <v>0</v>
      </c>
    </row>
    <row r="215" spans="1:35" ht="15.75" customHeight="1">
      <c r="A215" s="250">
        <v>2212008032</v>
      </c>
      <c r="B215" s="166" t="s">
        <v>224</v>
      </c>
      <c r="C215" s="442" t="s">
        <v>8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31">
        <f t="shared" si="0"/>
        <v>0</v>
      </c>
    </row>
    <row r="216" spans="1:35" ht="15.75" customHeight="1">
      <c r="A216" s="250">
        <v>2212008033</v>
      </c>
      <c r="B216" s="166" t="s">
        <v>225</v>
      </c>
      <c r="C216" s="442" t="s">
        <v>8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31">
        <f t="shared" si="0"/>
        <v>0</v>
      </c>
    </row>
    <row r="217" spans="1:35" ht="15.75" customHeight="1">
      <c r="A217" s="250">
        <v>2212008034</v>
      </c>
      <c r="B217" s="166" t="s">
        <v>226</v>
      </c>
      <c r="C217" s="442" t="s">
        <v>6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1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1</v>
      </c>
      <c r="AF217" s="14">
        <v>0</v>
      </c>
      <c r="AG217" s="14">
        <v>0</v>
      </c>
      <c r="AH217" s="14">
        <v>0</v>
      </c>
      <c r="AI217" s="131">
        <f t="shared" si="0"/>
        <v>2</v>
      </c>
    </row>
    <row r="218" spans="1:35" ht="15.75" customHeight="1">
      <c r="A218" s="250">
        <v>2212008035</v>
      </c>
      <c r="B218" s="166" t="s">
        <v>227</v>
      </c>
      <c r="C218" s="442" t="s">
        <v>6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31">
        <f t="shared" si="0"/>
        <v>0</v>
      </c>
    </row>
    <row r="219" spans="1:35" ht="15.75" customHeight="1">
      <c r="A219" s="250">
        <v>2212008037</v>
      </c>
      <c r="B219" s="166" t="s">
        <v>228</v>
      </c>
      <c r="C219" s="442" t="s">
        <v>8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10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31">
        <f t="shared" si="0"/>
        <v>10</v>
      </c>
    </row>
    <row r="220" spans="1:35" ht="15.75" customHeight="1">
      <c r="A220" s="250">
        <v>2212008039</v>
      </c>
      <c r="B220" s="166" t="s">
        <v>229</v>
      </c>
      <c r="C220" s="442" t="s">
        <v>8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5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31">
        <f t="shared" si="0"/>
        <v>5</v>
      </c>
    </row>
    <row r="221" spans="1:35" ht="15.75" customHeight="1">
      <c r="A221" s="250">
        <v>2212008040</v>
      </c>
      <c r="B221" s="166" t="s">
        <v>230</v>
      </c>
      <c r="C221" s="442" t="s">
        <v>6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31">
        <f t="shared" si="0"/>
        <v>0</v>
      </c>
    </row>
    <row r="222" spans="1:35" ht="15.75" customHeight="1">
      <c r="A222" s="250">
        <v>2212008042</v>
      </c>
      <c r="B222" s="166" t="s">
        <v>231</v>
      </c>
      <c r="C222" s="442" t="s">
        <v>8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31">
        <f t="shared" si="0"/>
        <v>0</v>
      </c>
    </row>
    <row r="223" spans="1:35" ht="15.75" customHeight="1">
      <c r="A223" s="250">
        <v>2212008045</v>
      </c>
      <c r="B223" s="166" t="s">
        <v>232</v>
      </c>
      <c r="C223" s="442" t="s">
        <v>8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31">
        <f t="shared" si="0"/>
        <v>0</v>
      </c>
    </row>
    <row r="224" spans="1:35" ht="15.75" customHeight="1">
      <c r="A224" s="268">
        <v>2212004045</v>
      </c>
      <c r="B224" s="185" t="s">
        <v>233</v>
      </c>
      <c r="C224" s="444" t="s">
        <v>6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5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31">
        <f t="shared" si="0"/>
        <v>5</v>
      </c>
    </row>
    <row r="225" spans="1:35" ht="18.75" customHeight="1">
      <c r="A225" s="624" t="s">
        <v>234</v>
      </c>
      <c r="B225" s="606"/>
      <c r="C225" s="607"/>
      <c r="D225" s="37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  <c r="AA225" s="375"/>
      <c r="AB225" s="375"/>
      <c r="AC225" s="375"/>
      <c r="AD225" s="375"/>
      <c r="AE225" s="375"/>
      <c r="AF225" s="375"/>
      <c r="AG225" s="375"/>
      <c r="AH225" s="375"/>
      <c r="AI225" s="131">
        <f t="shared" si="0"/>
        <v>0</v>
      </c>
    </row>
    <row r="226" spans="1:35" ht="15.75" customHeight="1">
      <c r="A226" s="269">
        <v>2212009002</v>
      </c>
      <c r="B226" s="191" t="s">
        <v>235</v>
      </c>
      <c r="C226" s="447" t="s">
        <v>6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31">
        <f t="shared" si="0"/>
        <v>0</v>
      </c>
    </row>
    <row r="227" spans="1:35" ht="15.75" customHeight="1">
      <c r="A227" s="272">
        <v>2212009004</v>
      </c>
      <c r="B227" s="195" t="s">
        <v>236</v>
      </c>
      <c r="C227" s="448" t="s">
        <v>6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31">
        <f t="shared" si="0"/>
        <v>0</v>
      </c>
    </row>
    <row r="228" spans="1:35" ht="15.75" customHeight="1">
      <c r="A228" s="272">
        <v>2212009005</v>
      </c>
      <c r="B228" s="195" t="s">
        <v>237</v>
      </c>
      <c r="C228" s="448" t="s">
        <v>6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1</v>
      </c>
      <c r="J228" s="14">
        <v>1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1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31">
        <f t="shared" si="0"/>
        <v>3</v>
      </c>
    </row>
    <row r="229" spans="1:35" ht="15.75" customHeight="1">
      <c r="A229" s="272">
        <v>2212009006</v>
      </c>
      <c r="B229" s="195" t="s">
        <v>238</v>
      </c>
      <c r="C229" s="448" t="s">
        <v>6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31">
        <f t="shared" si="0"/>
        <v>0</v>
      </c>
    </row>
    <row r="230" spans="1:35" ht="15.75" customHeight="1">
      <c r="A230" s="272">
        <v>2212009007</v>
      </c>
      <c r="B230" s="195" t="s">
        <v>239</v>
      </c>
      <c r="C230" s="448" t="s">
        <v>6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31">
        <f t="shared" si="0"/>
        <v>0</v>
      </c>
    </row>
    <row r="231" spans="1:35" ht="15.75" customHeight="1">
      <c r="A231" s="272">
        <v>2212009008</v>
      </c>
      <c r="B231" s="195" t="s">
        <v>240</v>
      </c>
      <c r="C231" s="448" t="s">
        <v>6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2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2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2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2</v>
      </c>
      <c r="AF231" s="14">
        <v>0</v>
      </c>
      <c r="AG231" s="14">
        <v>0</v>
      </c>
      <c r="AH231" s="14">
        <v>0</v>
      </c>
      <c r="AI231" s="131">
        <f t="shared" si="0"/>
        <v>8</v>
      </c>
    </row>
    <row r="232" spans="1:35" ht="15.75" customHeight="1">
      <c r="A232" s="272">
        <v>2212009009</v>
      </c>
      <c r="B232" s="195" t="s">
        <v>241</v>
      </c>
      <c r="C232" s="448" t="s">
        <v>6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1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1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31">
        <f t="shared" si="0"/>
        <v>2</v>
      </c>
    </row>
    <row r="233" spans="1:35" ht="15.75" customHeight="1">
      <c r="A233" s="272">
        <v>2212009010</v>
      </c>
      <c r="B233" s="195" t="s">
        <v>242</v>
      </c>
      <c r="C233" s="448" t="s">
        <v>6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31">
        <f t="shared" si="0"/>
        <v>0</v>
      </c>
    </row>
    <row r="234" spans="1:35" ht="15.75" customHeight="1">
      <c r="A234" s="272">
        <v>2212009011</v>
      </c>
      <c r="B234" s="195" t="s">
        <v>243</v>
      </c>
      <c r="C234" s="448" t="s">
        <v>6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1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31">
        <f t="shared" si="0"/>
        <v>1</v>
      </c>
    </row>
    <row r="235" spans="1:35" ht="15.75" customHeight="1">
      <c r="A235" s="272">
        <v>2212009012</v>
      </c>
      <c r="B235" s="195" t="s">
        <v>244</v>
      </c>
      <c r="C235" s="448" t="s">
        <v>6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1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31">
        <f t="shared" si="0"/>
        <v>1</v>
      </c>
    </row>
    <row r="236" spans="1:35" ht="15.75" customHeight="1">
      <c r="A236" s="272">
        <v>2212009013</v>
      </c>
      <c r="B236" s="195" t="s">
        <v>245</v>
      </c>
      <c r="C236" s="448" t="s">
        <v>6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31">
        <f t="shared" si="0"/>
        <v>0</v>
      </c>
    </row>
    <row r="237" spans="1:35" ht="15.75" customHeight="1">
      <c r="A237" s="272">
        <v>2212009014</v>
      </c>
      <c r="B237" s="195" t="s">
        <v>246</v>
      </c>
      <c r="C237" s="448" t="s">
        <v>6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1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31">
        <f t="shared" si="0"/>
        <v>1</v>
      </c>
    </row>
    <row r="238" spans="1:35" ht="15.75" customHeight="1">
      <c r="A238" s="272">
        <v>2212009015</v>
      </c>
      <c r="B238" s="195" t="s">
        <v>247</v>
      </c>
      <c r="C238" s="448" t="s">
        <v>6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31">
        <f t="shared" si="0"/>
        <v>0</v>
      </c>
    </row>
    <row r="239" spans="1:35" ht="15.75" customHeight="1">
      <c r="A239" s="272">
        <v>2212009016</v>
      </c>
      <c r="B239" s="195" t="s">
        <v>248</v>
      </c>
      <c r="C239" s="448" t="s">
        <v>6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31">
        <f t="shared" si="0"/>
        <v>0</v>
      </c>
    </row>
    <row r="240" spans="1:35" ht="15.75" customHeight="1">
      <c r="A240" s="272">
        <v>2212009017</v>
      </c>
      <c r="B240" s="195" t="s">
        <v>249</v>
      </c>
      <c r="C240" s="448" t="s">
        <v>6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31">
        <f t="shared" si="0"/>
        <v>0</v>
      </c>
    </row>
    <row r="241" spans="1:35" ht="15.75" customHeight="1">
      <c r="A241" s="272">
        <v>2212009018</v>
      </c>
      <c r="B241" s="195" t="s">
        <v>250</v>
      </c>
      <c r="C241" s="448" t="s">
        <v>6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31">
        <f t="shared" si="0"/>
        <v>0</v>
      </c>
    </row>
    <row r="242" spans="1:35" ht="15.75" customHeight="1">
      <c r="A242" s="272">
        <v>2212009019</v>
      </c>
      <c r="B242" s="195" t="s">
        <v>251</v>
      </c>
      <c r="C242" s="448" t="s">
        <v>6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31">
        <f t="shared" si="0"/>
        <v>0</v>
      </c>
    </row>
    <row r="243" spans="1:35" ht="15.75" customHeight="1">
      <c r="A243" s="272">
        <v>2212009020</v>
      </c>
      <c r="B243" s="195" t="s">
        <v>252</v>
      </c>
      <c r="C243" s="448" t="s">
        <v>6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31">
        <f t="shared" si="0"/>
        <v>0</v>
      </c>
    </row>
    <row r="244" spans="1:35" ht="15.75" customHeight="1">
      <c r="A244" s="272">
        <v>2212009021</v>
      </c>
      <c r="B244" s="195" t="s">
        <v>253</v>
      </c>
      <c r="C244" s="448" t="s">
        <v>6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8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8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8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31">
        <f t="shared" si="0"/>
        <v>24</v>
      </c>
    </row>
    <row r="245" spans="1:35" ht="15.75" customHeight="1">
      <c r="A245" s="272">
        <v>2212009022</v>
      </c>
      <c r="B245" s="195" t="s">
        <v>254</v>
      </c>
      <c r="C245" s="448" t="s">
        <v>6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1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31">
        <f t="shared" si="0"/>
        <v>1</v>
      </c>
    </row>
    <row r="246" spans="1:35" ht="15.75" customHeight="1">
      <c r="A246" s="272">
        <v>2212009023</v>
      </c>
      <c r="B246" s="195" t="s">
        <v>255</v>
      </c>
      <c r="C246" s="448" t="s">
        <v>6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31">
        <f t="shared" si="0"/>
        <v>0</v>
      </c>
    </row>
    <row r="247" spans="1:35" ht="15.75" customHeight="1">
      <c r="A247" s="272">
        <v>2212009024</v>
      </c>
      <c r="B247" s="195" t="s">
        <v>256</v>
      </c>
      <c r="C247" s="448" t="s">
        <v>6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31">
        <f t="shared" si="0"/>
        <v>0</v>
      </c>
    </row>
    <row r="248" spans="1:35" ht="15.75" customHeight="1">
      <c r="A248" s="272">
        <v>2212009025</v>
      </c>
      <c r="B248" s="195" t="s">
        <v>257</v>
      </c>
      <c r="C248" s="448" t="s">
        <v>6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31">
        <f t="shared" si="0"/>
        <v>0</v>
      </c>
    </row>
    <row r="249" spans="1:35" ht="15.75" customHeight="1">
      <c r="A249" s="272">
        <v>2212009026</v>
      </c>
      <c r="B249" s="195" t="s">
        <v>258</v>
      </c>
      <c r="C249" s="448" t="s">
        <v>6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1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1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1</v>
      </c>
      <c r="X249" s="14">
        <v>1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31">
        <f t="shared" si="0"/>
        <v>4</v>
      </c>
    </row>
    <row r="250" spans="1:35" ht="15.75" customHeight="1">
      <c r="A250" s="272">
        <v>2212009028</v>
      </c>
      <c r="B250" s="195" t="s">
        <v>259</v>
      </c>
      <c r="C250" s="448" t="s">
        <v>6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31">
        <f t="shared" si="0"/>
        <v>0</v>
      </c>
    </row>
    <row r="251" spans="1:35" ht="15.75" customHeight="1">
      <c r="A251" s="272">
        <v>2212009029</v>
      </c>
      <c r="B251" s="195" t="s">
        <v>260</v>
      </c>
      <c r="C251" s="448" t="s">
        <v>6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3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31">
        <f t="shared" si="0"/>
        <v>3</v>
      </c>
    </row>
    <row r="252" spans="1:35" ht="15.75" customHeight="1">
      <c r="A252" s="272">
        <v>2212009030</v>
      </c>
      <c r="B252" s="195" t="s">
        <v>261</v>
      </c>
      <c r="C252" s="448" t="s">
        <v>6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31">
        <f t="shared" si="0"/>
        <v>0</v>
      </c>
    </row>
    <row r="253" spans="1:35" ht="15.75" customHeight="1">
      <c r="A253" s="272">
        <v>2212009031</v>
      </c>
      <c r="B253" s="195" t="s">
        <v>262</v>
      </c>
      <c r="C253" s="448" t="s">
        <v>6</v>
      </c>
      <c r="D253" s="14">
        <v>0</v>
      </c>
      <c r="E253" s="14">
        <v>5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1</v>
      </c>
      <c r="Q253" s="14">
        <v>1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1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1</v>
      </c>
      <c r="AE253" s="14">
        <v>1</v>
      </c>
      <c r="AF253" s="14">
        <v>0</v>
      </c>
      <c r="AG253" s="14">
        <v>0</v>
      </c>
      <c r="AH253" s="14">
        <v>0</v>
      </c>
      <c r="AI253" s="131">
        <f t="shared" si="0"/>
        <v>10</v>
      </c>
    </row>
    <row r="254" spans="1:35" ht="15.75" customHeight="1">
      <c r="A254" s="272">
        <v>2212009032</v>
      </c>
      <c r="B254" s="195" t="s">
        <v>263</v>
      </c>
      <c r="C254" s="448" t="s">
        <v>6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1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1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31">
        <f t="shared" si="0"/>
        <v>2</v>
      </c>
    </row>
    <row r="255" spans="1:35" ht="15.75" customHeight="1">
      <c r="A255" s="272">
        <v>2212009033</v>
      </c>
      <c r="B255" s="195" t="s">
        <v>264</v>
      </c>
      <c r="C255" s="448" t="s">
        <v>6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1</v>
      </c>
      <c r="J255" s="14">
        <v>1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1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1</v>
      </c>
      <c r="AE255" s="14">
        <v>0</v>
      </c>
      <c r="AF255" s="14">
        <v>0</v>
      </c>
      <c r="AG255" s="14">
        <v>0</v>
      </c>
      <c r="AH255" s="14">
        <v>0</v>
      </c>
      <c r="AI255" s="131">
        <f t="shared" si="0"/>
        <v>4</v>
      </c>
    </row>
    <row r="256" spans="1:35" ht="15.75" customHeight="1">
      <c r="A256" s="272">
        <v>2212009034</v>
      </c>
      <c r="B256" s="195" t="s">
        <v>265</v>
      </c>
      <c r="C256" s="448" t="s">
        <v>6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1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1</v>
      </c>
      <c r="AF256" s="14">
        <v>0</v>
      </c>
      <c r="AG256" s="14">
        <v>0</v>
      </c>
      <c r="AH256" s="14">
        <v>0</v>
      </c>
      <c r="AI256" s="131">
        <f t="shared" si="0"/>
        <v>2</v>
      </c>
    </row>
    <row r="257" spans="1:35" ht="15.75" customHeight="1">
      <c r="A257" s="272">
        <v>2212009035</v>
      </c>
      <c r="B257" s="195" t="s">
        <v>266</v>
      </c>
      <c r="C257" s="448" t="s">
        <v>267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1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31">
        <f t="shared" si="0"/>
        <v>1</v>
      </c>
    </row>
    <row r="258" spans="1:35" ht="15.75" customHeight="1">
      <c r="A258" s="272">
        <v>2212009036</v>
      </c>
      <c r="B258" s="195" t="s">
        <v>268</v>
      </c>
      <c r="C258" s="448" t="s">
        <v>6</v>
      </c>
      <c r="D258" s="14">
        <v>0</v>
      </c>
      <c r="E258" s="14">
        <v>5</v>
      </c>
      <c r="F258" s="14">
        <v>0</v>
      </c>
      <c r="G258" s="14">
        <v>0</v>
      </c>
      <c r="H258" s="14">
        <v>0</v>
      </c>
      <c r="I258" s="14">
        <v>1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1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1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31">
        <f t="shared" si="0"/>
        <v>8</v>
      </c>
    </row>
    <row r="259" spans="1:35" ht="15.75" customHeight="1">
      <c r="A259" s="272">
        <v>2212009037</v>
      </c>
      <c r="B259" s="195" t="s">
        <v>269</v>
      </c>
      <c r="C259" s="448" t="s">
        <v>6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31">
        <f t="shared" ref="AI259:AI384" si="1">SUM(D259:AH259)</f>
        <v>0</v>
      </c>
    </row>
    <row r="260" spans="1:35" ht="15.75" customHeight="1">
      <c r="A260" s="272">
        <v>2212009038</v>
      </c>
      <c r="B260" s="195" t="s">
        <v>270</v>
      </c>
      <c r="C260" s="448" t="s">
        <v>6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31">
        <f t="shared" si="1"/>
        <v>0</v>
      </c>
    </row>
    <row r="261" spans="1:35" ht="15.75" customHeight="1">
      <c r="A261" s="303">
        <v>2212009041</v>
      </c>
      <c r="B261" s="210" t="s">
        <v>271</v>
      </c>
      <c r="C261" s="497" t="s">
        <v>86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31">
        <f t="shared" si="1"/>
        <v>0</v>
      </c>
    </row>
    <row r="262" spans="1:35" ht="18.75" customHeight="1">
      <c r="A262" s="625" t="s">
        <v>272</v>
      </c>
      <c r="B262" s="606"/>
      <c r="C262" s="607"/>
      <c r="D262" s="375"/>
      <c r="E262" s="375"/>
      <c r="F262" s="375"/>
      <c r="G262" s="375"/>
      <c r="H262" s="375"/>
      <c r="I262" s="375"/>
      <c r="J262" s="375"/>
      <c r="K262" s="375"/>
      <c r="L262" s="375"/>
      <c r="M262" s="375"/>
      <c r="N262" s="375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  <c r="AA262" s="375"/>
      <c r="AB262" s="375"/>
      <c r="AC262" s="375"/>
      <c r="AD262" s="375"/>
      <c r="AE262" s="375"/>
      <c r="AF262" s="375"/>
      <c r="AG262" s="375"/>
      <c r="AH262" s="375"/>
      <c r="AI262" s="131">
        <f t="shared" si="1"/>
        <v>0</v>
      </c>
    </row>
    <row r="263" spans="1:35" ht="15.75" customHeight="1">
      <c r="A263" s="306">
        <v>2212011002</v>
      </c>
      <c r="B263" s="301" t="s">
        <v>273</v>
      </c>
      <c r="C263" s="499" t="s">
        <v>86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1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31">
        <f t="shared" si="1"/>
        <v>1</v>
      </c>
    </row>
    <row r="264" spans="1:35" ht="15.75" customHeight="1">
      <c r="A264" s="308">
        <v>2212011003</v>
      </c>
      <c r="B264" s="221" t="s">
        <v>274</v>
      </c>
      <c r="C264" s="500" t="s">
        <v>6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31">
        <f t="shared" si="1"/>
        <v>0</v>
      </c>
    </row>
    <row r="265" spans="1:35" ht="15.75" customHeight="1">
      <c r="A265" s="308">
        <v>2212011004</v>
      </c>
      <c r="B265" s="221" t="s">
        <v>275</v>
      </c>
      <c r="C265" s="500" t="s">
        <v>6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1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31">
        <f t="shared" si="1"/>
        <v>1</v>
      </c>
    </row>
    <row r="266" spans="1:35" ht="15.75" customHeight="1">
      <c r="A266" s="308">
        <v>2212011006</v>
      </c>
      <c r="B266" s="221" t="s">
        <v>276</v>
      </c>
      <c r="C266" s="500" t="s">
        <v>6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31">
        <f t="shared" si="1"/>
        <v>0</v>
      </c>
    </row>
    <row r="267" spans="1:35" ht="15.75" customHeight="1">
      <c r="A267" s="308">
        <v>2212011007</v>
      </c>
      <c r="B267" s="221" t="s">
        <v>277</v>
      </c>
      <c r="C267" s="500" t="s">
        <v>6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1</v>
      </c>
      <c r="AE267" s="14">
        <v>0</v>
      </c>
      <c r="AF267" s="14">
        <v>0</v>
      </c>
      <c r="AG267" s="14">
        <v>0</v>
      </c>
      <c r="AH267" s="14">
        <v>0</v>
      </c>
      <c r="AI267" s="131">
        <f t="shared" si="1"/>
        <v>1</v>
      </c>
    </row>
    <row r="268" spans="1:35" ht="15.75" customHeight="1">
      <c r="A268" s="308">
        <v>2212011008</v>
      </c>
      <c r="B268" s="221" t="s">
        <v>278</v>
      </c>
      <c r="C268" s="500" t="s">
        <v>6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1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1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31">
        <f t="shared" si="1"/>
        <v>2</v>
      </c>
    </row>
    <row r="269" spans="1:35" ht="15.75" customHeight="1">
      <c r="A269" s="308">
        <v>2212011009</v>
      </c>
      <c r="B269" s="221" t="s">
        <v>279</v>
      </c>
      <c r="C269" s="500" t="s">
        <v>6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31">
        <f t="shared" si="1"/>
        <v>0</v>
      </c>
    </row>
    <row r="270" spans="1:35" ht="15.75" customHeight="1">
      <c r="A270" s="308">
        <v>2212011010</v>
      </c>
      <c r="B270" s="221" t="s">
        <v>280</v>
      </c>
      <c r="C270" s="500" t="s">
        <v>6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31">
        <f t="shared" si="1"/>
        <v>0</v>
      </c>
    </row>
    <row r="271" spans="1:35" ht="15.75" customHeight="1">
      <c r="A271" s="308">
        <v>2212011011</v>
      </c>
      <c r="B271" s="221" t="s">
        <v>281</v>
      </c>
      <c r="C271" s="500" t="s">
        <v>6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31">
        <f t="shared" si="1"/>
        <v>0</v>
      </c>
    </row>
    <row r="272" spans="1:35" ht="15.75" customHeight="1">
      <c r="A272" s="308">
        <v>2212011012</v>
      </c>
      <c r="B272" s="221" t="s">
        <v>282</v>
      </c>
      <c r="C272" s="500" t="s">
        <v>6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31">
        <f t="shared" si="1"/>
        <v>0</v>
      </c>
    </row>
    <row r="273" spans="1:35" ht="15.75" customHeight="1">
      <c r="A273" s="308">
        <v>2212011013</v>
      </c>
      <c r="B273" s="221" t="s">
        <v>283</v>
      </c>
      <c r="C273" s="500" t="s">
        <v>6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1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31">
        <f t="shared" si="1"/>
        <v>1</v>
      </c>
    </row>
    <row r="274" spans="1:35" ht="15.75" customHeight="1">
      <c r="A274" s="308">
        <v>2212011014</v>
      </c>
      <c r="B274" s="221" t="s">
        <v>284</v>
      </c>
      <c r="C274" s="500" t="s">
        <v>6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31">
        <f t="shared" si="1"/>
        <v>0</v>
      </c>
    </row>
    <row r="275" spans="1:35" ht="15.75" customHeight="1">
      <c r="A275" s="308">
        <v>2212011015</v>
      </c>
      <c r="B275" s="221" t="s">
        <v>285</v>
      </c>
      <c r="C275" s="500" t="s">
        <v>6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31">
        <f t="shared" si="1"/>
        <v>0</v>
      </c>
    </row>
    <row r="276" spans="1:35" ht="15.75" customHeight="1">
      <c r="A276" s="308">
        <v>2212011016</v>
      </c>
      <c r="B276" s="221" t="s">
        <v>286</v>
      </c>
      <c r="C276" s="500" t="s">
        <v>6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31">
        <f t="shared" si="1"/>
        <v>0</v>
      </c>
    </row>
    <row r="277" spans="1:35" ht="15.75" customHeight="1">
      <c r="A277" s="308">
        <v>2212011017</v>
      </c>
      <c r="B277" s="221" t="s">
        <v>287</v>
      </c>
      <c r="C277" s="500" t="s">
        <v>6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31">
        <f t="shared" si="1"/>
        <v>0</v>
      </c>
    </row>
    <row r="278" spans="1:35" ht="15.75" customHeight="1">
      <c r="A278" s="308">
        <v>2212011018</v>
      </c>
      <c r="B278" s="221" t="s">
        <v>288</v>
      </c>
      <c r="C278" s="500" t="s">
        <v>6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31">
        <f t="shared" si="1"/>
        <v>0</v>
      </c>
    </row>
    <row r="279" spans="1:35" ht="15.75" customHeight="1">
      <c r="A279" s="308">
        <v>2212011019</v>
      </c>
      <c r="B279" s="221" t="s">
        <v>289</v>
      </c>
      <c r="C279" s="500" t="s">
        <v>6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31">
        <f t="shared" si="1"/>
        <v>0</v>
      </c>
    </row>
    <row r="280" spans="1:35" ht="15.75" customHeight="1">
      <c r="A280" s="311">
        <v>2212011026</v>
      </c>
      <c r="B280" s="227" t="s">
        <v>290</v>
      </c>
      <c r="C280" s="501" t="s">
        <v>86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31">
        <f t="shared" si="1"/>
        <v>0</v>
      </c>
    </row>
    <row r="281" spans="1:35" ht="18.75" customHeight="1">
      <c r="A281" s="626" t="s">
        <v>291</v>
      </c>
      <c r="B281" s="606"/>
      <c r="C281" s="607"/>
      <c r="D281" s="375"/>
      <c r="E281" s="375"/>
      <c r="F281" s="375"/>
      <c r="G281" s="375"/>
      <c r="H281" s="375"/>
      <c r="I281" s="375"/>
      <c r="J281" s="375"/>
      <c r="K281" s="375"/>
      <c r="L281" s="375"/>
      <c r="M281" s="375"/>
      <c r="N281" s="375"/>
      <c r="O281" s="375"/>
      <c r="P281" s="375"/>
      <c r="Q281" s="375"/>
      <c r="R281" s="375"/>
      <c r="S281" s="375"/>
      <c r="T281" s="375"/>
      <c r="U281" s="375"/>
      <c r="V281" s="375"/>
      <c r="W281" s="375"/>
      <c r="X281" s="375"/>
      <c r="Y281" s="375"/>
      <c r="Z281" s="375"/>
      <c r="AA281" s="375"/>
      <c r="AB281" s="375"/>
      <c r="AC281" s="375"/>
      <c r="AD281" s="375"/>
      <c r="AE281" s="375"/>
      <c r="AF281" s="375"/>
      <c r="AG281" s="375"/>
      <c r="AH281" s="375"/>
      <c r="AI281" s="131">
        <f t="shared" si="1"/>
        <v>0</v>
      </c>
    </row>
    <row r="282" spans="1:35" ht="15.75" customHeight="1">
      <c r="A282" s="315">
        <v>2212001001</v>
      </c>
      <c r="B282" s="313" t="s">
        <v>292</v>
      </c>
      <c r="C282" s="503" t="s">
        <v>293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31">
        <f t="shared" si="1"/>
        <v>0</v>
      </c>
    </row>
    <row r="283" spans="1:35" ht="15.75" customHeight="1">
      <c r="A283" s="317">
        <v>2212001002</v>
      </c>
      <c r="B283" s="239" t="s">
        <v>294</v>
      </c>
      <c r="C283" s="504" t="s">
        <v>175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1</v>
      </c>
      <c r="J283" s="14">
        <v>1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2</v>
      </c>
      <c r="Q283" s="14">
        <v>1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1</v>
      </c>
      <c r="X283" s="14">
        <v>1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2</v>
      </c>
      <c r="AE283" s="14">
        <v>1</v>
      </c>
      <c r="AF283" s="14">
        <v>0</v>
      </c>
      <c r="AG283" s="14">
        <v>0</v>
      </c>
      <c r="AH283" s="14">
        <v>0</v>
      </c>
      <c r="AI283" s="131">
        <f t="shared" si="1"/>
        <v>10</v>
      </c>
    </row>
    <row r="284" spans="1:35" ht="15.75" customHeight="1">
      <c r="A284" s="317">
        <v>2212001006</v>
      </c>
      <c r="B284" s="239" t="s">
        <v>295</v>
      </c>
      <c r="C284" s="504" t="s">
        <v>296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31">
        <f t="shared" si="1"/>
        <v>0</v>
      </c>
    </row>
    <row r="285" spans="1:35" ht="15.75" customHeight="1">
      <c r="A285" s="317">
        <v>2212001007</v>
      </c>
      <c r="B285" s="239" t="s">
        <v>297</v>
      </c>
      <c r="C285" s="504" t="s">
        <v>6</v>
      </c>
      <c r="D285" s="14">
        <v>0</v>
      </c>
      <c r="E285" s="14">
        <v>5</v>
      </c>
      <c r="F285" s="14">
        <v>0</v>
      </c>
      <c r="G285" s="14">
        <v>0</v>
      </c>
      <c r="H285" s="14">
        <v>0</v>
      </c>
      <c r="I285" s="14">
        <v>1</v>
      </c>
      <c r="J285" s="14">
        <v>5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1</v>
      </c>
      <c r="Q285" s="14">
        <v>5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1</v>
      </c>
      <c r="X285" s="14">
        <v>5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1</v>
      </c>
      <c r="AE285" s="14">
        <v>5</v>
      </c>
      <c r="AF285" s="14">
        <v>0</v>
      </c>
      <c r="AG285" s="14">
        <v>0</v>
      </c>
      <c r="AH285" s="14">
        <v>0</v>
      </c>
      <c r="AI285" s="131">
        <f t="shared" si="1"/>
        <v>29</v>
      </c>
    </row>
    <row r="286" spans="1:35" ht="15.75" customHeight="1">
      <c r="A286" s="241">
        <v>2212007011</v>
      </c>
      <c r="B286" s="242" t="s">
        <v>298</v>
      </c>
      <c r="C286" s="241" t="s">
        <v>86</v>
      </c>
      <c r="D286" s="14">
        <v>0</v>
      </c>
      <c r="E286" s="14">
        <v>5</v>
      </c>
      <c r="F286" s="14">
        <v>0</v>
      </c>
      <c r="G286" s="14">
        <v>0</v>
      </c>
      <c r="H286" s="14">
        <v>0</v>
      </c>
      <c r="I286" s="14">
        <v>1</v>
      </c>
      <c r="J286" s="14">
        <v>1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1</v>
      </c>
      <c r="Q286" s="14">
        <v>1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1</v>
      </c>
      <c r="X286" s="14">
        <v>1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1</v>
      </c>
      <c r="AE286" s="14">
        <v>1</v>
      </c>
      <c r="AF286" s="14">
        <v>0</v>
      </c>
      <c r="AG286" s="14">
        <v>0</v>
      </c>
      <c r="AH286" s="14">
        <v>0</v>
      </c>
      <c r="AI286" s="131">
        <f t="shared" si="1"/>
        <v>13</v>
      </c>
    </row>
    <row r="287" spans="1:35" ht="15.75" customHeight="1">
      <c r="A287" s="317">
        <v>2212001010</v>
      </c>
      <c r="B287" s="239" t="s">
        <v>299</v>
      </c>
      <c r="C287" s="504" t="s">
        <v>267</v>
      </c>
      <c r="D287" s="14">
        <v>0</v>
      </c>
      <c r="E287" s="14">
        <v>5</v>
      </c>
      <c r="F287" s="14">
        <v>0</v>
      </c>
      <c r="G287" s="14">
        <v>0</v>
      </c>
      <c r="H287" s="14">
        <v>0</v>
      </c>
      <c r="I287" s="14">
        <v>0</v>
      </c>
      <c r="J287" s="14">
        <v>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1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1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1</v>
      </c>
      <c r="AF287" s="14">
        <v>0</v>
      </c>
      <c r="AG287" s="14">
        <v>0</v>
      </c>
      <c r="AH287" s="14">
        <v>0</v>
      </c>
      <c r="AI287" s="131">
        <f t="shared" si="1"/>
        <v>9</v>
      </c>
    </row>
    <row r="288" spans="1:35" ht="15.75" customHeight="1">
      <c r="A288" s="317">
        <v>2212001013</v>
      </c>
      <c r="B288" s="239" t="s">
        <v>300</v>
      </c>
      <c r="C288" s="504" t="s">
        <v>86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31">
        <f t="shared" si="1"/>
        <v>0</v>
      </c>
    </row>
    <row r="289" spans="1:35" ht="15.75" customHeight="1">
      <c r="A289" s="317">
        <v>2212001014</v>
      </c>
      <c r="B289" s="239" t="s">
        <v>301</v>
      </c>
      <c r="C289" s="504" t="s">
        <v>86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31">
        <f t="shared" si="1"/>
        <v>0</v>
      </c>
    </row>
    <row r="290" spans="1:35" ht="15.75" customHeight="1">
      <c r="A290" s="317">
        <v>2212001015</v>
      </c>
      <c r="B290" s="239" t="s">
        <v>302</v>
      </c>
      <c r="C290" s="504" t="s">
        <v>86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31">
        <f t="shared" si="1"/>
        <v>0</v>
      </c>
    </row>
    <row r="291" spans="1:35" ht="15.75" customHeight="1">
      <c r="A291" s="317">
        <v>2212001016</v>
      </c>
      <c r="B291" s="239" t="s">
        <v>303</v>
      </c>
      <c r="C291" s="504" t="s">
        <v>296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31">
        <f t="shared" si="1"/>
        <v>0</v>
      </c>
    </row>
    <row r="292" spans="1:35" ht="15.75" customHeight="1">
      <c r="A292" s="317">
        <v>2212001018</v>
      </c>
      <c r="B292" s="239" t="s">
        <v>304</v>
      </c>
      <c r="C292" s="504" t="s">
        <v>296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1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31">
        <f t="shared" si="1"/>
        <v>1</v>
      </c>
    </row>
    <row r="293" spans="1:35" ht="15.75" customHeight="1">
      <c r="A293" s="317">
        <v>2212001020</v>
      </c>
      <c r="B293" s="239" t="s">
        <v>305</v>
      </c>
      <c r="C293" s="504" t="s">
        <v>6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31">
        <f t="shared" si="1"/>
        <v>1</v>
      </c>
    </row>
    <row r="294" spans="1:35" ht="15.75" customHeight="1">
      <c r="A294" s="317">
        <v>2212001022</v>
      </c>
      <c r="B294" s="239" t="s">
        <v>306</v>
      </c>
      <c r="C294" s="504" t="s">
        <v>307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31">
        <f t="shared" si="1"/>
        <v>0</v>
      </c>
    </row>
    <row r="295" spans="1:35" ht="15.75" customHeight="1">
      <c r="A295" s="241">
        <v>2212007018</v>
      </c>
      <c r="B295" s="242" t="s">
        <v>308</v>
      </c>
      <c r="C295" s="241" t="s">
        <v>86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31">
        <f t="shared" si="1"/>
        <v>0</v>
      </c>
    </row>
    <row r="296" spans="1:35" ht="15.75" customHeight="1">
      <c r="A296" s="317">
        <v>2212001026</v>
      </c>
      <c r="B296" s="239" t="s">
        <v>309</v>
      </c>
      <c r="C296" s="504" t="s">
        <v>6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1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1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1</v>
      </c>
      <c r="AF296" s="14">
        <v>0</v>
      </c>
      <c r="AG296" s="14">
        <v>0</v>
      </c>
      <c r="AH296" s="14">
        <v>0</v>
      </c>
      <c r="AI296" s="131">
        <f t="shared" si="1"/>
        <v>3</v>
      </c>
    </row>
    <row r="297" spans="1:35" ht="15.75" customHeight="1">
      <c r="A297" s="317">
        <v>2212001027</v>
      </c>
      <c r="B297" s="239" t="s">
        <v>310</v>
      </c>
      <c r="C297" s="504" t="s">
        <v>171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1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1</v>
      </c>
      <c r="AF297" s="14">
        <v>0</v>
      </c>
      <c r="AG297" s="14">
        <v>0</v>
      </c>
      <c r="AH297" s="14">
        <v>0</v>
      </c>
      <c r="AI297" s="131">
        <f t="shared" si="1"/>
        <v>2</v>
      </c>
    </row>
    <row r="298" spans="1:35" ht="15.75" customHeight="1">
      <c r="A298" s="317">
        <v>2212001028</v>
      </c>
      <c r="B298" s="239" t="s">
        <v>311</v>
      </c>
      <c r="C298" s="504" t="s">
        <v>296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31">
        <f t="shared" si="1"/>
        <v>1</v>
      </c>
    </row>
    <row r="299" spans="1:35" ht="15.75" customHeight="1">
      <c r="A299" s="317">
        <v>2212001029</v>
      </c>
      <c r="B299" s="243" t="s">
        <v>312</v>
      </c>
      <c r="C299" s="504" t="s">
        <v>313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1</v>
      </c>
      <c r="AF299" s="14">
        <v>0</v>
      </c>
      <c r="AG299" s="14">
        <v>0</v>
      </c>
      <c r="AH299" s="14">
        <v>0</v>
      </c>
      <c r="AI299" s="131">
        <f t="shared" si="1"/>
        <v>1</v>
      </c>
    </row>
    <row r="300" spans="1:35" ht="15.75" customHeight="1">
      <c r="A300" s="317">
        <v>2212001030</v>
      </c>
      <c r="B300" s="239" t="s">
        <v>314</v>
      </c>
      <c r="C300" s="504" t="s">
        <v>86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1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31">
        <f t="shared" si="1"/>
        <v>2</v>
      </c>
    </row>
    <row r="301" spans="1:35" ht="15.75" customHeight="1">
      <c r="A301" s="317">
        <v>2212001031</v>
      </c>
      <c r="B301" s="239" t="s">
        <v>315</v>
      </c>
      <c r="C301" s="504" t="s">
        <v>6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1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31">
        <f t="shared" si="1"/>
        <v>1</v>
      </c>
    </row>
    <row r="302" spans="1:35" ht="15.75" customHeight="1">
      <c r="A302" s="317">
        <v>2212001032</v>
      </c>
      <c r="B302" s="239" t="s">
        <v>316</v>
      </c>
      <c r="C302" s="504" t="s">
        <v>86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2</v>
      </c>
      <c r="J302" s="14">
        <v>1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1</v>
      </c>
      <c r="Q302" s="14">
        <v>1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1</v>
      </c>
      <c r="X302" s="14">
        <v>1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2</v>
      </c>
      <c r="AE302" s="14">
        <v>1</v>
      </c>
      <c r="AF302" s="14">
        <v>0</v>
      </c>
      <c r="AG302" s="14">
        <v>0</v>
      </c>
      <c r="AH302" s="14">
        <v>0</v>
      </c>
      <c r="AI302" s="131">
        <f t="shared" si="1"/>
        <v>10</v>
      </c>
    </row>
    <row r="303" spans="1:35" ht="15.75" customHeight="1">
      <c r="A303" s="317">
        <v>2212001033</v>
      </c>
      <c r="B303" s="239" t="s">
        <v>317</v>
      </c>
      <c r="C303" s="504" t="s">
        <v>86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3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31">
        <f t="shared" si="1"/>
        <v>3</v>
      </c>
    </row>
    <row r="304" spans="1:35" ht="15.75" customHeight="1">
      <c r="A304" s="317">
        <v>2212001034</v>
      </c>
      <c r="B304" s="239" t="s">
        <v>318</v>
      </c>
      <c r="C304" s="504" t="s">
        <v>6</v>
      </c>
      <c r="D304" s="14">
        <v>0</v>
      </c>
      <c r="E304" s="14">
        <v>2</v>
      </c>
      <c r="F304" s="14">
        <v>0</v>
      </c>
      <c r="G304" s="14">
        <v>0</v>
      </c>
      <c r="H304" s="14">
        <v>0</v>
      </c>
      <c r="I304" s="14">
        <v>1</v>
      </c>
      <c r="J304" s="14">
        <v>1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1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31">
        <f t="shared" si="1"/>
        <v>5</v>
      </c>
    </row>
    <row r="305" spans="1:35" ht="15.75" customHeight="1">
      <c r="A305" s="317">
        <v>2212001035</v>
      </c>
      <c r="B305" s="239" t="s">
        <v>319</v>
      </c>
      <c r="C305" s="504" t="s">
        <v>313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1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31">
        <f t="shared" si="1"/>
        <v>1</v>
      </c>
    </row>
    <row r="306" spans="1:35" ht="15.75" customHeight="1">
      <c r="A306" s="317">
        <v>2212001036</v>
      </c>
      <c r="B306" s="239" t="s">
        <v>320</v>
      </c>
      <c r="C306" s="504" t="s">
        <v>6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31">
        <f t="shared" si="1"/>
        <v>0</v>
      </c>
    </row>
    <row r="307" spans="1:35" ht="15.75" customHeight="1">
      <c r="A307" s="317">
        <v>2212001037</v>
      </c>
      <c r="B307" s="239" t="s">
        <v>321</v>
      </c>
      <c r="C307" s="504" t="s">
        <v>6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31">
        <f t="shared" si="1"/>
        <v>0</v>
      </c>
    </row>
    <row r="308" spans="1:35" ht="15.75" customHeight="1">
      <c r="A308" s="317">
        <v>2212001038</v>
      </c>
      <c r="B308" s="239" t="s">
        <v>322</v>
      </c>
      <c r="C308" s="504" t="s">
        <v>86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31">
        <f t="shared" si="1"/>
        <v>0</v>
      </c>
    </row>
    <row r="309" spans="1:35" ht="15.75" customHeight="1">
      <c r="A309" s="317">
        <v>2212001040</v>
      </c>
      <c r="B309" s="239" t="s">
        <v>323</v>
      </c>
      <c r="C309" s="504" t="s">
        <v>6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1</v>
      </c>
      <c r="J309" s="14">
        <v>1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31">
        <f t="shared" si="1"/>
        <v>3</v>
      </c>
    </row>
    <row r="310" spans="1:35" ht="15.75" customHeight="1">
      <c r="A310" s="317">
        <v>2212001041</v>
      </c>
      <c r="B310" s="239" t="s">
        <v>324</v>
      </c>
      <c r="C310" s="504" t="s">
        <v>6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1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1</v>
      </c>
      <c r="AF310" s="14">
        <v>0</v>
      </c>
      <c r="AG310" s="14">
        <v>0</v>
      </c>
      <c r="AH310" s="14">
        <v>0</v>
      </c>
      <c r="AI310" s="131">
        <f t="shared" si="1"/>
        <v>2</v>
      </c>
    </row>
    <row r="311" spans="1:35" ht="15.75" customHeight="1">
      <c r="A311" s="317">
        <v>2212001042</v>
      </c>
      <c r="B311" s="239" t="s">
        <v>325</v>
      </c>
      <c r="C311" s="504" t="s">
        <v>313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31">
        <f t="shared" si="1"/>
        <v>0</v>
      </c>
    </row>
    <row r="312" spans="1:35" ht="15.75" customHeight="1">
      <c r="A312" s="317">
        <v>2212001044</v>
      </c>
      <c r="B312" s="239" t="s">
        <v>326</v>
      </c>
      <c r="C312" s="504" t="s">
        <v>8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31">
        <f t="shared" si="1"/>
        <v>0</v>
      </c>
    </row>
    <row r="313" spans="1:35" ht="15.75" customHeight="1">
      <c r="A313" s="317">
        <v>2212001045</v>
      </c>
      <c r="B313" s="239" t="s">
        <v>327</v>
      </c>
      <c r="C313" s="504" t="s">
        <v>296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3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1</v>
      </c>
      <c r="Q313" s="14">
        <v>3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3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1</v>
      </c>
      <c r="AE313" s="14">
        <v>3</v>
      </c>
      <c r="AF313" s="14">
        <v>0</v>
      </c>
      <c r="AG313" s="14">
        <v>0</v>
      </c>
      <c r="AH313" s="14">
        <v>0</v>
      </c>
      <c r="AI313" s="131">
        <f t="shared" si="1"/>
        <v>14</v>
      </c>
    </row>
    <row r="314" spans="1:35" ht="15.75" customHeight="1">
      <c r="A314" s="317">
        <v>2212001046</v>
      </c>
      <c r="B314" s="239" t="s">
        <v>328</v>
      </c>
      <c r="C314" s="504" t="s">
        <v>267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31">
        <f t="shared" si="1"/>
        <v>0</v>
      </c>
    </row>
    <row r="315" spans="1:35" ht="15.75" customHeight="1">
      <c r="A315" s="317">
        <v>2212001047</v>
      </c>
      <c r="B315" s="239" t="s">
        <v>329</v>
      </c>
      <c r="C315" s="504" t="s">
        <v>8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31">
        <f t="shared" si="1"/>
        <v>0</v>
      </c>
    </row>
    <row r="316" spans="1:35" ht="15.75" customHeight="1">
      <c r="A316" s="317">
        <v>2212001049</v>
      </c>
      <c r="B316" s="239" t="s">
        <v>330</v>
      </c>
      <c r="C316" s="504" t="s">
        <v>296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1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31">
        <f t="shared" si="1"/>
        <v>1</v>
      </c>
    </row>
    <row r="317" spans="1:35" ht="15.75" customHeight="1">
      <c r="A317" s="317">
        <v>2212001050</v>
      </c>
      <c r="B317" s="239" t="s">
        <v>331</v>
      </c>
      <c r="C317" s="504" t="s">
        <v>267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31">
        <f t="shared" si="1"/>
        <v>0</v>
      </c>
    </row>
    <row r="318" spans="1:35" ht="15.75" customHeight="1">
      <c r="A318" s="317">
        <v>2212001051</v>
      </c>
      <c r="B318" s="239" t="s">
        <v>332</v>
      </c>
      <c r="C318" s="504" t="s">
        <v>175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1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31">
        <f t="shared" si="1"/>
        <v>1</v>
      </c>
    </row>
    <row r="319" spans="1:35" ht="15.75" customHeight="1">
      <c r="A319" s="317">
        <v>2212001053</v>
      </c>
      <c r="B319" s="239" t="s">
        <v>333</v>
      </c>
      <c r="C319" s="504" t="s">
        <v>313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31">
        <f t="shared" si="1"/>
        <v>0</v>
      </c>
    </row>
    <row r="320" spans="1:35" ht="15.75" customHeight="1">
      <c r="A320" s="317">
        <v>2212001054</v>
      </c>
      <c r="B320" s="239" t="s">
        <v>334</v>
      </c>
      <c r="C320" s="504" t="s">
        <v>313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1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31">
        <f t="shared" si="1"/>
        <v>1</v>
      </c>
    </row>
    <row r="321" spans="1:35" ht="15.75" customHeight="1">
      <c r="A321" s="317">
        <v>2212001055</v>
      </c>
      <c r="B321" s="239" t="s">
        <v>335</v>
      </c>
      <c r="C321" s="504" t="s">
        <v>313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31">
        <f t="shared" si="1"/>
        <v>1</v>
      </c>
    </row>
    <row r="322" spans="1:35" ht="15.75" customHeight="1">
      <c r="A322" s="317">
        <v>2212001057</v>
      </c>
      <c r="B322" s="239" t="s">
        <v>336</v>
      </c>
      <c r="C322" s="504" t="s">
        <v>296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31">
        <f t="shared" si="1"/>
        <v>0</v>
      </c>
    </row>
    <row r="323" spans="1:35" ht="15.75" customHeight="1">
      <c r="A323" s="317">
        <v>2212001058</v>
      </c>
      <c r="B323" s="239" t="s">
        <v>337</v>
      </c>
      <c r="C323" s="504" t="s">
        <v>296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1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31">
        <f t="shared" si="1"/>
        <v>2</v>
      </c>
    </row>
    <row r="324" spans="1:35" ht="15.75" customHeight="1">
      <c r="A324" s="317">
        <v>2212001060</v>
      </c>
      <c r="B324" s="239" t="s">
        <v>338</v>
      </c>
      <c r="C324" s="504" t="s">
        <v>296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31">
        <f t="shared" si="1"/>
        <v>0</v>
      </c>
    </row>
    <row r="325" spans="1:35" ht="15.75" customHeight="1">
      <c r="A325" s="317">
        <v>2212001062</v>
      </c>
      <c r="B325" s="239" t="s">
        <v>339</v>
      </c>
      <c r="C325" s="504" t="s">
        <v>6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1</v>
      </c>
      <c r="J325" s="14">
        <v>1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1</v>
      </c>
      <c r="Q325" s="14">
        <v>1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1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1</v>
      </c>
      <c r="AF325" s="14">
        <v>0</v>
      </c>
      <c r="AG325" s="14">
        <v>0</v>
      </c>
      <c r="AH325" s="14">
        <v>0</v>
      </c>
      <c r="AI325" s="131">
        <f t="shared" si="1"/>
        <v>6</v>
      </c>
    </row>
    <row r="326" spans="1:35" ht="15.75" customHeight="1">
      <c r="A326" s="317">
        <v>2212001063</v>
      </c>
      <c r="B326" s="239" t="s">
        <v>340</v>
      </c>
      <c r="C326" s="504" t="s">
        <v>6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2</v>
      </c>
      <c r="J326" s="14">
        <v>1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1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31">
        <f t="shared" si="1"/>
        <v>4</v>
      </c>
    </row>
    <row r="327" spans="1:35" ht="15.75" customHeight="1">
      <c r="A327" s="317">
        <v>2212001065</v>
      </c>
      <c r="B327" s="239" t="s">
        <v>341</v>
      </c>
      <c r="C327" s="504" t="s">
        <v>8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30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60</v>
      </c>
      <c r="AE327" s="14">
        <v>0</v>
      </c>
      <c r="AF327" s="14">
        <v>0</v>
      </c>
      <c r="AG327" s="14">
        <v>0</v>
      </c>
      <c r="AH327" s="14">
        <v>0</v>
      </c>
      <c r="AI327" s="131">
        <f t="shared" si="1"/>
        <v>90</v>
      </c>
    </row>
    <row r="328" spans="1:35" ht="15.75" customHeight="1">
      <c r="A328" s="317">
        <v>2212001066</v>
      </c>
      <c r="B328" s="239" t="s">
        <v>342</v>
      </c>
      <c r="C328" s="504" t="s">
        <v>171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31">
        <f t="shared" si="1"/>
        <v>0</v>
      </c>
    </row>
    <row r="329" spans="1:35" ht="15.75" customHeight="1">
      <c r="A329" s="317">
        <v>2212001067</v>
      </c>
      <c r="B329" s="239" t="s">
        <v>343</v>
      </c>
      <c r="C329" s="504" t="s">
        <v>267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1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31">
        <f t="shared" si="1"/>
        <v>1</v>
      </c>
    </row>
    <row r="330" spans="1:35" ht="15.75" customHeight="1">
      <c r="A330" s="241">
        <v>2212007013</v>
      </c>
      <c r="B330" s="242" t="s">
        <v>344</v>
      </c>
      <c r="C330" s="241" t="s">
        <v>313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31">
        <f t="shared" si="1"/>
        <v>0</v>
      </c>
    </row>
    <row r="331" spans="1:35" ht="15.75" customHeight="1">
      <c r="A331" s="241">
        <v>2212007014</v>
      </c>
      <c r="B331" s="242" t="s">
        <v>345</v>
      </c>
      <c r="C331" s="241" t="s">
        <v>313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3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1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31">
        <f t="shared" si="1"/>
        <v>4</v>
      </c>
    </row>
    <row r="332" spans="1:35" ht="15.75" customHeight="1">
      <c r="A332" s="241">
        <v>2212007015</v>
      </c>
      <c r="B332" s="252" t="s">
        <v>346</v>
      </c>
      <c r="C332" s="253" t="s">
        <v>313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31">
        <f t="shared" si="1"/>
        <v>0</v>
      </c>
    </row>
    <row r="333" spans="1:35" ht="15.75" customHeight="1">
      <c r="A333" s="241">
        <v>2212007016</v>
      </c>
      <c r="B333" s="242" t="s">
        <v>347</v>
      </c>
      <c r="C333" s="241" t="s">
        <v>313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3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1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31">
        <f t="shared" si="1"/>
        <v>4</v>
      </c>
    </row>
    <row r="334" spans="1:35" ht="15.75" customHeight="1">
      <c r="A334" s="241">
        <v>2212007017</v>
      </c>
      <c r="B334" s="242" t="s">
        <v>348</v>
      </c>
      <c r="C334" s="241" t="s">
        <v>313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1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31">
        <f t="shared" si="1"/>
        <v>2</v>
      </c>
    </row>
    <row r="335" spans="1:35" ht="15.75" customHeight="1">
      <c r="A335" s="317">
        <v>2212001071</v>
      </c>
      <c r="B335" s="239" t="s">
        <v>349</v>
      </c>
      <c r="C335" s="504" t="s">
        <v>171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1</v>
      </c>
      <c r="AF335" s="14">
        <v>0</v>
      </c>
      <c r="AG335" s="14">
        <v>0</v>
      </c>
      <c r="AH335" s="14">
        <v>0</v>
      </c>
      <c r="AI335" s="131">
        <f t="shared" si="1"/>
        <v>1</v>
      </c>
    </row>
    <row r="336" spans="1:35" ht="15.75" customHeight="1">
      <c r="A336" s="317">
        <v>2212001072</v>
      </c>
      <c r="B336" s="239" t="s">
        <v>350</v>
      </c>
      <c r="C336" s="504" t="s">
        <v>307</v>
      </c>
      <c r="D336" s="14">
        <v>25</v>
      </c>
      <c r="E336" s="14">
        <v>0</v>
      </c>
      <c r="F336" s="14">
        <v>0</v>
      </c>
      <c r="G336" s="14">
        <v>0</v>
      </c>
      <c r="H336" s="14">
        <v>0</v>
      </c>
      <c r="I336" s="14">
        <v>1</v>
      </c>
      <c r="J336" s="14">
        <v>1</v>
      </c>
      <c r="K336" s="14">
        <v>25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1</v>
      </c>
      <c r="R336" s="14">
        <v>25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1</v>
      </c>
      <c r="Y336" s="14">
        <v>25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1</v>
      </c>
      <c r="AF336" s="14">
        <v>25</v>
      </c>
      <c r="AG336" s="14">
        <v>0</v>
      </c>
      <c r="AH336" s="14">
        <v>0</v>
      </c>
      <c r="AI336" s="131">
        <f t="shared" si="1"/>
        <v>130</v>
      </c>
    </row>
    <row r="337" spans="1:35" ht="15.75" customHeight="1">
      <c r="A337" s="317">
        <v>2212001075</v>
      </c>
      <c r="B337" s="239" t="s">
        <v>351</v>
      </c>
      <c r="C337" s="504" t="s">
        <v>8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10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10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10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10</v>
      </c>
      <c r="AF337" s="14">
        <v>0</v>
      </c>
      <c r="AG337" s="14">
        <v>0</v>
      </c>
      <c r="AH337" s="14">
        <v>0</v>
      </c>
      <c r="AI337" s="131">
        <f t="shared" si="1"/>
        <v>40</v>
      </c>
    </row>
    <row r="338" spans="1:35" ht="15.75" customHeight="1">
      <c r="A338" s="317">
        <v>2212001079</v>
      </c>
      <c r="B338" s="239" t="s">
        <v>352</v>
      </c>
      <c r="C338" s="504" t="s">
        <v>86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31">
        <f t="shared" si="1"/>
        <v>0</v>
      </c>
    </row>
    <row r="339" spans="1:35" ht="15.75" customHeight="1">
      <c r="A339" s="317">
        <v>2212001080</v>
      </c>
      <c r="B339" s="239" t="s">
        <v>353</v>
      </c>
      <c r="C339" s="504" t="s">
        <v>86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31">
        <f t="shared" si="1"/>
        <v>0</v>
      </c>
    </row>
    <row r="340" spans="1:35" ht="15.75" customHeight="1">
      <c r="A340" s="317">
        <v>2212001085</v>
      </c>
      <c r="B340" s="239" t="s">
        <v>354</v>
      </c>
      <c r="C340" s="504" t="s">
        <v>8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31">
        <f t="shared" si="1"/>
        <v>0</v>
      </c>
    </row>
    <row r="341" spans="1:35" ht="15.75" customHeight="1">
      <c r="A341" s="317">
        <v>2212001086</v>
      </c>
      <c r="B341" s="239" t="s">
        <v>355</v>
      </c>
      <c r="C341" s="504" t="s">
        <v>307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31">
        <f t="shared" si="1"/>
        <v>0</v>
      </c>
    </row>
    <row r="342" spans="1:35" ht="15.75" customHeight="1">
      <c r="A342" s="317">
        <v>2212001087</v>
      </c>
      <c r="B342" s="239" t="s">
        <v>356</v>
      </c>
      <c r="C342" s="504" t="s">
        <v>313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31">
        <f t="shared" si="1"/>
        <v>0</v>
      </c>
    </row>
    <row r="343" spans="1:35" ht="15.75" customHeight="1">
      <c r="A343" s="317">
        <v>2212001089</v>
      </c>
      <c r="B343" s="239" t="s">
        <v>357</v>
      </c>
      <c r="C343" s="504" t="s">
        <v>296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31">
        <f t="shared" si="1"/>
        <v>0</v>
      </c>
    </row>
    <row r="344" spans="1:35" ht="15.75" customHeight="1">
      <c r="A344" s="317">
        <v>2212001100</v>
      </c>
      <c r="B344" s="239" t="s">
        <v>358</v>
      </c>
      <c r="C344" s="504" t="s">
        <v>313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31">
        <f t="shared" si="1"/>
        <v>0</v>
      </c>
    </row>
    <row r="345" spans="1:35" ht="15.75" customHeight="1">
      <c r="A345" s="317">
        <v>2212001101</v>
      </c>
      <c r="B345" s="239" t="s">
        <v>359</v>
      </c>
      <c r="C345" s="504" t="s">
        <v>313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31">
        <f t="shared" si="1"/>
        <v>0</v>
      </c>
    </row>
    <row r="346" spans="1:35" ht="15.75" customHeight="1">
      <c r="A346" s="317">
        <v>2212001102</v>
      </c>
      <c r="B346" s="239" t="s">
        <v>360</v>
      </c>
      <c r="C346" s="504" t="s">
        <v>313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31">
        <f t="shared" si="1"/>
        <v>0</v>
      </c>
    </row>
    <row r="347" spans="1:35" ht="15.75" customHeight="1">
      <c r="A347" s="317">
        <v>2212001103</v>
      </c>
      <c r="B347" s="239" t="s">
        <v>361</v>
      </c>
      <c r="C347" s="504" t="s">
        <v>313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31">
        <f t="shared" si="1"/>
        <v>0</v>
      </c>
    </row>
    <row r="348" spans="1:35" ht="15.75" customHeight="1">
      <c r="A348" s="329">
        <v>2212001106</v>
      </c>
      <c r="B348" s="257" t="s">
        <v>362</v>
      </c>
      <c r="C348" s="523" t="s">
        <v>171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31">
        <f t="shared" si="1"/>
        <v>0</v>
      </c>
    </row>
    <row r="349" spans="1:35" ht="15.75" customHeight="1">
      <c r="A349" s="330">
        <v>2212001107</v>
      </c>
      <c r="B349" s="260" t="s">
        <v>363</v>
      </c>
      <c r="C349" s="526" t="s">
        <v>171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31">
        <f t="shared" si="1"/>
        <v>0</v>
      </c>
    </row>
    <row r="350" spans="1:35" ht="15.75" customHeight="1">
      <c r="A350" s="317">
        <v>2212001109</v>
      </c>
      <c r="B350" s="239" t="s">
        <v>364</v>
      </c>
      <c r="C350" s="504" t="s">
        <v>6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1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31">
        <f t="shared" si="1"/>
        <v>1</v>
      </c>
    </row>
    <row r="351" spans="1:35" ht="15.75" customHeight="1">
      <c r="A351" s="317">
        <v>2212001111</v>
      </c>
      <c r="B351" s="239" t="s">
        <v>365</v>
      </c>
      <c r="C351" s="504" t="s">
        <v>296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5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31">
        <f t="shared" si="1"/>
        <v>5</v>
      </c>
    </row>
    <row r="352" spans="1:35" ht="15.75" customHeight="1">
      <c r="A352" s="317">
        <v>2212001114</v>
      </c>
      <c r="B352" s="239" t="s">
        <v>366</v>
      </c>
      <c r="C352" s="504" t="s">
        <v>86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1</v>
      </c>
      <c r="J352" s="14">
        <v>1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1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1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1</v>
      </c>
      <c r="AF352" s="14">
        <v>0</v>
      </c>
      <c r="AG352" s="14">
        <v>0</v>
      </c>
      <c r="AH352" s="14">
        <v>0</v>
      </c>
      <c r="AI352" s="131">
        <f t="shared" si="1"/>
        <v>5</v>
      </c>
    </row>
    <row r="353" spans="1:35" ht="15.75" customHeight="1">
      <c r="A353" s="317">
        <v>2212001121</v>
      </c>
      <c r="B353" s="239" t="s">
        <v>367</v>
      </c>
      <c r="C353" s="504" t="s">
        <v>8</v>
      </c>
      <c r="D353" s="14">
        <v>50</v>
      </c>
      <c r="E353" s="14">
        <v>50</v>
      </c>
      <c r="F353" s="14">
        <v>50</v>
      </c>
      <c r="G353" s="14">
        <v>50</v>
      </c>
      <c r="H353" s="14">
        <v>50</v>
      </c>
      <c r="I353" s="14">
        <v>50</v>
      </c>
      <c r="J353" s="14">
        <v>50</v>
      </c>
      <c r="K353" s="14">
        <v>50</v>
      </c>
      <c r="L353" s="14">
        <v>50</v>
      </c>
      <c r="M353" s="14">
        <v>50</v>
      </c>
      <c r="N353" s="14">
        <v>50</v>
      </c>
      <c r="O353" s="14">
        <v>50</v>
      </c>
      <c r="P353" s="14">
        <v>50</v>
      </c>
      <c r="Q353" s="14">
        <v>50</v>
      </c>
      <c r="R353" s="14">
        <v>50</v>
      </c>
      <c r="S353" s="14">
        <v>50</v>
      </c>
      <c r="T353" s="14">
        <v>50</v>
      </c>
      <c r="U353" s="14">
        <v>50</v>
      </c>
      <c r="V353" s="14">
        <v>50</v>
      </c>
      <c r="W353" s="14">
        <v>50</v>
      </c>
      <c r="X353" s="14">
        <v>50</v>
      </c>
      <c r="Y353" s="14">
        <v>50</v>
      </c>
      <c r="Z353" s="14">
        <v>50</v>
      </c>
      <c r="AA353" s="14">
        <v>50</v>
      </c>
      <c r="AB353" s="14">
        <v>50</v>
      </c>
      <c r="AC353" s="14">
        <v>50</v>
      </c>
      <c r="AD353" s="14">
        <v>50</v>
      </c>
      <c r="AE353" s="14">
        <v>50</v>
      </c>
      <c r="AF353" s="14">
        <v>50</v>
      </c>
      <c r="AG353" s="14">
        <v>50</v>
      </c>
      <c r="AH353" s="14">
        <v>50</v>
      </c>
      <c r="AI353" s="131">
        <f t="shared" si="1"/>
        <v>1550</v>
      </c>
    </row>
    <row r="354" spans="1:35" ht="15.75" customHeight="1">
      <c r="A354" s="317">
        <v>2212001122</v>
      </c>
      <c r="B354" s="239" t="s">
        <v>368</v>
      </c>
      <c r="C354" s="504" t="s">
        <v>296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2</v>
      </c>
      <c r="J354" s="14">
        <v>3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3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1</v>
      </c>
      <c r="X354" s="14">
        <v>3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3</v>
      </c>
      <c r="AF354" s="14">
        <v>0</v>
      </c>
      <c r="AG354" s="14">
        <v>0</v>
      </c>
      <c r="AH354" s="14">
        <v>0</v>
      </c>
      <c r="AI354" s="131">
        <f t="shared" si="1"/>
        <v>15</v>
      </c>
    </row>
    <row r="355" spans="1:35" ht="15.75" customHeight="1">
      <c r="A355" s="317">
        <v>2212001123</v>
      </c>
      <c r="B355" s="239" t="s">
        <v>369</v>
      </c>
      <c r="C355" s="504" t="s">
        <v>171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1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1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1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1</v>
      </c>
      <c r="AE355" s="14">
        <v>0</v>
      </c>
      <c r="AF355" s="14">
        <v>0</v>
      </c>
      <c r="AG355" s="14">
        <v>0</v>
      </c>
      <c r="AH355" s="14">
        <v>0</v>
      </c>
      <c r="AI355" s="131">
        <f t="shared" si="1"/>
        <v>4</v>
      </c>
    </row>
    <row r="356" spans="1:35" ht="15.75" customHeight="1">
      <c r="A356" s="317">
        <v>2212001125</v>
      </c>
      <c r="B356" s="239" t="s">
        <v>370</v>
      </c>
      <c r="C356" s="504" t="s">
        <v>8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31">
        <f t="shared" si="1"/>
        <v>0</v>
      </c>
    </row>
    <row r="357" spans="1:35" ht="15.75" customHeight="1">
      <c r="A357" s="317">
        <v>2212001126</v>
      </c>
      <c r="B357" s="239" t="s">
        <v>371</v>
      </c>
      <c r="C357" s="504" t="s">
        <v>8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30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31">
        <f t="shared" si="1"/>
        <v>30</v>
      </c>
    </row>
    <row r="358" spans="1:35" ht="15.75" customHeight="1">
      <c r="A358" s="317">
        <v>2212001129</v>
      </c>
      <c r="B358" s="239" t="s">
        <v>372</v>
      </c>
      <c r="C358" s="504" t="s">
        <v>313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31">
        <f t="shared" si="1"/>
        <v>0</v>
      </c>
    </row>
    <row r="359" spans="1:35" ht="15.75" customHeight="1">
      <c r="A359" s="317">
        <v>2212001130</v>
      </c>
      <c r="B359" s="239" t="s">
        <v>373</v>
      </c>
      <c r="C359" s="504" t="s">
        <v>171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1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31">
        <f t="shared" si="1"/>
        <v>1</v>
      </c>
    </row>
    <row r="360" spans="1:35" ht="15.75" customHeight="1">
      <c r="A360" s="317">
        <v>2212001133</v>
      </c>
      <c r="B360" s="239" t="s">
        <v>374</v>
      </c>
      <c r="C360" s="504" t="s">
        <v>267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1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1</v>
      </c>
      <c r="AF360" s="14">
        <v>0</v>
      </c>
      <c r="AG360" s="14">
        <v>0</v>
      </c>
      <c r="AH360" s="14">
        <v>0</v>
      </c>
      <c r="AI360" s="131">
        <f t="shared" si="1"/>
        <v>2</v>
      </c>
    </row>
    <row r="361" spans="1:35" ht="15.75" customHeight="1">
      <c r="A361" s="317">
        <v>2212001144</v>
      </c>
      <c r="B361" s="239" t="s">
        <v>375</v>
      </c>
      <c r="C361" s="504" t="s">
        <v>171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3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3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3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3</v>
      </c>
      <c r="AF361" s="14">
        <v>0</v>
      </c>
      <c r="AG361" s="14">
        <v>0</v>
      </c>
      <c r="AH361" s="14">
        <v>0</v>
      </c>
      <c r="AI361" s="131">
        <f t="shared" si="1"/>
        <v>12</v>
      </c>
    </row>
    <row r="362" spans="1:35" ht="15.75" customHeight="1">
      <c r="A362" s="340">
        <v>2212001146</v>
      </c>
      <c r="B362" s="263" t="s">
        <v>376</v>
      </c>
      <c r="C362" s="526" t="s">
        <v>296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31">
        <f t="shared" si="1"/>
        <v>0</v>
      </c>
    </row>
    <row r="363" spans="1:35" ht="15.75" customHeight="1">
      <c r="A363" s="317">
        <v>2212001151</v>
      </c>
      <c r="B363" s="239" t="s">
        <v>377</v>
      </c>
      <c r="C363" s="504" t="s">
        <v>267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31">
        <f t="shared" si="1"/>
        <v>0</v>
      </c>
    </row>
    <row r="364" spans="1:35" ht="15.75" customHeight="1">
      <c r="A364" s="317">
        <v>2212001152</v>
      </c>
      <c r="B364" s="239" t="s">
        <v>378</v>
      </c>
      <c r="C364" s="504" t="s">
        <v>379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50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31">
        <f t="shared" si="1"/>
        <v>50</v>
      </c>
    </row>
    <row r="365" spans="1:35" ht="15.75" customHeight="1">
      <c r="A365" s="317">
        <v>2212001155</v>
      </c>
      <c r="B365" s="239" t="s">
        <v>380</v>
      </c>
      <c r="C365" s="504" t="s">
        <v>177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12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12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12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12</v>
      </c>
      <c r="AF365" s="14">
        <v>0</v>
      </c>
      <c r="AG365" s="14">
        <v>0</v>
      </c>
      <c r="AH365" s="14">
        <v>0</v>
      </c>
      <c r="AI365" s="131">
        <f t="shared" si="1"/>
        <v>48</v>
      </c>
    </row>
    <row r="366" spans="1:35" ht="15.75" customHeight="1">
      <c r="A366" s="317">
        <v>2212001159</v>
      </c>
      <c r="B366" s="239" t="s">
        <v>381</v>
      </c>
      <c r="C366" s="504" t="s">
        <v>175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1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1</v>
      </c>
      <c r="AF366" s="14">
        <v>0</v>
      </c>
      <c r="AG366" s="14">
        <v>0</v>
      </c>
      <c r="AH366" s="14">
        <v>0</v>
      </c>
      <c r="AI366" s="131">
        <f t="shared" si="1"/>
        <v>2</v>
      </c>
    </row>
    <row r="367" spans="1:35" ht="15.75" customHeight="1">
      <c r="A367" s="317">
        <v>2212001162</v>
      </c>
      <c r="B367" s="239" t="s">
        <v>382</v>
      </c>
      <c r="C367" s="504" t="s">
        <v>86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1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31">
        <f t="shared" si="1"/>
        <v>1</v>
      </c>
    </row>
    <row r="368" spans="1:35" ht="15.75" customHeight="1">
      <c r="A368" s="317">
        <v>2212001163</v>
      </c>
      <c r="B368" s="239" t="s">
        <v>383</v>
      </c>
      <c r="C368" s="504" t="s">
        <v>384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31">
        <f t="shared" si="1"/>
        <v>0</v>
      </c>
    </row>
    <row r="369" spans="1:35" ht="15.75" customHeight="1">
      <c r="A369" s="317">
        <v>2212001164</v>
      </c>
      <c r="B369" s="239" t="s">
        <v>385</v>
      </c>
      <c r="C369" s="504" t="s">
        <v>86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31">
        <f t="shared" si="1"/>
        <v>0</v>
      </c>
    </row>
    <row r="370" spans="1:35" ht="15.75" customHeight="1">
      <c r="A370" s="317">
        <v>2212001165</v>
      </c>
      <c r="B370" s="239" t="s">
        <v>386</v>
      </c>
      <c r="C370" s="504" t="s">
        <v>6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31">
        <f t="shared" si="1"/>
        <v>0</v>
      </c>
    </row>
    <row r="371" spans="1:35" ht="15.75" customHeight="1">
      <c r="A371" s="317">
        <v>2212001167</v>
      </c>
      <c r="B371" s="239" t="s">
        <v>387</v>
      </c>
      <c r="C371" s="504" t="s">
        <v>388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31">
        <f t="shared" si="1"/>
        <v>0</v>
      </c>
    </row>
    <row r="372" spans="1:35" ht="15.75" customHeight="1">
      <c r="A372" s="317">
        <v>2212001172</v>
      </c>
      <c r="B372" s="239" t="s">
        <v>389</v>
      </c>
      <c r="C372" s="504" t="s">
        <v>177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1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31">
        <f t="shared" si="1"/>
        <v>2</v>
      </c>
    </row>
    <row r="373" spans="1:35" ht="15.75" customHeight="1">
      <c r="A373" s="317">
        <v>2212001173</v>
      </c>
      <c r="B373" s="239" t="s">
        <v>390</v>
      </c>
      <c r="C373" s="504" t="s">
        <v>267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1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31">
        <f t="shared" si="1"/>
        <v>1</v>
      </c>
    </row>
    <row r="374" spans="1:35" ht="15.75" customHeight="1">
      <c r="A374" s="317">
        <v>2212001174</v>
      </c>
      <c r="B374" s="239" t="s">
        <v>391</v>
      </c>
      <c r="C374" s="504" t="s">
        <v>267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1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31">
        <f t="shared" si="1"/>
        <v>1</v>
      </c>
    </row>
    <row r="375" spans="1:35" ht="15.75" customHeight="1">
      <c r="A375" s="317">
        <v>2212001175</v>
      </c>
      <c r="B375" s="239" t="s">
        <v>392</v>
      </c>
      <c r="C375" s="504" t="s">
        <v>267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31">
        <f t="shared" si="1"/>
        <v>0</v>
      </c>
    </row>
    <row r="376" spans="1:35" ht="15.75" customHeight="1">
      <c r="A376" s="317">
        <v>2212001186</v>
      </c>
      <c r="B376" s="239" t="s">
        <v>393</v>
      </c>
      <c r="C376" s="504" t="s">
        <v>296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31">
        <f t="shared" si="1"/>
        <v>0</v>
      </c>
    </row>
    <row r="377" spans="1:35" ht="15.75" customHeight="1">
      <c r="A377" s="317">
        <v>2212001187</v>
      </c>
      <c r="B377" s="239" t="s">
        <v>394</v>
      </c>
      <c r="C377" s="504" t="s">
        <v>86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31">
        <f t="shared" si="1"/>
        <v>1</v>
      </c>
    </row>
    <row r="378" spans="1:35" ht="15.75" customHeight="1">
      <c r="A378" s="317">
        <v>2212001189</v>
      </c>
      <c r="B378" s="239" t="s">
        <v>395</v>
      </c>
      <c r="C378" s="504" t="s">
        <v>6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31">
        <f t="shared" si="1"/>
        <v>0</v>
      </c>
    </row>
    <row r="379" spans="1:35" ht="15.75" customHeight="1">
      <c r="A379" s="317">
        <v>2212001190</v>
      </c>
      <c r="B379" s="239" t="s">
        <v>396</v>
      </c>
      <c r="C379" s="504" t="s">
        <v>6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31">
        <f t="shared" si="1"/>
        <v>0</v>
      </c>
    </row>
    <row r="380" spans="1:35" ht="15.75" customHeight="1">
      <c r="A380" s="317">
        <v>2212001191</v>
      </c>
      <c r="B380" s="239" t="s">
        <v>397</v>
      </c>
      <c r="C380" s="504" t="s">
        <v>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31">
        <f t="shared" si="1"/>
        <v>0</v>
      </c>
    </row>
    <row r="381" spans="1:35" ht="15.75" customHeight="1">
      <c r="A381" s="317">
        <v>2212001193</v>
      </c>
      <c r="B381" s="239" t="s">
        <v>398</v>
      </c>
      <c r="C381" s="504" t="s">
        <v>8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31">
        <f t="shared" si="1"/>
        <v>0</v>
      </c>
    </row>
    <row r="382" spans="1:35" ht="15.75" customHeight="1">
      <c r="A382" s="317">
        <v>2212001194</v>
      </c>
      <c r="B382" s="271" t="s">
        <v>399</v>
      </c>
      <c r="C382" s="526" t="s">
        <v>384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31">
        <f t="shared" si="1"/>
        <v>0</v>
      </c>
    </row>
    <row r="383" spans="1:35" ht="15.75" customHeight="1">
      <c r="A383" s="317">
        <v>2212003016</v>
      </c>
      <c r="B383" s="239" t="s">
        <v>400</v>
      </c>
      <c r="C383" s="504" t="s">
        <v>171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31">
        <f t="shared" si="1"/>
        <v>0</v>
      </c>
    </row>
    <row r="384" spans="1:35" ht="15.75" customHeight="1">
      <c r="A384" s="535">
        <v>2212008048</v>
      </c>
      <c r="B384" s="275" t="s">
        <v>401</v>
      </c>
      <c r="C384" s="536" t="s">
        <v>8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1</v>
      </c>
      <c r="Q384" s="14">
        <v>1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537">
        <f t="shared" si="1"/>
        <v>2</v>
      </c>
    </row>
    <row r="385" spans="1:35" ht="15.75" customHeight="1">
      <c r="A385" s="538"/>
      <c r="B385" s="292"/>
      <c r="C385" s="539"/>
      <c r="D385" s="294"/>
      <c r="E385" s="294"/>
      <c r="F385" s="294"/>
      <c r="G385" s="294"/>
      <c r="H385" s="294"/>
      <c r="I385" s="294"/>
      <c r="J385" s="294"/>
      <c r="K385" s="294"/>
      <c r="L385" s="294"/>
      <c r="M385" s="294"/>
      <c r="N385" s="294"/>
      <c r="O385" s="294"/>
      <c r="P385" s="294"/>
      <c r="Q385" s="294"/>
      <c r="R385" s="540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  <c r="AC385" s="294"/>
      <c r="AD385" s="294"/>
      <c r="AE385" s="294"/>
      <c r="AF385" s="294"/>
      <c r="AG385" s="294"/>
      <c r="AH385" s="294"/>
      <c r="AI385" s="541"/>
    </row>
    <row r="386" spans="1:35" ht="15.75" customHeight="1">
      <c r="A386" s="291"/>
      <c r="B386" s="296"/>
      <c r="C386" s="542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543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  <c r="AH386" s="298"/>
      <c r="AI386" s="544"/>
    </row>
    <row r="387" spans="1:35" ht="15.75" customHeight="1"/>
    <row r="388" spans="1:35" ht="15.75" customHeight="1"/>
    <row r="389" spans="1:35" ht="15.75" customHeight="1"/>
    <row r="390" spans="1:35" ht="15.75" customHeight="1"/>
    <row r="391" spans="1:35" ht="15.75" customHeight="1"/>
    <row r="392" spans="1:35" ht="15.75" customHeight="1"/>
    <row r="393" spans="1:35" ht="15.75" customHeight="1"/>
    <row r="394" spans="1:35" ht="15.75" customHeight="1"/>
    <row r="395" spans="1:35" ht="15.75" customHeight="1"/>
    <row r="396" spans="1:35" ht="15.75" customHeight="1"/>
    <row r="397" spans="1:35" ht="15.75" customHeight="1"/>
    <row r="398" spans="1:35" ht="15.75" customHeight="1"/>
    <row r="399" spans="1:35" ht="15.75" customHeight="1"/>
    <row r="400" spans="1:35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8">
    <mergeCell ref="A153:C153"/>
    <mergeCell ref="A35:C35"/>
    <mergeCell ref="A90:C90"/>
    <mergeCell ref="A112:C112"/>
    <mergeCell ref="A132:C132"/>
    <mergeCell ref="A142:C142"/>
    <mergeCell ref="A164:C164"/>
    <mergeCell ref="A190:C190"/>
    <mergeCell ref="A225:C225"/>
    <mergeCell ref="A262:C262"/>
    <mergeCell ref="A281:C281"/>
    <mergeCell ref="D3:AI3"/>
    <mergeCell ref="A1:A2"/>
    <mergeCell ref="B1:B2"/>
    <mergeCell ref="C1:C2"/>
    <mergeCell ref="D1:D2"/>
    <mergeCell ref="E1:E2"/>
    <mergeCell ref="F1:F2"/>
    <mergeCell ref="G1:G2"/>
    <mergeCell ref="A3:C3"/>
    <mergeCell ref="AI1:AI2"/>
    <mergeCell ref="V1:V2"/>
    <mergeCell ref="W1:W2"/>
    <mergeCell ref="X1:X2"/>
    <mergeCell ref="Y1:Y2"/>
    <mergeCell ref="Z1:Z2"/>
    <mergeCell ref="AA1:AA2"/>
    <mergeCell ref="AB1:AB2"/>
    <mergeCell ref="AD1:AD2"/>
    <mergeCell ref="AE1:AE2"/>
    <mergeCell ref="AF1:AF2"/>
    <mergeCell ref="AG1:AG2"/>
    <mergeCell ref="AH1:AH2"/>
    <mergeCell ref="R1:R2"/>
    <mergeCell ref="S1:S2"/>
    <mergeCell ref="T1:T2"/>
    <mergeCell ref="U1:U2"/>
    <mergeCell ref="AC1:AC2"/>
    <mergeCell ref="M1:M2"/>
    <mergeCell ref="N1:N2"/>
    <mergeCell ref="O1:O2"/>
    <mergeCell ref="P1:P2"/>
    <mergeCell ref="Q1:Q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  <outlinePr summaryBelow="0" summaryRight="0"/>
  </sheetPr>
  <dimension ref="A1:AI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/>
  <cols>
    <col min="1" max="1" width="10.85546875" customWidth="1"/>
    <col min="2" max="2" width="48.42578125" customWidth="1"/>
    <col min="3" max="3" width="6.42578125" customWidth="1"/>
    <col min="4" max="5" width="4.7109375" customWidth="1"/>
    <col min="6" max="7" width="3.5703125" customWidth="1"/>
    <col min="8" max="8" width="6.42578125" customWidth="1"/>
    <col min="9" max="34" width="3.5703125" customWidth="1"/>
    <col min="35" max="35" width="7.42578125" customWidth="1"/>
  </cols>
  <sheetData>
    <row r="1" spans="1:35" ht="15.75" customHeight="1">
      <c r="A1" s="647" t="s">
        <v>2</v>
      </c>
      <c r="B1" s="649" t="s">
        <v>0</v>
      </c>
      <c r="C1" s="649" t="s">
        <v>1</v>
      </c>
      <c r="D1" s="651">
        <v>1</v>
      </c>
      <c r="E1" s="653">
        <v>2</v>
      </c>
      <c r="F1" s="653">
        <v>3</v>
      </c>
      <c r="G1" s="653">
        <v>4</v>
      </c>
      <c r="H1" s="653">
        <v>5</v>
      </c>
      <c r="I1" s="653">
        <v>6</v>
      </c>
      <c r="J1" s="653">
        <v>7</v>
      </c>
      <c r="K1" s="653">
        <v>8</v>
      </c>
      <c r="L1" s="653">
        <v>9</v>
      </c>
      <c r="M1" s="653">
        <v>10</v>
      </c>
      <c r="N1" s="653">
        <v>11</v>
      </c>
      <c r="O1" s="653">
        <v>12</v>
      </c>
      <c r="P1" s="653">
        <v>13</v>
      </c>
      <c r="Q1" s="653">
        <v>14</v>
      </c>
      <c r="R1" s="653">
        <v>15</v>
      </c>
      <c r="S1" s="653">
        <v>16</v>
      </c>
      <c r="T1" s="653">
        <v>17</v>
      </c>
      <c r="U1" s="653">
        <v>18</v>
      </c>
      <c r="V1" s="653">
        <v>19</v>
      </c>
      <c r="W1" s="653">
        <v>20</v>
      </c>
      <c r="X1" s="653">
        <v>21</v>
      </c>
      <c r="Y1" s="653">
        <v>22</v>
      </c>
      <c r="Z1" s="653">
        <v>23</v>
      </c>
      <c r="AA1" s="653">
        <v>24</v>
      </c>
      <c r="AB1" s="653">
        <v>25</v>
      </c>
      <c r="AC1" s="653">
        <v>26</v>
      </c>
      <c r="AD1" s="653">
        <v>27</v>
      </c>
      <c r="AE1" s="653">
        <v>28</v>
      </c>
      <c r="AF1" s="653">
        <v>29</v>
      </c>
      <c r="AG1" s="653">
        <v>30</v>
      </c>
      <c r="AH1" s="655">
        <v>31</v>
      </c>
      <c r="AI1" s="657" t="s">
        <v>3</v>
      </c>
    </row>
    <row r="2" spans="1:35" ht="13.5" customHeight="1">
      <c r="A2" s="648"/>
      <c r="B2" s="650"/>
      <c r="C2" s="650"/>
      <c r="D2" s="652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654"/>
      <c r="Z2" s="654"/>
      <c r="AA2" s="654"/>
      <c r="AB2" s="654"/>
      <c r="AC2" s="654"/>
      <c r="AD2" s="654"/>
      <c r="AE2" s="654"/>
      <c r="AF2" s="654"/>
      <c r="AG2" s="654"/>
      <c r="AH2" s="656"/>
      <c r="AI2" s="601"/>
    </row>
    <row r="3" spans="1:35" ht="15.75" customHeight="1">
      <c r="A3" s="658" t="s">
        <v>422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7"/>
    </row>
    <row r="4" spans="1:35" ht="25.5" customHeight="1">
      <c r="A4" s="359">
        <v>2212001170</v>
      </c>
      <c r="B4" s="360" t="s">
        <v>403</v>
      </c>
      <c r="C4" s="361" t="s">
        <v>219</v>
      </c>
      <c r="D4" s="362"/>
      <c r="E4" s="363"/>
      <c r="F4" s="364"/>
      <c r="G4" s="364"/>
      <c r="H4" s="364"/>
      <c r="I4" s="364"/>
      <c r="J4" s="365"/>
      <c r="K4" s="365"/>
      <c r="L4" s="365"/>
      <c r="M4" s="365"/>
      <c r="N4" s="365"/>
      <c r="O4" s="365"/>
      <c r="P4" s="365"/>
      <c r="Q4" s="365"/>
      <c r="R4" s="365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7"/>
      <c r="AI4" s="368">
        <f t="shared" ref="AI4:AI19" si="0">SUM(D4:AH4)</f>
        <v>0</v>
      </c>
    </row>
    <row r="5" spans="1:35" ht="39.75" customHeight="1">
      <c r="A5" s="369">
        <v>2212001181</v>
      </c>
      <c r="B5" s="370" t="s">
        <v>404</v>
      </c>
      <c r="C5" s="371" t="s">
        <v>6</v>
      </c>
      <c r="D5" s="372"/>
      <c r="E5" s="373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6"/>
      <c r="T5" s="376"/>
      <c r="U5" s="376"/>
      <c r="V5" s="376"/>
      <c r="W5" s="376"/>
      <c r="X5" s="376"/>
      <c r="Y5" s="376"/>
      <c r="Z5" s="376"/>
      <c r="AA5" s="376"/>
      <c r="AB5" s="376"/>
      <c r="AC5" s="376"/>
      <c r="AD5" s="376"/>
      <c r="AE5" s="376"/>
      <c r="AF5" s="376"/>
      <c r="AG5" s="376"/>
      <c r="AH5" s="377"/>
      <c r="AI5" s="368">
        <f t="shared" si="0"/>
        <v>0</v>
      </c>
    </row>
    <row r="6" spans="1:35" ht="41.25" customHeight="1">
      <c r="A6" s="369">
        <v>2212004036</v>
      </c>
      <c r="B6" s="370" t="s">
        <v>405</v>
      </c>
      <c r="C6" s="371" t="s">
        <v>296</v>
      </c>
      <c r="D6" s="378"/>
      <c r="E6" s="363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  <c r="AD6" s="379"/>
      <c r="AE6" s="379"/>
      <c r="AF6" s="379"/>
      <c r="AG6" s="379"/>
      <c r="AH6" s="380"/>
      <c r="AI6" s="368">
        <f t="shared" si="0"/>
        <v>0</v>
      </c>
    </row>
    <row r="7" spans="1:35" ht="27" customHeight="1">
      <c r="A7" s="369">
        <v>2212005043</v>
      </c>
      <c r="B7" s="370" t="s">
        <v>406</v>
      </c>
      <c r="C7" s="371" t="s">
        <v>8</v>
      </c>
      <c r="D7" s="372"/>
      <c r="E7" s="373"/>
      <c r="F7" s="381"/>
      <c r="G7" s="374"/>
      <c r="H7" s="382">
        <v>1200</v>
      </c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6"/>
      <c r="T7" s="376"/>
      <c r="U7" s="376"/>
      <c r="V7" s="376"/>
      <c r="W7" s="376"/>
      <c r="X7" s="376"/>
      <c r="Y7" s="376"/>
      <c r="Z7" s="376"/>
      <c r="AA7" s="376"/>
      <c r="AB7" s="376"/>
      <c r="AC7" s="376"/>
      <c r="AD7" s="376"/>
      <c r="AE7" s="376"/>
      <c r="AF7" s="376"/>
      <c r="AG7" s="376"/>
      <c r="AH7" s="377"/>
      <c r="AI7" s="368">
        <f t="shared" si="0"/>
        <v>1200</v>
      </c>
    </row>
    <row r="8" spans="1:35" ht="25.5" customHeight="1">
      <c r="A8" s="369">
        <v>2212012004</v>
      </c>
      <c r="B8" s="370" t="s">
        <v>407</v>
      </c>
      <c r="C8" s="371" t="s">
        <v>423</v>
      </c>
      <c r="D8" s="378"/>
      <c r="E8" s="383"/>
      <c r="F8" s="384"/>
      <c r="G8" s="364"/>
      <c r="H8" s="386">
        <v>1504</v>
      </c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79"/>
      <c r="AD8" s="379"/>
      <c r="AE8" s="379"/>
      <c r="AF8" s="379"/>
      <c r="AG8" s="379"/>
      <c r="AH8" s="380"/>
      <c r="AI8" s="368">
        <f t="shared" si="0"/>
        <v>1504</v>
      </c>
    </row>
    <row r="9" spans="1:35" ht="17.25" customHeight="1">
      <c r="A9" s="369">
        <v>2212012005</v>
      </c>
      <c r="B9" s="370" t="s">
        <v>408</v>
      </c>
      <c r="C9" s="371" t="s">
        <v>296</v>
      </c>
      <c r="D9" s="372"/>
      <c r="E9" s="351"/>
      <c r="F9" s="374"/>
      <c r="G9" s="387"/>
      <c r="H9" s="351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6"/>
      <c r="T9" s="376"/>
      <c r="U9" s="376"/>
      <c r="V9" s="376"/>
      <c r="W9" s="376"/>
      <c r="X9" s="376"/>
      <c r="Y9" s="376"/>
      <c r="Z9" s="376"/>
      <c r="AA9" s="376"/>
      <c r="AB9" s="376"/>
      <c r="AC9" s="376"/>
      <c r="AD9" s="376"/>
      <c r="AE9" s="376"/>
      <c r="AF9" s="376"/>
      <c r="AG9" s="376"/>
      <c r="AH9" s="377"/>
      <c r="AI9" s="368">
        <f t="shared" si="0"/>
        <v>0</v>
      </c>
    </row>
    <row r="10" spans="1:35" ht="15.75" customHeight="1">
      <c r="A10" s="369">
        <v>2212012007</v>
      </c>
      <c r="B10" s="370" t="s">
        <v>409</v>
      </c>
      <c r="C10" s="371" t="s">
        <v>296</v>
      </c>
      <c r="D10" s="378"/>
      <c r="E10" s="383"/>
      <c r="F10" s="364"/>
      <c r="G10" s="389"/>
      <c r="H10" s="363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C10" s="379"/>
      <c r="AD10" s="379"/>
      <c r="AE10" s="379"/>
      <c r="AF10" s="379"/>
      <c r="AG10" s="379"/>
      <c r="AH10" s="380"/>
      <c r="AI10" s="368">
        <f t="shared" si="0"/>
        <v>0</v>
      </c>
    </row>
    <row r="11" spans="1:35" ht="27.75" customHeight="1">
      <c r="A11" s="369">
        <v>2212012008</v>
      </c>
      <c r="B11" s="370" t="s">
        <v>410</v>
      </c>
      <c r="C11" s="371" t="s">
        <v>296</v>
      </c>
      <c r="D11" s="372"/>
      <c r="E11" s="373"/>
      <c r="F11" s="374"/>
      <c r="G11" s="391"/>
      <c r="H11" s="373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6"/>
      <c r="T11" s="376"/>
      <c r="U11" s="376"/>
      <c r="V11" s="376"/>
      <c r="W11" s="376"/>
      <c r="X11" s="376"/>
      <c r="Y11" s="376"/>
      <c r="Z11" s="376"/>
      <c r="AA11" s="376"/>
      <c r="AB11" s="376"/>
      <c r="AC11" s="376"/>
      <c r="AD11" s="376"/>
      <c r="AE11" s="376"/>
      <c r="AF11" s="376"/>
      <c r="AG11" s="376"/>
      <c r="AH11" s="377"/>
      <c r="AI11" s="368">
        <f t="shared" si="0"/>
        <v>0</v>
      </c>
    </row>
    <row r="12" spans="1:35" ht="30" customHeight="1">
      <c r="A12" s="369">
        <v>2212012009</v>
      </c>
      <c r="B12" s="370" t="s">
        <v>411</v>
      </c>
      <c r="C12" s="371" t="s">
        <v>296</v>
      </c>
      <c r="D12" s="378"/>
      <c r="E12" s="383"/>
      <c r="F12" s="364"/>
      <c r="G12" s="393"/>
      <c r="H12" s="326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80"/>
      <c r="AI12" s="368">
        <f t="shared" si="0"/>
        <v>0</v>
      </c>
    </row>
    <row r="13" spans="1:35" ht="20.25" customHeight="1">
      <c r="A13" s="369">
        <v>2212012010</v>
      </c>
      <c r="B13" s="370" t="s">
        <v>412</v>
      </c>
      <c r="C13" s="371" t="s">
        <v>296</v>
      </c>
      <c r="D13" s="372"/>
      <c r="E13" s="351"/>
      <c r="F13" s="374"/>
      <c r="G13" s="387"/>
      <c r="H13" s="351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6"/>
      <c r="T13" s="376"/>
      <c r="U13" s="376"/>
      <c r="V13" s="376"/>
      <c r="W13" s="376"/>
      <c r="X13" s="376"/>
      <c r="Y13" s="376"/>
      <c r="Z13" s="376"/>
      <c r="AA13" s="376"/>
      <c r="AB13" s="376"/>
      <c r="AC13" s="376"/>
      <c r="AD13" s="376"/>
      <c r="AE13" s="376"/>
      <c r="AF13" s="376"/>
      <c r="AG13" s="376"/>
      <c r="AH13" s="377"/>
      <c r="AI13" s="368">
        <f t="shared" si="0"/>
        <v>0</v>
      </c>
    </row>
    <row r="14" spans="1:35" ht="25.5" customHeight="1">
      <c r="A14" s="369">
        <v>2212012011</v>
      </c>
      <c r="B14" s="370" t="s">
        <v>413</v>
      </c>
      <c r="C14" s="371" t="s">
        <v>296</v>
      </c>
      <c r="D14" s="378"/>
      <c r="E14" s="326"/>
      <c r="F14" s="364"/>
      <c r="G14" s="389"/>
      <c r="H14" s="326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380"/>
      <c r="AI14" s="368">
        <f t="shared" si="0"/>
        <v>0</v>
      </c>
    </row>
    <row r="15" spans="1:35" ht="23.25" customHeight="1">
      <c r="A15" s="394">
        <v>2212012012</v>
      </c>
      <c r="B15" s="395" t="s">
        <v>414</v>
      </c>
      <c r="C15" s="396" t="s">
        <v>296</v>
      </c>
      <c r="D15" s="397"/>
      <c r="E15" s="398"/>
      <c r="F15" s="399"/>
      <c r="G15" s="400"/>
      <c r="H15" s="398"/>
      <c r="I15" s="399"/>
      <c r="J15" s="399"/>
      <c r="K15" s="399"/>
      <c r="L15" s="399"/>
      <c r="M15" s="399"/>
      <c r="N15" s="399"/>
      <c r="O15" s="399"/>
      <c r="P15" s="399"/>
      <c r="Q15" s="399"/>
      <c r="R15" s="399"/>
      <c r="S15" s="401"/>
      <c r="T15" s="401"/>
      <c r="U15" s="401"/>
      <c r="V15" s="401"/>
      <c r="W15" s="401"/>
      <c r="X15" s="401"/>
      <c r="Y15" s="401"/>
      <c r="Z15" s="401"/>
      <c r="AA15" s="401"/>
      <c r="AB15" s="401"/>
      <c r="AC15" s="401"/>
      <c r="AD15" s="401"/>
      <c r="AE15" s="401"/>
      <c r="AF15" s="401"/>
      <c r="AG15" s="401"/>
      <c r="AH15" s="402"/>
      <c r="AI15" s="403">
        <f t="shared" si="0"/>
        <v>0</v>
      </c>
    </row>
    <row r="16" spans="1:35" ht="27.75" customHeight="1">
      <c r="A16" s="394">
        <v>2212012013</v>
      </c>
      <c r="B16" s="395" t="s">
        <v>415</v>
      </c>
      <c r="C16" s="396" t="s">
        <v>296</v>
      </c>
      <c r="D16" s="404"/>
      <c r="E16" s="405"/>
      <c r="F16" s="407"/>
      <c r="G16" s="407"/>
      <c r="H16" s="405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1"/>
      <c r="T16" s="401"/>
      <c r="U16" s="401"/>
      <c r="V16" s="401"/>
      <c r="W16" s="401"/>
      <c r="X16" s="401"/>
      <c r="Y16" s="401"/>
      <c r="Z16" s="401"/>
      <c r="AA16" s="401"/>
      <c r="AB16" s="401"/>
      <c r="AC16" s="401"/>
      <c r="AD16" s="401"/>
      <c r="AE16" s="401"/>
      <c r="AF16" s="401"/>
      <c r="AG16" s="401"/>
      <c r="AH16" s="402"/>
      <c r="AI16" s="403">
        <f t="shared" si="0"/>
        <v>0</v>
      </c>
    </row>
    <row r="17" spans="1:35" ht="23.25" customHeight="1">
      <c r="A17" s="409">
        <v>2212012014</v>
      </c>
      <c r="B17" s="410" t="s">
        <v>416</v>
      </c>
      <c r="C17" s="411" t="s">
        <v>296</v>
      </c>
      <c r="D17" s="412"/>
      <c r="E17" s="413"/>
      <c r="F17" s="399"/>
      <c r="G17" s="399"/>
      <c r="H17" s="413"/>
      <c r="I17" s="399"/>
      <c r="J17" s="415"/>
      <c r="K17" s="415"/>
      <c r="L17" s="415"/>
      <c r="M17" s="415"/>
      <c r="N17" s="415"/>
      <c r="O17" s="415"/>
      <c r="P17" s="415"/>
      <c r="Q17" s="415"/>
      <c r="R17" s="415"/>
      <c r="S17" s="416"/>
      <c r="T17" s="416"/>
      <c r="U17" s="416"/>
      <c r="V17" s="416"/>
      <c r="W17" s="416"/>
      <c r="X17" s="416"/>
      <c r="Y17" s="416"/>
      <c r="Z17" s="416"/>
      <c r="AA17" s="416"/>
      <c r="AB17" s="416"/>
      <c r="AC17" s="416"/>
      <c r="AD17" s="416"/>
      <c r="AE17" s="416"/>
      <c r="AF17" s="416"/>
      <c r="AG17" s="416"/>
      <c r="AH17" s="417"/>
      <c r="AI17" s="403">
        <f t="shared" si="0"/>
        <v>0</v>
      </c>
    </row>
    <row r="18" spans="1:35" ht="23.25" customHeight="1">
      <c r="A18" s="409">
        <v>2212012015</v>
      </c>
      <c r="B18" s="410" t="s">
        <v>417</v>
      </c>
      <c r="C18" s="411" t="s">
        <v>296</v>
      </c>
      <c r="D18" s="418"/>
      <c r="E18" s="405"/>
      <c r="F18" s="407"/>
      <c r="G18" s="407"/>
      <c r="H18" s="405"/>
      <c r="I18" s="407"/>
      <c r="J18" s="420"/>
      <c r="K18" s="420"/>
      <c r="L18" s="420"/>
      <c r="M18" s="420"/>
      <c r="N18" s="420"/>
      <c r="O18" s="420"/>
      <c r="P18" s="420"/>
      <c r="Q18" s="420"/>
      <c r="R18" s="420"/>
      <c r="S18" s="416"/>
      <c r="T18" s="416"/>
      <c r="U18" s="416"/>
      <c r="V18" s="416"/>
      <c r="W18" s="416"/>
      <c r="X18" s="416"/>
      <c r="Y18" s="416"/>
      <c r="Z18" s="416"/>
      <c r="AA18" s="416"/>
      <c r="AB18" s="416"/>
      <c r="AC18" s="416"/>
      <c r="AD18" s="416"/>
      <c r="AE18" s="416"/>
      <c r="AF18" s="416"/>
      <c r="AG18" s="416"/>
      <c r="AH18" s="417"/>
      <c r="AI18" s="403">
        <f t="shared" si="0"/>
        <v>0</v>
      </c>
    </row>
    <row r="19" spans="1:35" ht="33" customHeight="1">
      <c r="A19" s="421">
        <v>2212012016</v>
      </c>
      <c r="B19" s="422" t="s">
        <v>418</v>
      </c>
      <c r="C19" s="423" t="s">
        <v>296</v>
      </c>
      <c r="D19" s="425"/>
      <c r="E19" s="426"/>
      <c r="F19" s="427"/>
      <c r="G19" s="427"/>
      <c r="H19" s="428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9"/>
      <c r="T19" s="429"/>
      <c r="U19" s="429"/>
      <c r="V19" s="429"/>
      <c r="W19" s="429"/>
      <c r="X19" s="429"/>
      <c r="Y19" s="429"/>
      <c r="Z19" s="429"/>
      <c r="AA19" s="429"/>
      <c r="AB19" s="429"/>
      <c r="AC19" s="429"/>
      <c r="AD19" s="429"/>
      <c r="AE19" s="429"/>
      <c r="AF19" s="429"/>
      <c r="AG19" s="429"/>
      <c r="AH19" s="430"/>
      <c r="AI19" s="431">
        <f t="shared" si="0"/>
        <v>0</v>
      </c>
    </row>
    <row r="20" spans="1:35" ht="15.75" customHeight="1"/>
    <row r="21" spans="1:35" ht="15.75" customHeight="1"/>
    <row r="22" spans="1:35" ht="15.75" customHeight="1"/>
    <row r="23" spans="1:35" ht="15.75" customHeight="1"/>
    <row r="24" spans="1:35" ht="15.75" customHeight="1"/>
    <row r="25" spans="1:35" ht="15.75" customHeight="1"/>
    <row r="26" spans="1:35" ht="15.75" customHeight="1"/>
    <row r="27" spans="1:35" ht="15.75" customHeight="1"/>
    <row r="28" spans="1:35" ht="15.75" customHeight="1"/>
    <row r="29" spans="1:35" ht="15.75" customHeight="1"/>
    <row r="30" spans="1:35" ht="15.75" customHeight="1"/>
    <row r="31" spans="1:35" ht="15.75" customHeight="1"/>
    <row r="32" spans="1:3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2:3" ht="15.75" customHeight="1">
      <c r="B65" s="432"/>
      <c r="C65" s="432"/>
    </row>
    <row r="66" spans="2:3" ht="15.75" customHeight="1">
      <c r="B66" s="432"/>
      <c r="C66" s="432"/>
    </row>
    <row r="67" spans="2:3" ht="15.75" customHeight="1">
      <c r="B67" s="432"/>
      <c r="C67" s="432"/>
    </row>
    <row r="68" spans="2:3" ht="15.75" customHeight="1">
      <c r="B68" s="432"/>
      <c r="C68" s="432"/>
    </row>
    <row r="69" spans="2:3" ht="15.75" customHeight="1">
      <c r="B69" s="432"/>
      <c r="C69" s="432"/>
    </row>
    <row r="70" spans="2:3" ht="15.75" customHeight="1">
      <c r="B70" s="432"/>
      <c r="C70" s="432"/>
    </row>
    <row r="71" spans="2:3" ht="15.75" customHeight="1">
      <c r="B71" s="432"/>
      <c r="C71" s="432"/>
    </row>
    <row r="72" spans="2:3" ht="15.75" customHeight="1">
      <c r="B72" s="432"/>
      <c r="C72" s="432"/>
    </row>
    <row r="73" spans="2:3" ht="15.75" customHeight="1">
      <c r="B73" s="432"/>
      <c r="C73" s="432"/>
    </row>
    <row r="74" spans="2:3" ht="15.75" customHeight="1">
      <c r="B74" s="432"/>
      <c r="C74" s="432"/>
    </row>
    <row r="75" spans="2:3" ht="15.75" customHeight="1">
      <c r="B75" s="432"/>
      <c r="C75" s="432"/>
    </row>
    <row r="76" spans="2:3" ht="15.75" customHeight="1">
      <c r="B76" s="432"/>
      <c r="C76" s="432"/>
    </row>
    <row r="77" spans="2:3" ht="15.75" customHeight="1">
      <c r="B77" s="432"/>
      <c r="C77" s="432"/>
    </row>
    <row r="78" spans="2:3" ht="15.75" customHeight="1">
      <c r="B78" s="432"/>
      <c r="C78" s="432"/>
    </row>
    <row r="79" spans="2:3" ht="15.75" customHeight="1">
      <c r="B79" s="432"/>
      <c r="C79" s="432"/>
    </row>
    <row r="80" spans="2:3" ht="15.75" customHeight="1">
      <c r="B80" s="432"/>
      <c r="C80" s="432"/>
    </row>
    <row r="81" spans="2:3" ht="15.75" customHeight="1">
      <c r="B81" s="432"/>
      <c r="C81" s="432"/>
    </row>
    <row r="82" spans="2:3" ht="15.75" customHeight="1">
      <c r="B82" s="432"/>
      <c r="C82" s="432"/>
    </row>
    <row r="83" spans="2:3" ht="15.75" customHeight="1">
      <c r="B83" s="432"/>
      <c r="C83" s="432"/>
    </row>
    <row r="84" spans="2:3" ht="15.75" customHeight="1">
      <c r="B84" s="432"/>
      <c r="C84" s="432"/>
    </row>
    <row r="85" spans="2:3" ht="15.75" customHeight="1">
      <c r="B85" s="432"/>
      <c r="C85" s="432"/>
    </row>
    <row r="86" spans="2:3" ht="15.75" customHeight="1">
      <c r="B86" s="432"/>
      <c r="C86" s="432"/>
    </row>
    <row r="87" spans="2:3" ht="15.75" customHeight="1">
      <c r="B87" s="432"/>
      <c r="C87" s="432"/>
    </row>
    <row r="88" spans="2:3" ht="15.75" customHeight="1">
      <c r="B88" s="432"/>
      <c r="C88" s="432"/>
    </row>
    <row r="89" spans="2:3" ht="15.75" customHeight="1">
      <c r="B89" s="432"/>
      <c r="C89" s="432"/>
    </row>
    <row r="90" spans="2:3" ht="15.75" customHeight="1">
      <c r="B90" s="432"/>
      <c r="C90" s="432"/>
    </row>
    <row r="91" spans="2:3" ht="15.75" customHeight="1">
      <c r="B91" s="432"/>
      <c r="C91" s="432"/>
    </row>
    <row r="92" spans="2:3" ht="15.75" customHeight="1">
      <c r="B92" s="432"/>
      <c r="C92" s="432"/>
    </row>
    <row r="93" spans="2:3" ht="15.75" customHeight="1">
      <c r="B93" s="432"/>
      <c r="C93" s="432"/>
    </row>
    <row r="94" spans="2:3" ht="15.75" customHeight="1">
      <c r="B94" s="432"/>
      <c r="C94" s="432"/>
    </row>
    <row r="95" spans="2:3" ht="15.75" customHeight="1">
      <c r="B95" s="432"/>
      <c r="C95" s="432"/>
    </row>
    <row r="96" spans="2:3" ht="15.75" customHeight="1">
      <c r="B96" s="432"/>
      <c r="C96" s="432"/>
    </row>
    <row r="97" spans="2:3" ht="15.75" customHeight="1">
      <c r="B97" s="432"/>
      <c r="C97" s="432"/>
    </row>
    <row r="98" spans="2:3" ht="15.75" customHeight="1">
      <c r="B98" s="432"/>
      <c r="C98" s="432"/>
    </row>
    <row r="99" spans="2:3" ht="15.75" customHeight="1">
      <c r="B99" s="432"/>
      <c r="C99" s="432"/>
    </row>
    <row r="100" spans="2:3" ht="15.75" customHeight="1">
      <c r="B100" s="432"/>
      <c r="C100" s="432"/>
    </row>
    <row r="101" spans="2:3" ht="15.75" customHeight="1">
      <c r="B101" s="432"/>
      <c r="C101" s="432"/>
    </row>
    <row r="102" spans="2:3" ht="15.75" customHeight="1">
      <c r="B102" s="432"/>
      <c r="C102" s="432"/>
    </row>
    <row r="103" spans="2:3" ht="15.75" customHeight="1">
      <c r="B103" s="432"/>
      <c r="C103" s="432"/>
    </row>
    <row r="104" spans="2:3" ht="15.75" customHeight="1">
      <c r="B104" s="432"/>
      <c r="C104" s="432"/>
    </row>
    <row r="105" spans="2:3" ht="15.75" customHeight="1">
      <c r="B105" s="432"/>
      <c r="C105" s="432"/>
    </row>
    <row r="106" spans="2:3" ht="15.75" customHeight="1">
      <c r="B106" s="432"/>
      <c r="C106" s="432"/>
    </row>
    <row r="107" spans="2:3" ht="15.75" customHeight="1">
      <c r="B107" s="432"/>
      <c r="C107" s="432"/>
    </row>
    <row r="108" spans="2:3" ht="15.75" customHeight="1">
      <c r="B108" s="432"/>
      <c r="C108" s="432"/>
    </row>
    <row r="109" spans="2:3" ht="15.75" customHeight="1">
      <c r="B109" s="432"/>
      <c r="C109" s="432"/>
    </row>
    <row r="110" spans="2:3" ht="15.75" customHeight="1">
      <c r="B110" s="432"/>
      <c r="C110" s="432"/>
    </row>
    <row r="111" spans="2:3" ht="15.75" customHeight="1">
      <c r="B111" s="432"/>
      <c r="C111" s="432"/>
    </row>
    <row r="112" spans="2:3" ht="15.75" customHeight="1">
      <c r="B112" s="432"/>
      <c r="C112" s="432"/>
    </row>
    <row r="113" spans="2:3" ht="15.75" customHeight="1">
      <c r="B113" s="432"/>
      <c r="C113" s="432"/>
    </row>
    <row r="114" spans="2:3" ht="15.75" customHeight="1">
      <c r="B114" s="432"/>
      <c r="C114" s="432"/>
    </row>
    <row r="115" spans="2:3" ht="15.75" customHeight="1">
      <c r="B115" s="432"/>
      <c r="C115" s="432"/>
    </row>
    <row r="116" spans="2:3" ht="15.75" customHeight="1">
      <c r="B116" s="432"/>
      <c r="C116" s="432"/>
    </row>
    <row r="117" spans="2:3" ht="15.75" customHeight="1">
      <c r="B117" s="432"/>
      <c r="C117" s="432"/>
    </row>
    <row r="118" spans="2:3" ht="15.75" customHeight="1">
      <c r="B118" s="432"/>
      <c r="C118" s="432"/>
    </row>
    <row r="119" spans="2:3" ht="15.75" customHeight="1">
      <c r="B119" s="432"/>
      <c r="C119" s="432"/>
    </row>
    <row r="120" spans="2:3" ht="15.75" customHeight="1">
      <c r="B120" s="432"/>
      <c r="C120" s="432"/>
    </row>
    <row r="121" spans="2:3" ht="15.75" customHeight="1">
      <c r="B121" s="432"/>
      <c r="C121" s="432"/>
    </row>
    <row r="122" spans="2:3" ht="15.75" customHeight="1">
      <c r="B122" s="432"/>
      <c r="C122" s="432"/>
    </row>
    <row r="123" spans="2:3" ht="15.75" customHeight="1">
      <c r="B123" s="432"/>
      <c r="C123" s="432"/>
    </row>
    <row r="124" spans="2:3" ht="15.75" customHeight="1">
      <c r="B124" s="432"/>
      <c r="C124" s="432"/>
    </row>
    <row r="125" spans="2:3" ht="15.75" customHeight="1">
      <c r="B125" s="432"/>
      <c r="C125" s="432"/>
    </row>
    <row r="126" spans="2:3" ht="15.75" customHeight="1">
      <c r="B126" s="432"/>
      <c r="C126" s="432"/>
    </row>
    <row r="127" spans="2:3" ht="15.75" customHeight="1">
      <c r="B127" s="432"/>
      <c r="C127" s="432"/>
    </row>
    <row r="128" spans="2:3" ht="15.75" customHeight="1">
      <c r="B128" s="432"/>
      <c r="C128" s="432"/>
    </row>
    <row r="129" spans="2:3" ht="15.75" customHeight="1">
      <c r="B129" s="432"/>
      <c r="C129" s="432"/>
    </row>
    <row r="130" spans="2:3" ht="15.75" customHeight="1">
      <c r="B130" s="432"/>
      <c r="C130" s="432"/>
    </row>
    <row r="131" spans="2:3" ht="15.75" customHeight="1">
      <c r="B131" s="432"/>
      <c r="C131" s="432"/>
    </row>
    <row r="132" spans="2:3" ht="15.75" customHeight="1">
      <c r="B132" s="432"/>
      <c r="C132" s="432"/>
    </row>
    <row r="133" spans="2:3" ht="15.75" customHeight="1">
      <c r="B133" s="432"/>
      <c r="C133" s="432"/>
    </row>
    <row r="134" spans="2:3" ht="15.75" customHeight="1">
      <c r="B134" s="432"/>
      <c r="C134" s="432"/>
    </row>
    <row r="135" spans="2:3" ht="15.75" customHeight="1">
      <c r="B135" s="432"/>
      <c r="C135" s="432"/>
    </row>
    <row r="136" spans="2:3" ht="15.75" customHeight="1">
      <c r="B136" s="432"/>
      <c r="C136" s="432"/>
    </row>
    <row r="137" spans="2:3" ht="15.75" customHeight="1">
      <c r="B137" s="432"/>
      <c r="C137" s="432"/>
    </row>
    <row r="138" spans="2:3" ht="15.75" customHeight="1">
      <c r="B138" s="432"/>
      <c r="C138" s="432"/>
    </row>
    <row r="139" spans="2:3" ht="15.75" customHeight="1">
      <c r="B139" s="432"/>
      <c r="C139" s="432"/>
    </row>
    <row r="140" spans="2:3" ht="15.75" customHeight="1">
      <c r="B140" s="432"/>
      <c r="C140" s="432"/>
    </row>
    <row r="141" spans="2:3" ht="15.75" customHeight="1">
      <c r="B141" s="432"/>
      <c r="C141" s="432"/>
    </row>
    <row r="142" spans="2:3" ht="15.75" customHeight="1">
      <c r="B142" s="432"/>
      <c r="C142" s="432"/>
    </row>
    <row r="143" spans="2:3" ht="15.75" customHeight="1">
      <c r="B143" s="432"/>
      <c r="C143" s="432"/>
    </row>
    <row r="144" spans="2:3" ht="15.75" customHeight="1">
      <c r="B144" s="432"/>
      <c r="C144" s="432"/>
    </row>
    <row r="145" spans="2:3" ht="15.75" customHeight="1">
      <c r="B145" s="432"/>
      <c r="C145" s="432"/>
    </row>
    <row r="146" spans="2:3" ht="15.75" customHeight="1">
      <c r="B146" s="432"/>
      <c r="C146" s="432"/>
    </row>
    <row r="147" spans="2:3" ht="15.75" customHeight="1">
      <c r="B147" s="432"/>
      <c r="C147" s="432"/>
    </row>
    <row r="148" spans="2:3" ht="15.75" customHeight="1">
      <c r="B148" s="432"/>
      <c r="C148" s="432"/>
    </row>
    <row r="149" spans="2:3" ht="15.75" customHeight="1">
      <c r="B149" s="432"/>
      <c r="C149" s="432"/>
    </row>
    <row r="150" spans="2:3" ht="15.75" customHeight="1">
      <c r="B150" s="432"/>
      <c r="C150" s="432"/>
    </row>
    <row r="151" spans="2:3" ht="15.75" customHeight="1">
      <c r="B151" s="432"/>
      <c r="C151" s="432"/>
    </row>
    <row r="152" spans="2:3" ht="15.75" customHeight="1">
      <c r="B152" s="432"/>
      <c r="C152" s="432"/>
    </row>
    <row r="153" spans="2:3" ht="15.75" customHeight="1">
      <c r="B153" s="432"/>
      <c r="C153" s="432"/>
    </row>
    <row r="154" spans="2:3" ht="15.75" customHeight="1">
      <c r="B154" s="432"/>
      <c r="C154" s="432"/>
    </row>
    <row r="155" spans="2:3" ht="15.75" customHeight="1">
      <c r="B155" s="432"/>
      <c r="C155" s="432"/>
    </row>
    <row r="156" spans="2:3" ht="15.75" customHeight="1">
      <c r="B156" s="432"/>
      <c r="C156" s="432"/>
    </row>
    <row r="157" spans="2:3" ht="15.75" customHeight="1">
      <c r="B157" s="432"/>
      <c r="C157" s="432"/>
    </row>
    <row r="158" spans="2:3" ht="15.75" customHeight="1">
      <c r="B158" s="432"/>
      <c r="C158" s="432"/>
    </row>
    <row r="159" spans="2:3" ht="15.75" customHeight="1">
      <c r="B159" s="432"/>
      <c r="C159" s="432"/>
    </row>
    <row r="160" spans="2:3" ht="15.75" customHeight="1">
      <c r="B160" s="432"/>
      <c r="C160" s="432"/>
    </row>
    <row r="161" spans="2:3" ht="15.75" customHeight="1">
      <c r="B161" s="432"/>
      <c r="C161" s="432"/>
    </row>
    <row r="162" spans="2:3" ht="15.75" customHeight="1">
      <c r="B162" s="432"/>
      <c r="C162" s="432"/>
    </row>
    <row r="163" spans="2:3" ht="15.75" customHeight="1">
      <c r="B163" s="432"/>
      <c r="C163" s="432"/>
    </row>
    <row r="164" spans="2:3" ht="15.75" customHeight="1">
      <c r="B164" s="432"/>
      <c r="C164" s="432"/>
    </row>
    <row r="165" spans="2:3" ht="15.75" customHeight="1">
      <c r="B165" s="432"/>
      <c r="C165" s="432"/>
    </row>
    <row r="166" spans="2:3" ht="15.75" customHeight="1">
      <c r="B166" s="432"/>
      <c r="C166" s="432"/>
    </row>
    <row r="167" spans="2:3" ht="15.75" customHeight="1">
      <c r="B167" s="432"/>
      <c r="C167" s="432"/>
    </row>
    <row r="168" spans="2:3" ht="15.75" customHeight="1">
      <c r="B168" s="432"/>
      <c r="C168" s="432"/>
    </row>
    <row r="169" spans="2:3" ht="15.75" customHeight="1">
      <c r="B169" s="432"/>
      <c r="C169" s="432"/>
    </row>
    <row r="170" spans="2:3" ht="15.75" customHeight="1">
      <c r="B170" s="432"/>
      <c r="C170" s="432"/>
    </row>
    <row r="171" spans="2:3" ht="15.75" customHeight="1">
      <c r="B171" s="432"/>
      <c r="C171" s="432"/>
    </row>
    <row r="172" spans="2:3" ht="15.75" customHeight="1">
      <c r="B172" s="432"/>
      <c r="C172" s="432"/>
    </row>
    <row r="173" spans="2:3" ht="15.75" customHeight="1">
      <c r="B173" s="432"/>
      <c r="C173" s="432"/>
    </row>
    <row r="174" spans="2:3" ht="15.75" customHeight="1">
      <c r="B174" s="432"/>
      <c r="C174" s="432"/>
    </row>
    <row r="175" spans="2:3" ht="15.75" customHeight="1">
      <c r="B175" s="432"/>
      <c r="C175" s="432"/>
    </row>
    <row r="176" spans="2:3" ht="15.75" customHeight="1">
      <c r="B176" s="432"/>
      <c r="C176" s="432"/>
    </row>
    <row r="177" spans="2:3" ht="15.75" customHeight="1">
      <c r="B177" s="432"/>
      <c r="C177" s="432"/>
    </row>
    <row r="178" spans="2:3" ht="15.75" customHeight="1">
      <c r="B178" s="432"/>
      <c r="C178" s="432"/>
    </row>
    <row r="179" spans="2:3" ht="15.75" customHeight="1">
      <c r="B179" s="432"/>
      <c r="C179" s="432"/>
    </row>
    <row r="180" spans="2:3" ht="15.75" customHeight="1">
      <c r="B180" s="432"/>
      <c r="C180" s="432"/>
    </row>
    <row r="181" spans="2:3" ht="15.75" customHeight="1">
      <c r="B181" s="432"/>
      <c r="C181" s="432"/>
    </row>
    <row r="182" spans="2:3" ht="15.75" customHeight="1">
      <c r="B182" s="432"/>
      <c r="C182" s="432"/>
    </row>
    <row r="183" spans="2:3" ht="15.75" customHeight="1">
      <c r="B183" s="432"/>
      <c r="C183" s="432"/>
    </row>
    <row r="184" spans="2:3" ht="15.75" customHeight="1">
      <c r="B184" s="432"/>
      <c r="C184" s="432"/>
    </row>
    <row r="185" spans="2:3" ht="15.75" customHeight="1">
      <c r="B185" s="432"/>
      <c r="C185" s="432"/>
    </row>
    <row r="186" spans="2:3" ht="15.75" customHeight="1">
      <c r="B186" s="432"/>
      <c r="C186" s="432"/>
    </row>
    <row r="187" spans="2:3" ht="15.75" customHeight="1">
      <c r="B187" s="432"/>
      <c r="C187" s="432"/>
    </row>
    <row r="188" spans="2:3" ht="15.75" customHeight="1">
      <c r="B188" s="432"/>
      <c r="C188" s="432"/>
    </row>
    <row r="189" spans="2:3" ht="15.75" customHeight="1">
      <c r="B189" s="432"/>
      <c r="C189" s="432"/>
    </row>
    <row r="190" spans="2:3" ht="15.75" customHeight="1">
      <c r="B190" s="432"/>
      <c r="C190" s="432"/>
    </row>
    <row r="191" spans="2:3" ht="15.75" customHeight="1">
      <c r="B191" s="432"/>
      <c r="C191" s="432"/>
    </row>
    <row r="192" spans="2:3" ht="15.75" customHeight="1">
      <c r="B192" s="432"/>
      <c r="C192" s="432"/>
    </row>
    <row r="193" spans="2:3" ht="15.75" customHeight="1">
      <c r="B193" s="432"/>
      <c r="C193" s="432"/>
    </row>
    <row r="194" spans="2:3" ht="15.75" customHeight="1">
      <c r="B194" s="432"/>
      <c r="C194" s="432"/>
    </row>
    <row r="195" spans="2:3" ht="15.75" customHeight="1">
      <c r="B195" s="432"/>
      <c r="C195" s="432"/>
    </row>
    <row r="196" spans="2:3" ht="15.75" customHeight="1">
      <c r="B196" s="432"/>
      <c r="C196" s="432"/>
    </row>
    <row r="197" spans="2:3" ht="15.75" customHeight="1">
      <c r="B197" s="432"/>
      <c r="C197" s="432"/>
    </row>
    <row r="198" spans="2:3" ht="15.75" customHeight="1">
      <c r="B198" s="432"/>
      <c r="C198" s="432"/>
    </row>
    <row r="199" spans="2:3" ht="15.75" customHeight="1">
      <c r="B199" s="432"/>
      <c r="C199" s="432"/>
    </row>
    <row r="200" spans="2:3" ht="15.75" customHeight="1">
      <c r="B200" s="432"/>
      <c r="C200" s="432"/>
    </row>
    <row r="201" spans="2:3" ht="15.75" customHeight="1">
      <c r="B201" s="432"/>
      <c r="C201" s="432"/>
    </row>
    <row r="202" spans="2:3" ht="15.75" customHeight="1">
      <c r="B202" s="432"/>
      <c r="C202" s="432"/>
    </row>
    <row r="203" spans="2:3" ht="15.75" customHeight="1">
      <c r="B203" s="432"/>
      <c r="C203" s="432"/>
    </row>
    <row r="204" spans="2:3" ht="15.75" customHeight="1">
      <c r="B204" s="432"/>
      <c r="C204" s="432"/>
    </row>
    <row r="205" spans="2:3" ht="15.75" customHeight="1">
      <c r="B205" s="432"/>
      <c r="C205" s="432"/>
    </row>
    <row r="206" spans="2:3" ht="15.75" customHeight="1">
      <c r="B206" s="432"/>
      <c r="C206" s="432"/>
    </row>
    <row r="207" spans="2:3" ht="15.75" customHeight="1">
      <c r="B207" s="432"/>
      <c r="C207" s="432"/>
    </row>
    <row r="208" spans="2:3" ht="15.75" customHeight="1">
      <c r="B208" s="432"/>
      <c r="C208" s="432"/>
    </row>
    <row r="209" spans="2:3" ht="15.75" customHeight="1">
      <c r="B209" s="432"/>
      <c r="C209" s="432"/>
    </row>
    <row r="210" spans="2:3" ht="15.75" customHeight="1">
      <c r="B210" s="432"/>
      <c r="C210" s="432"/>
    </row>
    <row r="211" spans="2:3" ht="15.75" customHeight="1">
      <c r="B211" s="432"/>
      <c r="C211" s="432"/>
    </row>
    <row r="212" spans="2:3" ht="15.75" customHeight="1">
      <c r="B212" s="432"/>
      <c r="C212" s="432"/>
    </row>
    <row r="213" spans="2:3" ht="15.75" customHeight="1">
      <c r="B213" s="432"/>
      <c r="C213" s="432"/>
    </row>
    <row r="214" spans="2:3" ht="15.75" customHeight="1">
      <c r="B214" s="432"/>
      <c r="C214" s="432"/>
    </row>
    <row r="215" spans="2:3" ht="15.75" customHeight="1">
      <c r="B215" s="432"/>
      <c r="C215" s="432"/>
    </row>
    <row r="216" spans="2:3" ht="15.75" customHeight="1">
      <c r="B216" s="432"/>
      <c r="C216" s="432"/>
    </row>
    <row r="217" spans="2:3" ht="15.75" customHeight="1">
      <c r="B217" s="432"/>
      <c r="C217" s="432"/>
    </row>
    <row r="218" spans="2:3" ht="15.75" customHeight="1">
      <c r="B218" s="432"/>
      <c r="C218" s="432"/>
    </row>
    <row r="219" spans="2:3" ht="15.75" customHeight="1">
      <c r="B219" s="432"/>
      <c r="C219" s="432"/>
    </row>
    <row r="220" spans="2:3" ht="15.75" customHeight="1">
      <c r="B220" s="432"/>
      <c r="C220" s="432"/>
    </row>
    <row r="221" spans="2:3" ht="15.75" customHeight="1"/>
    <row r="222" spans="2:3" ht="15.75" customHeight="1"/>
    <row r="223" spans="2:3" ht="15.75" customHeight="1"/>
    <row r="224" spans="2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3:AI3"/>
    <mergeCell ref="AG1:AG2"/>
    <mergeCell ref="AH1:AH2"/>
    <mergeCell ref="AI1:AI2"/>
    <mergeCell ref="V1:V2"/>
    <mergeCell ref="W1:W2"/>
    <mergeCell ref="X1:X2"/>
    <mergeCell ref="Y1:Y2"/>
    <mergeCell ref="Z1:Z2"/>
    <mergeCell ref="AA1:AA2"/>
    <mergeCell ref="AB1:AB2"/>
    <mergeCell ref="U1:U2"/>
    <mergeCell ref="AC1:AC2"/>
    <mergeCell ref="AD1:AD2"/>
    <mergeCell ref="AE1:AE2"/>
    <mergeCell ref="AF1:AF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outlinePr summaryBelow="0" summaryRight="0"/>
    <pageSetUpPr fitToPage="1"/>
  </sheetPr>
  <dimension ref="A1:R1000"/>
  <sheetViews>
    <sheetView workbookViewId="0"/>
  </sheetViews>
  <sheetFormatPr baseColWidth="10" defaultColWidth="12.5703125" defaultRowHeight="15" customHeight="1"/>
  <cols>
    <col min="1" max="1" width="8.140625" customWidth="1"/>
    <col min="2" max="2" width="8.85546875" customWidth="1"/>
    <col min="3" max="3" width="10.28515625" customWidth="1"/>
    <col min="4" max="4" width="9.85546875" customWidth="1"/>
    <col min="5" max="6" width="9.5703125" customWidth="1"/>
    <col min="7" max="7" width="9.7109375" customWidth="1"/>
    <col min="8" max="8" width="10.140625" customWidth="1"/>
    <col min="9" max="9" width="8.85546875" customWidth="1"/>
    <col min="10" max="11" width="10" customWidth="1"/>
    <col min="12" max="12" width="8.28515625" customWidth="1"/>
  </cols>
  <sheetData>
    <row r="1" spans="1:13" ht="22.5" customHeight="1">
      <c r="A1" s="446">
        <v>0</v>
      </c>
      <c r="B1" s="659" t="s">
        <v>424</v>
      </c>
      <c r="C1" s="644"/>
      <c r="D1" s="645"/>
      <c r="E1" s="659" t="s">
        <v>425</v>
      </c>
      <c r="F1" s="645"/>
      <c r="G1" s="659" t="s">
        <v>426</v>
      </c>
      <c r="H1" s="645"/>
      <c r="I1" s="659" t="s">
        <v>427</v>
      </c>
      <c r="J1" s="644"/>
      <c r="K1" s="645"/>
      <c r="L1" s="446"/>
      <c r="M1" s="449"/>
    </row>
    <row r="2" spans="1:13" ht="28.5" customHeight="1">
      <c r="A2" s="450" t="s">
        <v>428</v>
      </c>
      <c r="B2" s="451" t="s">
        <v>429</v>
      </c>
      <c r="C2" s="452" t="s">
        <v>430</v>
      </c>
      <c r="D2" s="453" t="s">
        <v>431</v>
      </c>
      <c r="E2" s="451" t="s">
        <v>429</v>
      </c>
      <c r="F2" s="453" t="s">
        <v>431</v>
      </c>
      <c r="G2" s="452" t="s">
        <v>430</v>
      </c>
      <c r="H2" s="453" t="s">
        <v>431</v>
      </c>
      <c r="I2" s="451" t="s">
        <v>429</v>
      </c>
      <c r="J2" s="452" t="s">
        <v>430</v>
      </c>
      <c r="K2" s="453" t="s">
        <v>431</v>
      </c>
      <c r="L2" s="454" t="s">
        <v>3</v>
      </c>
      <c r="M2" s="449"/>
    </row>
    <row r="3" spans="1:13" ht="15.75" customHeight="1">
      <c r="A3" s="455">
        <v>1</v>
      </c>
      <c r="B3" s="456">
        <v>33</v>
      </c>
      <c r="C3" s="457"/>
      <c r="D3" s="458"/>
      <c r="E3" s="456">
        <v>18</v>
      </c>
      <c r="F3" s="458"/>
      <c r="G3" s="459"/>
      <c r="H3" s="460"/>
      <c r="I3" s="456">
        <v>33</v>
      </c>
      <c r="J3" s="461"/>
      <c r="K3" s="462"/>
      <c r="L3" s="463">
        <f t="shared" ref="L3:L33" si="0">SUM(B3:K3)</f>
        <v>84</v>
      </c>
      <c r="M3" s="449"/>
    </row>
    <row r="4" spans="1:13" ht="15.75" customHeight="1">
      <c r="A4" s="464">
        <v>2</v>
      </c>
      <c r="B4" s="456">
        <v>33</v>
      </c>
      <c r="C4" s="465">
        <v>22</v>
      </c>
      <c r="D4" s="466"/>
      <c r="E4" s="456">
        <v>33</v>
      </c>
      <c r="F4" s="466"/>
      <c r="G4" s="467">
        <v>22</v>
      </c>
      <c r="H4" s="468"/>
      <c r="I4" s="456">
        <v>33</v>
      </c>
      <c r="J4" s="469"/>
      <c r="K4" s="470"/>
      <c r="L4" s="471">
        <f t="shared" si="0"/>
        <v>143</v>
      </c>
      <c r="M4" s="449"/>
    </row>
    <row r="5" spans="1:13" ht="15.75" customHeight="1">
      <c r="A5" s="464">
        <v>3</v>
      </c>
      <c r="B5" s="472"/>
      <c r="C5" s="465">
        <v>22</v>
      </c>
      <c r="D5" s="473">
        <v>31</v>
      </c>
      <c r="E5" s="472"/>
      <c r="F5" s="473">
        <v>31</v>
      </c>
      <c r="G5" s="467">
        <v>22</v>
      </c>
      <c r="H5" s="468"/>
      <c r="I5" s="472"/>
      <c r="J5" s="469"/>
      <c r="K5" s="474">
        <v>31</v>
      </c>
      <c r="L5" s="471">
        <f t="shared" si="0"/>
        <v>137</v>
      </c>
      <c r="M5" s="449"/>
    </row>
    <row r="6" spans="1:13" ht="15.75" customHeight="1">
      <c r="A6" s="464">
        <v>4</v>
      </c>
      <c r="B6" s="472"/>
      <c r="C6" s="457"/>
      <c r="D6" s="473">
        <v>31</v>
      </c>
      <c r="E6" s="472"/>
      <c r="F6" s="473">
        <v>31</v>
      </c>
      <c r="G6" s="459"/>
      <c r="H6" s="475"/>
      <c r="I6" s="472"/>
      <c r="J6" s="469"/>
      <c r="K6" s="474">
        <v>13</v>
      </c>
      <c r="L6" s="471">
        <f t="shared" si="0"/>
        <v>75</v>
      </c>
      <c r="M6" s="449"/>
    </row>
    <row r="7" spans="1:13" ht="15.75" customHeight="1">
      <c r="A7" s="464">
        <v>5</v>
      </c>
      <c r="B7" s="456">
        <v>33</v>
      </c>
      <c r="C7" s="457"/>
      <c r="D7" s="466"/>
      <c r="E7" s="456">
        <v>33</v>
      </c>
      <c r="F7" s="466"/>
      <c r="G7" s="459"/>
      <c r="H7" s="475"/>
      <c r="I7" s="456">
        <v>33</v>
      </c>
      <c r="J7" s="469"/>
      <c r="K7" s="470"/>
      <c r="L7" s="471">
        <f t="shared" si="0"/>
        <v>99</v>
      </c>
      <c r="M7" s="449"/>
    </row>
    <row r="8" spans="1:13" ht="15.75" customHeight="1">
      <c r="A8" s="464">
        <v>6</v>
      </c>
      <c r="B8" s="456">
        <v>12</v>
      </c>
      <c r="C8" s="465">
        <v>22</v>
      </c>
      <c r="D8" s="466"/>
      <c r="E8" s="456">
        <v>33</v>
      </c>
      <c r="F8" s="466"/>
      <c r="G8" s="467">
        <v>22</v>
      </c>
      <c r="H8" s="475"/>
      <c r="I8" s="456">
        <v>33</v>
      </c>
      <c r="J8" s="469"/>
      <c r="K8" s="470"/>
      <c r="L8" s="471">
        <f t="shared" si="0"/>
        <v>122</v>
      </c>
      <c r="M8" s="449"/>
    </row>
    <row r="9" spans="1:13" ht="15.75" customHeight="1">
      <c r="A9" s="464">
        <v>7</v>
      </c>
      <c r="B9" s="456">
        <v>33</v>
      </c>
      <c r="C9" s="465">
        <v>22</v>
      </c>
      <c r="D9" s="466"/>
      <c r="E9" s="456">
        <v>18</v>
      </c>
      <c r="F9" s="466"/>
      <c r="G9" s="459"/>
      <c r="H9" s="475"/>
      <c r="I9" s="456">
        <v>33</v>
      </c>
      <c r="J9" s="469"/>
      <c r="K9" s="470"/>
      <c r="L9" s="471">
        <f t="shared" si="0"/>
        <v>106</v>
      </c>
      <c r="M9" s="449"/>
    </row>
    <row r="10" spans="1:13" ht="15.75" customHeight="1">
      <c r="A10" s="464">
        <v>8</v>
      </c>
      <c r="B10" s="456">
        <v>33</v>
      </c>
      <c r="C10" s="465">
        <v>22</v>
      </c>
      <c r="D10" s="466"/>
      <c r="E10" s="456">
        <v>33</v>
      </c>
      <c r="F10" s="466"/>
      <c r="G10" s="467">
        <v>22</v>
      </c>
      <c r="H10" s="468"/>
      <c r="I10" s="456">
        <v>33</v>
      </c>
      <c r="J10" s="469"/>
      <c r="K10" s="470"/>
      <c r="L10" s="471">
        <f t="shared" si="0"/>
        <v>143</v>
      </c>
      <c r="M10" s="449"/>
    </row>
    <row r="11" spans="1:13" ht="15.75" customHeight="1">
      <c r="A11" s="464">
        <v>9</v>
      </c>
      <c r="B11" s="456">
        <v>12</v>
      </c>
      <c r="C11" s="457"/>
      <c r="D11" s="466"/>
      <c r="E11" s="456">
        <v>18</v>
      </c>
      <c r="F11" s="466"/>
      <c r="G11" s="459"/>
      <c r="H11" s="468"/>
      <c r="I11" s="456">
        <v>33</v>
      </c>
      <c r="J11" s="469"/>
      <c r="K11" s="470"/>
      <c r="L11" s="471">
        <f t="shared" si="0"/>
        <v>63</v>
      </c>
      <c r="M11" s="449"/>
    </row>
    <row r="12" spans="1:13" ht="15.75" customHeight="1">
      <c r="A12" s="464">
        <v>10</v>
      </c>
      <c r="B12" s="472"/>
      <c r="C12" s="457"/>
      <c r="D12" s="473">
        <v>31</v>
      </c>
      <c r="E12" s="472"/>
      <c r="F12" s="473">
        <v>31</v>
      </c>
      <c r="G12" s="467">
        <v>22</v>
      </c>
      <c r="H12" s="468"/>
      <c r="I12" s="472"/>
      <c r="J12" s="469"/>
      <c r="K12" s="474">
        <v>13</v>
      </c>
      <c r="L12" s="471">
        <f t="shared" si="0"/>
        <v>97</v>
      </c>
      <c r="M12" s="449"/>
    </row>
    <row r="13" spans="1:13" ht="15.75" customHeight="1">
      <c r="A13" s="464">
        <v>11</v>
      </c>
      <c r="B13" s="472"/>
      <c r="C13" s="465">
        <v>22</v>
      </c>
      <c r="D13" s="473">
        <v>31</v>
      </c>
      <c r="E13" s="472"/>
      <c r="F13" s="473">
        <v>31</v>
      </c>
      <c r="G13" s="467">
        <v>22</v>
      </c>
      <c r="H13" s="475"/>
      <c r="I13" s="472"/>
      <c r="J13" s="469"/>
      <c r="K13" s="474">
        <v>31</v>
      </c>
      <c r="L13" s="471">
        <f t="shared" si="0"/>
        <v>137</v>
      </c>
      <c r="M13" s="449"/>
    </row>
    <row r="14" spans="1:13" ht="15.75" customHeight="1">
      <c r="A14" s="464">
        <v>12</v>
      </c>
      <c r="B14" s="472"/>
      <c r="C14" s="465">
        <v>22</v>
      </c>
      <c r="D14" s="473">
        <v>31</v>
      </c>
      <c r="E14" s="472"/>
      <c r="F14" s="473">
        <v>31</v>
      </c>
      <c r="G14" s="467">
        <v>22</v>
      </c>
      <c r="H14" s="475"/>
      <c r="I14" s="472"/>
      <c r="J14" s="469"/>
      <c r="K14" s="474">
        <v>31</v>
      </c>
      <c r="L14" s="471">
        <f t="shared" si="0"/>
        <v>137</v>
      </c>
      <c r="M14" s="449"/>
    </row>
    <row r="15" spans="1:13" ht="15.75" customHeight="1">
      <c r="A15" s="464">
        <v>13</v>
      </c>
      <c r="B15" s="456">
        <v>33</v>
      </c>
      <c r="C15" s="457"/>
      <c r="D15" s="466"/>
      <c r="E15" s="456">
        <v>18</v>
      </c>
      <c r="F15" s="466"/>
      <c r="G15" s="459"/>
      <c r="H15" s="475"/>
      <c r="I15" s="456">
        <v>33</v>
      </c>
      <c r="J15" s="469"/>
      <c r="K15" s="470"/>
      <c r="L15" s="471">
        <f t="shared" si="0"/>
        <v>84</v>
      </c>
      <c r="M15" s="449"/>
    </row>
    <row r="16" spans="1:13" ht="15.75" customHeight="1">
      <c r="A16" s="464">
        <v>14</v>
      </c>
      <c r="B16" s="456">
        <v>12</v>
      </c>
      <c r="C16" s="465">
        <v>22</v>
      </c>
      <c r="D16" s="466"/>
      <c r="E16" s="456">
        <v>33</v>
      </c>
      <c r="F16" s="466"/>
      <c r="G16" s="467">
        <v>22</v>
      </c>
      <c r="H16" s="475"/>
      <c r="I16" s="456">
        <v>33</v>
      </c>
      <c r="J16" s="469"/>
      <c r="K16" s="470"/>
      <c r="L16" s="471">
        <f t="shared" si="0"/>
        <v>122</v>
      </c>
      <c r="M16" s="449"/>
    </row>
    <row r="17" spans="1:13" ht="15.75" customHeight="1">
      <c r="A17" s="464">
        <v>15</v>
      </c>
      <c r="B17" s="456">
        <v>33</v>
      </c>
      <c r="C17" s="465">
        <v>22</v>
      </c>
      <c r="D17" s="466"/>
      <c r="E17" s="456">
        <v>33</v>
      </c>
      <c r="F17" s="466"/>
      <c r="G17" s="459"/>
      <c r="H17" s="468"/>
      <c r="I17" s="456">
        <v>33</v>
      </c>
      <c r="J17" s="469"/>
      <c r="K17" s="470"/>
      <c r="L17" s="471">
        <f t="shared" si="0"/>
        <v>121</v>
      </c>
      <c r="M17" s="449"/>
    </row>
    <row r="18" spans="1:13" ht="15.75" customHeight="1">
      <c r="A18" s="464">
        <v>16</v>
      </c>
      <c r="B18" s="456">
        <v>33</v>
      </c>
      <c r="C18" s="457"/>
      <c r="D18" s="466"/>
      <c r="E18" s="456">
        <v>18</v>
      </c>
      <c r="F18" s="466"/>
      <c r="G18" s="467">
        <v>22</v>
      </c>
      <c r="H18" s="468"/>
      <c r="I18" s="456">
        <v>33</v>
      </c>
      <c r="J18" s="469"/>
      <c r="K18" s="470"/>
      <c r="L18" s="471">
        <f t="shared" si="0"/>
        <v>106</v>
      </c>
      <c r="M18" s="449"/>
    </row>
    <row r="19" spans="1:13" ht="15.75" customHeight="1">
      <c r="A19" s="464">
        <v>17</v>
      </c>
      <c r="B19" s="472"/>
      <c r="C19" s="457"/>
      <c r="D19" s="473">
        <v>31</v>
      </c>
      <c r="E19" s="472"/>
      <c r="F19" s="473">
        <v>31</v>
      </c>
      <c r="G19" s="467">
        <v>22</v>
      </c>
      <c r="H19" s="468"/>
      <c r="I19" s="472"/>
      <c r="J19" s="469"/>
      <c r="K19" s="474">
        <v>31</v>
      </c>
      <c r="L19" s="471">
        <f t="shared" si="0"/>
        <v>115</v>
      </c>
      <c r="M19" s="449"/>
    </row>
    <row r="20" spans="1:13" ht="15.75" customHeight="1">
      <c r="A20" s="464">
        <v>18</v>
      </c>
      <c r="B20" s="472"/>
      <c r="C20" s="457"/>
      <c r="D20" s="473">
        <v>31</v>
      </c>
      <c r="E20" s="472"/>
      <c r="F20" s="473">
        <v>31</v>
      </c>
      <c r="G20" s="459"/>
      <c r="H20" s="468"/>
      <c r="I20" s="472"/>
      <c r="J20" s="469"/>
      <c r="K20" s="474">
        <v>31</v>
      </c>
      <c r="L20" s="471">
        <f t="shared" si="0"/>
        <v>93</v>
      </c>
      <c r="M20" s="449"/>
    </row>
    <row r="21" spans="1:13" ht="15.75" customHeight="1">
      <c r="A21" s="464">
        <v>19</v>
      </c>
      <c r="B21" s="456">
        <v>33</v>
      </c>
      <c r="C21" s="465">
        <v>22</v>
      </c>
      <c r="D21" s="466"/>
      <c r="E21" s="456">
        <v>33</v>
      </c>
      <c r="F21" s="466"/>
      <c r="G21" s="467">
        <v>22</v>
      </c>
      <c r="H21" s="475"/>
      <c r="I21" s="456">
        <v>33</v>
      </c>
      <c r="J21" s="469"/>
      <c r="K21" s="470"/>
      <c r="L21" s="471">
        <f t="shared" si="0"/>
        <v>143</v>
      </c>
      <c r="M21" s="449"/>
    </row>
    <row r="22" spans="1:13" ht="15.75" customHeight="1">
      <c r="A22" s="464">
        <v>20</v>
      </c>
      <c r="B22" s="456">
        <v>33</v>
      </c>
      <c r="C22" s="457"/>
      <c r="D22" s="466"/>
      <c r="E22" s="456">
        <v>33</v>
      </c>
      <c r="F22" s="466"/>
      <c r="G22" s="467">
        <v>22</v>
      </c>
      <c r="H22" s="476"/>
      <c r="I22" s="456">
        <v>33</v>
      </c>
      <c r="J22" s="469"/>
      <c r="K22" s="470"/>
      <c r="L22" s="471">
        <f t="shared" si="0"/>
        <v>121</v>
      </c>
      <c r="M22" s="449"/>
    </row>
    <row r="23" spans="1:13" ht="15.75" customHeight="1">
      <c r="A23" s="464">
        <v>21</v>
      </c>
      <c r="B23" s="456">
        <v>12</v>
      </c>
      <c r="C23" s="465">
        <v>22</v>
      </c>
      <c r="D23" s="466"/>
      <c r="E23" s="456">
        <v>33</v>
      </c>
      <c r="F23" s="466"/>
      <c r="G23" s="459"/>
      <c r="H23" s="475"/>
      <c r="I23" s="456">
        <v>33</v>
      </c>
      <c r="J23" s="469"/>
      <c r="K23" s="470"/>
      <c r="L23" s="471">
        <f t="shared" si="0"/>
        <v>100</v>
      </c>
      <c r="M23" s="449"/>
    </row>
    <row r="24" spans="1:13" ht="15.75" customHeight="1">
      <c r="A24" s="464">
        <v>22</v>
      </c>
      <c r="B24" s="456">
        <v>33</v>
      </c>
      <c r="C24" s="457"/>
      <c r="D24" s="466"/>
      <c r="E24" s="456">
        <v>18</v>
      </c>
      <c r="F24" s="466"/>
      <c r="G24" s="467">
        <v>22</v>
      </c>
      <c r="H24" s="468"/>
      <c r="I24" s="456">
        <v>33</v>
      </c>
      <c r="J24" s="469"/>
      <c r="K24" s="470"/>
      <c r="L24" s="471">
        <f t="shared" si="0"/>
        <v>106</v>
      </c>
      <c r="M24" s="449"/>
    </row>
    <row r="25" spans="1:13" ht="15.75" customHeight="1">
      <c r="A25" s="464">
        <v>23</v>
      </c>
      <c r="B25" s="456">
        <v>33</v>
      </c>
      <c r="C25" s="465">
        <v>22</v>
      </c>
      <c r="D25" s="477"/>
      <c r="E25" s="456">
        <v>33</v>
      </c>
      <c r="F25" s="466"/>
      <c r="G25" s="467">
        <v>22</v>
      </c>
      <c r="H25" s="478"/>
      <c r="I25" s="456">
        <v>33</v>
      </c>
      <c r="J25" s="469"/>
      <c r="K25" s="470"/>
      <c r="L25" s="471">
        <f t="shared" si="0"/>
        <v>143</v>
      </c>
      <c r="M25" s="449"/>
    </row>
    <row r="26" spans="1:13" ht="15.75" customHeight="1">
      <c r="A26" s="464">
        <v>24</v>
      </c>
      <c r="B26" s="472"/>
      <c r="C26" s="465">
        <v>22</v>
      </c>
      <c r="D26" s="479">
        <v>15</v>
      </c>
      <c r="E26" s="472"/>
      <c r="F26" s="473">
        <v>18</v>
      </c>
      <c r="G26" s="467">
        <v>22</v>
      </c>
      <c r="H26" s="478"/>
      <c r="I26" s="472"/>
      <c r="J26" s="469"/>
      <c r="K26" s="474">
        <v>15</v>
      </c>
      <c r="L26" s="471">
        <f t="shared" si="0"/>
        <v>92</v>
      </c>
      <c r="M26" s="449"/>
    </row>
    <row r="27" spans="1:13" ht="15.75" customHeight="1">
      <c r="A27" s="464">
        <v>25</v>
      </c>
      <c r="B27" s="472"/>
      <c r="C27" s="457"/>
      <c r="D27" s="473">
        <v>15</v>
      </c>
      <c r="E27" s="472"/>
      <c r="F27" s="473">
        <v>31</v>
      </c>
      <c r="G27" s="459"/>
      <c r="H27" s="475"/>
      <c r="I27" s="472"/>
      <c r="J27" s="469"/>
      <c r="K27" s="474">
        <v>18</v>
      </c>
      <c r="L27" s="471">
        <f t="shared" si="0"/>
        <v>64</v>
      </c>
      <c r="M27" s="449"/>
    </row>
    <row r="28" spans="1:13" ht="15.75" customHeight="1">
      <c r="A28" s="464">
        <v>26</v>
      </c>
      <c r="B28" s="456">
        <v>33</v>
      </c>
      <c r="C28" s="465">
        <v>22</v>
      </c>
      <c r="D28" s="477"/>
      <c r="E28" s="456">
        <v>33</v>
      </c>
      <c r="F28" s="466"/>
      <c r="G28" s="459"/>
      <c r="H28" s="475"/>
      <c r="I28" s="456">
        <v>12</v>
      </c>
      <c r="J28" s="469"/>
      <c r="K28" s="470"/>
      <c r="L28" s="471">
        <f t="shared" si="0"/>
        <v>100</v>
      </c>
      <c r="M28" s="449"/>
    </row>
    <row r="29" spans="1:13" ht="15.75" customHeight="1">
      <c r="A29" s="464">
        <v>27</v>
      </c>
      <c r="B29" s="456">
        <v>18</v>
      </c>
      <c r="C29" s="457"/>
      <c r="D29" s="466"/>
      <c r="E29" s="456">
        <v>33</v>
      </c>
      <c r="F29" s="466"/>
      <c r="G29" s="467">
        <v>22</v>
      </c>
      <c r="H29" s="476"/>
      <c r="I29" s="456">
        <v>33</v>
      </c>
      <c r="J29" s="469"/>
      <c r="K29" s="470"/>
      <c r="L29" s="471">
        <f t="shared" si="0"/>
        <v>106</v>
      </c>
      <c r="M29" s="449"/>
    </row>
    <row r="30" spans="1:13" ht="15.75" customHeight="1">
      <c r="A30" s="464">
        <v>28</v>
      </c>
      <c r="B30" s="456">
        <v>33</v>
      </c>
      <c r="C30" s="465">
        <v>22</v>
      </c>
      <c r="D30" s="477"/>
      <c r="E30" s="456">
        <v>18</v>
      </c>
      <c r="F30" s="466"/>
      <c r="G30" s="467">
        <v>22</v>
      </c>
      <c r="H30" s="468"/>
      <c r="I30" s="456">
        <v>33</v>
      </c>
      <c r="J30" s="469"/>
      <c r="K30" s="470"/>
      <c r="L30" s="471">
        <f t="shared" si="0"/>
        <v>128</v>
      </c>
      <c r="M30" s="449"/>
    </row>
    <row r="31" spans="1:13" ht="15.75" customHeight="1">
      <c r="A31" s="464">
        <v>29</v>
      </c>
      <c r="B31" s="456">
        <v>12</v>
      </c>
      <c r="C31" s="465">
        <v>25</v>
      </c>
      <c r="D31" s="466"/>
      <c r="E31" s="456">
        <v>33</v>
      </c>
      <c r="F31" s="466"/>
      <c r="G31" s="467">
        <v>22</v>
      </c>
      <c r="H31" s="477"/>
      <c r="I31" s="456">
        <v>33</v>
      </c>
      <c r="J31" s="469"/>
      <c r="K31" s="470"/>
      <c r="L31" s="471">
        <f t="shared" si="0"/>
        <v>125</v>
      </c>
      <c r="M31" s="449"/>
    </row>
    <row r="32" spans="1:13" ht="15.75" customHeight="1">
      <c r="A32" s="464">
        <v>30</v>
      </c>
      <c r="B32" s="456">
        <v>33</v>
      </c>
      <c r="C32" s="465">
        <v>22</v>
      </c>
      <c r="D32" s="466"/>
      <c r="E32" s="456">
        <v>33</v>
      </c>
      <c r="F32" s="466"/>
      <c r="G32" s="467">
        <v>22</v>
      </c>
      <c r="H32" s="477"/>
      <c r="I32" s="456">
        <v>33</v>
      </c>
      <c r="J32" s="469"/>
      <c r="K32" s="470"/>
      <c r="L32" s="471">
        <f t="shared" si="0"/>
        <v>143</v>
      </c>
      <c r="M32" s="449"/>
    </row>
    <row r="33" spans="1:18" ht="15.75" customHeight="1">
      <c r="A33" s="480">
        <v>31</v>
      </c>
      <c r="B33" s="472"/>
      <c r="C33" s="465">
        <v>25</v>
      </c>
      <c r="D33" s="481">
        <v>31</v>
      </c>
      <c r="E33" s="472"/>
      <c r="F33" s="481">
        <v>31</v>
      </c>
      <c r="G33" s="467">
        <v>22</v>
      </c>
      <c r="H33" s="482"/>
      <c r="I33" s="472"/>
      <c r="J33" s="483"/>
      <c r="K33" s="484">
        <v>31</v>
      </c>
      <c r="L33" s="485">
        <f t="shared" si="0"/>
        <v>140</v>
      </c>
      <c r="M33" s="449"/>
    </row>
    <row r="34" spans="1:18" ht="15.75" customHeight="1">
      <c r="A34" s="449"/>
      <c r="B34" s="449"/>
      <c r="C34" s="486"/>
      <c r="D34" s="449"/>
      <c r="E34" s="449"/>
      <c r="F34" s="449"/>
      <c r="G34" s="486"/>
      <c r="H34" s="449"/>
      <c r="I34" s="449"/>
      <c r="J34" s="660" t="s">
        <v>3</v>
      </c>
      <c r="K34" s="661"/>
      <c r="L34" s="487">
        <f>SUM(L3:L33)</f>
        <v>3495</v>
      </c>
      <c r="M34" s="449"/>
    </row>
    <row r="35" spans="1:18" ht="15.75" customHeight="1">
      <c r="A35" s="449"/>
      <c r="B35" s="488"/>
      <c r="C35" s="662"/>
      <c r="D35" s="663"/>
      <c r="E35" s="663"/>
      <c r="F35" s="449"/>
      <c r="G35" s="486"/>
      <c r="H35" s="449"/>
      <c r="I35" s="449"/>
      <c r="J35" s="449"/>
      <c r="K35" s="449"/>
      <c r="L35" s="449"/>
      <c r="M35" s="449"/>
    </row>
    <row r="36" spans="1:18" ht="15.75" customHeight="1">
      <c r="A36" s="489"/>
      <c r="B36" s="490"/>
      <c r="C36" s="664" t="s">
        <v>432</v>
      </c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6"/>
    </row>
    <row r="37" spans="1:18" ht="15.75" customHeight="1">
      <c r="C37" s="656"/>
      <c r="D37" s="667"/>
      <c r="E37" s="667"/>
      <c r="F37" s="667"/>
      <c r="G37" s="667"/>
      <c r="H37" s="667"/>
      <c r="I37" s="667"/>
      <c r="J37" s="667"/>
      <c r="K37" s="667"/>
      <c r="L37" s="667"/>
      <c r="M37" s="667"/>
      <c r="N37" s="667"/>
      <c r="O37" s="667"/>
      <c r="P37" s="667"/>
      <c r="Q37" s="667"/>
      <c r="R37" s="652"/>
    </row>
    <row r="38" spans="1:18" ht="15.75" customHeight="1">
      <c r="C38" s="491"/>
      <c r="D38" s="492"/>
      <c r="E38" s="492"/>
      <c r="F38" s="492"/>
      <c r="G38" s="491"/>
      <c r="H38" s="492"/>
      <c r="I38" s="492"/>
      <c r="J38" s="492"/>
      <c r="K38" s="492"/>
      <c r="L38" s="492"/>
      <c r="M38" s="492"/>
      <c r="N38" s="492"/>
      <c r="O38" s="492"/>
      <c r="P38" s="492"/>
      <c r="Q38" s="492"/>
      <c r="R38" s="492"/>
    </row>
    <row r="39" spans="1:18" ht="15.75" customHeight="1">
      <c r="A39" s="668"/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6"/>
    </row>
    <row r="40" spans="1:18" ht="15.75" customHeight="1">
      <c r="A40" s="656"/>
      <c r="B40" s="667"/>
      <c r="C40" s="667"/>
      <c r="D40" s="667"/>
      <c r="E40" s="667"/>
      <c r="F40" s="667"/>
      <c r="G40" s="667"/>
      <c r="H40" s="667"/>
      <c r="I40" s="667"/>
      <c r="J40" s="667"/>
      <c r="K40" s="667"/>
      <c r="L40" s="667"/>
      <c r="M40" s="667"/>
      <c r="N40" s="667"/>
      <c r="O40" s="667"/>
      <c r="P40" s="652"/>
    </row>
    <row r="41" spans="1:18" ht="15.75" customHeight="1">
      <c r="A41" s="493"/>
      <c r="B41" s="493"/>
      <c r="C41" s="494"/>
      <c r="G41" s="494"/>
    </row>
    <row r="42" spans="1:18" ht="15.75" customHeight="1">
      <c r="C42" s="494"/>
      <c r="G42" s="494"/>
    </row>
    <row r="43" spans="1:18" ht="15.75" customHeight="1">
      <c r="C43" s="494"/>
      <c r="G43" s="494"/>
    </row>
    <row r="44" spans="1:18" ht="15.75" customHeight="1">
      <c r="C44" s="494"/>
      <c r="G44" s="494"/>
    </row>
    <row r="45" spans="1:18" ht="15.75" customHeight="1">
      <c r="C45" s="494"/>
      <c r="G45" s="494"/>
    </row>
    <row r="46" spans="1:18" ht="15.75" customHeight="1">
      <c r="C46" s="494"/>
      <c r="G46" s="494"/>
    </row>
    <row r="47" spans="1:18" ht="15.75" customHeight="1">
      <c r="C47" s="494"/>
      <c r="G47" s="494"/>
    </row>
    <row r="48" spans="1:18" ht="15.75" customHeight="1">
      <c r="C48" s="494"/>
      <c r="G48" s="494"/>
    </row>
    <row r="49" spans="2:7" ht="15.75" customHeight="1">
      <c r="C49" s="494"/>
      <c r="G49" s="494"/>
    </row>
    <row r="50" spans="2:7" ht="15.75" customHeight="1">
      <c r="C50" s="494"/>
      <c r="G50" s="494"/>
    </row>
    <row r="51" spans="2:7" ht="15.75" customHeight="1">
      <c r="C51" s="494"/>
      <c r="G51" s="494"/>
    </row>
    <row r="52" spans="2:7" ht="15.75" customHeight="1">
      <c r="C52" s="494"/>
      <c r="G52" s="494"/>
    </row>
    <row r="53" spans="2:7" ht="15.75" customHeight="1">
      <c r="C53" s="494"/>
      <c r="G53" s="494"/>
    </row>
    <row r="54" spans="2:7" ht="15.75" customHeight="1">
      <c r="C54" s="494"/>
      <c r="G54" s="494"/>
    </row>
    <row r="55" spans="2:7" ht="15.75" customHeight="1">
      <c r="C55" s="494"/>
      <c r="G55" s="494"/>
    </row>
    <row r="56" spans="2:7" ht="15.75" customHeight="1">
      <c r="C56" s="494"/>
      <c r="G56" s="494"/>
    </row>
    <row r="57" spans="2:7" ht="15.75" customHeight="1">
      <c r="C57" s="494"/>
      <c r="G57" s="494"/>
    </row>
    <row r="58" spans="2:7" ht="15.75" customHeight="1">
      <c r="C58" s="494"/>
      <c r="G58" s="494"/>
    </row>
    <row r="59" spans="2:7" ht="15.75" customHeight="1">
      <c r="C59" s="494"/>
      <c r="G59" s="494"/>
    </row>
    <row r="60" spans="2:7" ht="15.75" customHeight="1">
      <c r="C60" s="494"/>
      <c r="G60" s="494"/>
    </row>
    <row r="61" spans="2:7" ht="15.75" customHeight="1">
      <c r="C61" s="494"/>
      <c r="G61" s="494"/>
    </row>
    <row r="62" spans="2:7" ht="15.75" customHeight="1">
      <c r="C62" s="494"/>
      <c r="G62" s="494"/>
    </row>
    <row r="63" spans="2:7" ht="15.75" customHeight="1">
      <c r="B63" s="495"/>
      <c r="C63" s="494"/>
      <c r="D63" s="496"/>
      <c r="G63" s="494"/>
    </row>
    <row r="64" spans="2:7" ht="15.75" customHeight="1">
      <c r="B64" s="495"/>
      <c r="C64" s="494"/>
      <c r="D64" s="496"/>
      <c r="G64" s="494"/>
    </row>
    <row r="65" spans="2:7" ht="15.75" customHeight="1">
      <c r="B65" s="495"/>
      <c r="C65" s="494"/>
      <c r="D65" s="496"/>
      <c r="G65" s="494"/>
    </row>
    <row r="66" spans="2:7" ht="15.75" customHeight="1">
      <c r="B66" s="495"/>
      <c r="C66" s="494"/>
      <c r="D66" s="496"/>
      <c r="G66" s="494"/>
    </row>
    <row r="67" spans="2:7" ht="15.75" customHeight="1">
      <c r="B67" s="495"/>
      <c r="C67" s="494"/>
      <c r="D67" s="496"/>
      <c r="G67" s="494"/>
    </row>
    <row r="68" spans="2:7" ht="15.75" customHeight="1">
      <c r="B68" s="495"/>
      <c r="C68" s="494"/>
      <c r="D68" s="496"/>
      <c r="G68" s="494"/>
    </row>
    <row r="69" spans="2:7" ht="15.75" customHeight="1">
      <c r="B69" s="495"/>
      <c r="C69" s="494"/>
      <c r="D69" s="496"/>
      <c r="G69" s="494"/>
    </row>
    <row r="70" spans="2:7" ht="15.75" customHeight="1">
      <c r="B70" s="495"/>
      <c r="C70" s="494"/>
      <c r="D70" s="496"/>
      <c r="G70" s="494"/>
    </row>
    <row r="71" spans="2:7" ht="15.75" customHeight="1">
      <c r="B71" s="495"/>
      <c r="C71" s="494"/>
      <c r="D71" s="496"/>
      <c r="G71" s="494"/>
    </row>
    <row r="72" spans="2:7" ht="15.75" customHeight="1">
      <c r="B72" s="495"/>
      <c r="C72" s="494"/>
      <c r="D72" s="496"/>
      <c r="G72" s="494"/>
    </row>
    <row r="73" spans="2:7" ht="15.75" customHeight="1">
      <c r="B73" s="495"/>
      <c r="C73" s="494"/>
      <c r="D73" s="496"/>
      <c r="G73" s="494"/>
    </row>
    <row r="74" spans="2:7" ht="15.75" customHeight="1">
      <c r="B74" s="495"/>
      <c r="C74" s="494"/>
      <c r="D74" s="496"/>
      <c r="G74" s="494"/>
    </row>
    <row r="75" spans="2:7" ht="15.75" customHeight="1">
      <c r="B75" s="495"/>
      <c r="C75" s="494"/>
      <c r="D75" s="496"/>
      <c r="G75" s="494"/>
    </row>
    <row r="76" spans="2:7" ht="15.75" customHeight="1">
      <c r="B76" s="495"/>
      <c r="C76" s="494"/>
      <c r="D76" s="496"/>
      <c r="G76" s="494"/>
    </row>
    <row r="77" spans="2:7" ht="15.75" customHeight="1">
      <c r="B77" s="495"/>
      <c r="C77" s="494"/>
      <c r="D77" s="496"/>
      <c r="G77" s="494"/>
    </row>
    <row r="78" spans="2:7" ht="15.75" customHeight="1">
      <c r="B78" s="495"/>
      <c r="C78" s="494"/>
      <c r="D78" s="496"/>
      <c r="G78" s="494"/>
    </row>
    <row r="79" spans="2:7" ht="15.75" customHeight="1">
      <c r="B79" s="495"/>
      <c r="C79" s="494"/>
      <c r="D79" s="496"/>
      <c r="G79" s="494"/>
    </row>
    <row r="80" spans="2:7" ht="15.75" customHeight="1">
      <c r="B80" s="495"/>
      <c r="C80" s="494"/>
      <c r="D80" s="496"/>
      <c r="G80" s="494"/>
    </row>
    <row r="81" spans="2:7" ht="15.75" customHeight="1">
      <c r="B81" s="495"/>
      <c r="C81" s="494"/>
      <c r="D81" s="496"/>
      <c r="G81" s="494"/>
    </row>
    <row r="82" spans="2:7" ht="15.75" customHeight="1">
      <c r="B82" s="495"/>
      <c r="C82" s="494"/>
      <c r="D82" s="496"/>
      <c r="G82" s="494"/>
    </row>
    <row r="83" spans="2:7" ht="15.75" customHeight="1">
      <c r="B83" s="495"/>
      <c r="C83" s="494"/>
      <c r="D83" s="496"/>
      <c r="G83" s="494"/>
    </row>
    <row r="84" spans="2:7" ht="15.75" customHeight="1">
      <c r="B84" s="495"/>
      <c r="C84" s="494"/>
      <c r="D84" s="496"/>
      <c r="G84" s="494"/>
    </row>
    <row r="85" spans="2:7" ht="15.75" customHeight="1">
      <c r="B85" s="495"/>
      <c r="C85" s="494"/>
      <c r="D85" s="496"/>
      <c r="G85" s="494"/>
    </row>
    <row r="86" spans="2:7" ht="15.75" customHeight="1">
      <c r="B86" s="495"/>
      <c r="C86" s="494"/>
      <c r="D86" s="496"/>
      <c r="G86" s="494"/>
    </row>
    <row r="87" spans="2:7" ht="15.75" customHeight="1">
      <c r="B87" s="495"/>
      <c r="C87" s="494"/>
      <c r="D87" s="496"/>
      <c r="G87" s="494"/>
    </row>
    <row r="88" spans="2:7" ht="15.75" customHeight="1">
      <c r="B88" s="495"/>
      <c r="C88" s="494"/>
      <c r="D88" s="496"/>
      <c r="G88" s="494"/>
    </row>
    <row r="89" spans="2:7" ht="15.75" customHeight="1">
      <c r="B89" s="495"/>
      <c r="C89" s="494"/>
      <c r="D89" s="496"/>
      <c r="G89" s="494"/>
    </row>
    <row r="90" spans="2:7" ht="15.75" customHeight="1">
      <c r="B90" s="495"/>
      <c r="C90" s="494"/>
      <c r="D90" s="496"/>
      <c r="G90" s="494"/>
    </row>
    <row r="91" spans="2:7" ht="15.75" customHeight="1">
      <c r="B91" s="495"/>
      <c r="C91" s="494"/>
      <c r="D91" s="496"/>
      <c r="G91" s="494"/>
    </row>
    <row r="92" spans="2:7" ht="15.75" customHeight="1">
      <c r="B92" s="495"/>
      <c r="C92" s="494"/>
      <c r="D92" s="496"/>
      <c r="G92" s="494"/>
    </row>
    <row r="93" spans="2:7" ht="15.75" customHeight="1">
      <c r="B93" s="495"/>
      <c r="C93" s="494"/>
      <c r="D93" s="496"/>
      <c r="G93" s="494"/>
    </row>
    <row r="94" spans="2:7" ht="15.75" customHeight="1">
      <c r="B94" s="495"/>
      <c r="C94" s="494"/>
      <c r="D94" s="496"/>
      <c r="G94" s="494"/>
    </row>
    <row r="95" spans="2:7" ht="15.75" customHeight="1">
      <c r="B95" s="495"/>
      <c r="C95" s="494"/>
      <c r="D95" s="496"/>
      <c r="G95" s="494"/>
    </row>
    <row r="96" spans="2:7" ht="15.75" customHeight="1">
      <c r="B96" s="495"/>
      <c r="C96" s="494"/>
      <c r="D96" s="496"/>
      <c r="G96" s="494"/>
    </row>
    <row r="97" spans="2:7" ht="15.75" customHeight="1">
      <c r="B97" s="495"/>
      <c r="C97" s="494"/>
      <c r="D97" s="496"/>
      <c r="G97" s="494"/>
    </row>
    <row r="98" spans="2:7" ht="15.75" customHeight="1">
      <c r="B98" s="495"/>
      <c r="C98" s="494"/>
      <c r="D98" s="496"/>
      <c r="G98" s="494"/>
    </row>
    <row r="99" spans="2:7" ht="15.75" customHeight="1">
      <c r="B99" s="495"/>
      <c r="C99" s="494"/>
      <c r="D99" s="496"/>
      <c r="G99" s="494"/>
    </row>
    <row r="100" spans="2:7" ht="15.75" customHeight="1">
      <c r="B100" s="495"/>
      <c r="C100" s="494"/>
      <c r="D100" s="496"/>
      <c r="G100" s="494"/>
    </row>
    <row r="101" spans="2:7" ht="15.75" customHeight="1">
      <c r="B101" s="495"/>
      <c r="C101" s="494"/>
      <c r="D101" s="496"/>
      <c r="G101" s="494"/>
    </row>
    <row r="102" spans="2:7" ht="15.75" customHeight="1">
      <c r="B102" s="495"/>
      <c r="C102" s="494"/>
      <c r="D102" s="496"/>
      <c r="G102" s="494"/>
    </row>
    <row r="103" spans="2:7" ht="15.75" customHeight="1">
      <c r="B103" s="495"/>
      <c r="C103" s="494"/>
      <c r="D103" s="496"/>
      <c r="G103" s="494"/>
    </row>
    <row r="104" spans="2:7" ht="15.75" customHeight="1">
      <c r="B104" s="495"/>
      <c r="C104" s="494"/>
      <c r="D104" s="496"/>
      <c r="G104" s="494"/>
    </row>
    <row r="105" spans="2:7" ht="15.75" customHeight="1">
      <c r="B105" s="495"/>
      <c r="C105" s="494"/>
      <c r="D105" s="496"/>
      <c r="G105" s="494"/>
    </row>
    <row r="106" spans="2:7" ht="15.75" customHeight="1">
      <c r="B106" s="495"/>
      <c r="C106" s="494"/>
      <c r="D106" s="496"/>
      <c r="G106" s="494"/>
    </row>
    <row r="107" spans="2:7" ht="15.75" customHeight="1">
      <c r="B107" s="495"/>
      <c r="C107" s="494"/>
      <c r="D107" s="496"/>
      <c r="G107" s="494"/>
    </row>
    <row r="108" spans="2:7" ht="15.75" customHeight="1">
      <c r="B108" s="495"/>
      <c r="C108" s="494"/>
      <c r="D108" s="496"/>
      <c r="G108" s="494"/>
    </row>
    <row r="109" spans="2:7" ht="15.75" customHeight="1">
      <c r="B109" s="495"/>
      <c r="C109" s="494"/>
      <c r="D109" s="496"/>
      <c r="G109" s="494"/>
    </row>
    <row r="110" spans="2:7" ht="15.75" customHeight="1">
      <c r="B110" s="495"/>
      <c r="C110" s="494"/>
      <c r="D110" s="496"/>
      <c r="G110" s="494"/>
    </row>
    <row r="111" spans="2:7" ht="15.75" customHeight="1">
      <c r="B111" s="495"/>
      <c r="C111" s="494"/>
      <c r="D111" s="496"/>
      <c r="G111" s="494"/>
    </row>
    <row r="112" spans="2:7" ht="15.75" customHeight="1">
      <c r="B112" s="495"/>
      <c r="C112" s="494"/>
      <c r="D112" s="496"/>
      <c r="G112" s="494"/>
    </row>
    <row r="113" spans="2:7" ht="15.75" customHeight="1">
      <c r="B113" s="495"/>
      <c r="C113" s="494"/>
      <c r="D113" s="496"/>
      <c r="G113" s="494"/>
    </row>
    <row r="114" spans="2:7" ht="15.75" customHeight="1">
      <c r="B114" s="495"/>
      <c r="C114" s="494"/>
      <c r="D114" s="496"/>
      <c r="G114" s="494"/>
    </row>
    <row r="115" spans="2:7" ht="15.75" customHeight="1">
      <c r="B115" s="495"/>
      <c r="C115" s="494"/>
      <c r="D115" s="496"/>
      <c r="G115" s="494"/>
    </row>
    <row r="116" spans="2:7" ht="15.75" customHeight="1">
      <c r="B116" s="495"/>
      <c r="C116" s="494"/>
      <c r="D116" s="496"/>
      <c r="G116" s="494"/>
    </row>
    <row r="117" spans="2:7" ht="15.75" customHeight="1">
      <c r="B117" s="495"/>
      <c r="C117" s="494"/>
      <c r="D117" s="496"/>
      <c r="G117" s="494"/>
    </row>
    <row r="118" spans="2:7" ht="15.75" customHeight="1">
      <c r="B118" s="495"/>
      <c r="C118" s="494"/>
      <c r="D118" s="496"/>
      <c r="G118" s="494"/>
    </row>
    <row r="119" spans="2:7" ht="15.75" customHeight="1">
      <c r="B119" s="495"/>
      <c r="C119" s="494"/>
      <c r="D119" s="496"/>
      <c r="G119" s="494"/>
    </row>
    <row r="120" spans="2:7" ht="15.75" customHeight="1">
      <c r="B120" s="495"/>
      <c r="C120" s="494"/>
      <c r="D120" s="496"/>
      <c r="G120" s="494"/>
    </row>
    <row r="121" spans="2:7" ht="15.75" customHeight="1">
      <c r="B121" s="495"/>
      <c r="C121" s="494"/>
      <c r="D121" s="496"/>
      <c r="G121" s="494"/>
    </row>
    <row r="122" spans="2:7" ht="15.75" customHeight="1">
      <c r="B122" s="495"/>
      <c r="C122" s="494"/>
      <c r="D122" s="496"/>
      <c r="G122" s="494"/>
    </row>
    <row r="123" spans="2:7" ht="15.75" customHeight="1">
      <c r="B123" s="495"/>
      <c r="C123" s="494"/>
      <c r="D123" s="496"/>
      <c r="G123" s="494"/>
    </row>
    <row r="124" spans="2:7" ht="15.75" customHeight="1">
      <c r="B124" s="495"/>
      <c r="C124" s="494"/>
      <c r="D124" s="496"/>
      <c r="G124" s="494"/>
    </row>
    <row r="125" spans="2:7" ht="15.75" customHeight="1">
      <c r="B125" s="495"/>
      <c r="C125" s="494"/>
      <c r="D125" s="496"/>
      <c r="G125" s="494"/>
    </row>
    <row r="126" spans="2:7" ht="15.75" customHeight="1">
      <c r="B126" s="495"/>
      <c r="C126" s="494"/>
      <c r="D126" s="496"/>
      <c r="G126" s="494"/>
    </row>
    <row r="127" spans="2:7" ht="15.75" customHeight="1">
      <c r="B127" s="495"/>
      <c r="C127" s="494"/>
      <c r="D127" s="496"/>
      <c r="G127" s="494"/>
    </row>
    <row r="128" spans="2:7" ht="15.75" customHeight="1">
      <c r="B128" s="495"/>
      <c r="C128" s="494"/>
      <c r="D128" s="496"/>
      <c r="G128" s="494"/>
    </row>
    <row r="129" spans="2:7" ht="15.75" customHeight="1">
      <c r="B129" s="495"/>
      <c r="C129" s="494"/>
      <c r="D129" s="496"/>
      <c r="G129" s="494"/>
    </row>
    <row r="130" spans="2:7" ht="15.75" customHeight="1">
      <c r="B130" s="495"/>
      <c r="C130" s="494"/>
      <c r="D130" s="496"/>
      <c r="G130" s="494"/>
    </row>
    <row r="131" spans="2:7" ht="15.75" customHeight="1">
      <c r="B131" s="495"/>
      <c r="C131" s="494"/>
      <c r="D131" s="496"/>
      <c r="G131" s="494"/>
    </row>
    <row r="132" spans="2:7" ht="15.75" customHeight="1">
      <c r="B132" s="495"/>
      <c r="C132" s="494"/>
      <c r="D132" s="496"/>
      <c r="G132" s="494"/>
    </row>
    <row r="133" spans="2:7" ht="15.75" customHeight="1">
      <c r="B133" s="495"/>
      <c r="C133" s="494"/>
      <c r="D133" s="496"/>
      <c r="G133" s="494"/>
    </row>
    <row r="134" spans="2:7" ht="15.75" customHeight="1">
      <c r="B134" s="495"/>
      <c r="C134" s="494"/>
      <c r="D134" s="496"/>
      <c r="G134" s="494"/>
    </row>
    <row r="135" spans="2:7" ht="15.75" customHeight="1">
      <c r="B135" s="495"/>
      <c r="C135" s="494"/>
      <c r="D135" s="496"/>
      <c r="G135" s="494"/>
    </row>
    <row r="136" spans="2:7" ht="15.75" customHeight="1">
      <c r="B136" s="495"/>
      <c r="C136" s="494"/>
      <c r="D136" s="496"/>
      <c r="G136" s="494"/>
    </row>
    <row r="137" spans="2:7" ht="15.75" customHeight="1">
      <c r="B137" s="495"/>
      <c r="C137" s="494"/>
      <c r="D137" s="496"/>
      <c r="G137" s="494"/>
    </row>
    <row r="138" spans="2:7" ht="15.75" customHeight="1">
      <c r="B138" s="495"/>
      <c r="C138" s="494"/>
      <c r="D138" s="496"/>
      <c r="G138" s="494"/>
    </row>
    <row r="139" spans="2:7" ht="15.75" customHeight="1">
      <c r="B139" s="495"/>
      <c r="C139" s="494"/>
      <c r="D139" s="496"/>
      <c r="G139" s="494"/>
    </row>
    <row r="140" spans="2:7" ht="15.75" customHeight="1">
      <c r="B140" s="495"/>
      <c r="C140" s="494"/>
      <c r="D140" s="496"/>
      <c r="G140" s="494"/>
    </row>
    <row r="141" spans="2:7" ht="15.75" customHeight="1">
      <c r="B141" s="495"/>
      <c r="C141" s="494"/>
      <c r="D141" s="496"/>
      <c r="G141" s="494"/>
    </row>
    <row r="142" spans="2:7" ht="15.75" customHeight="1">
      <c r="B142" s="495"/>
      <c r="C142" s="494"/>
      <c r="D142" s="496"/>
      <c r="G142" s="494"/>
    </row>
    <row r="143" spans="2:7" ht="15.75" customHeight="1">
      <c r="B143" s="495"/>
      <c r="C143" s="494"/>
      <c r="D143" s="496"/>
      <c r="G143" s="494"/>
    </row>
    <row r="144" spans="2:7" ht="15.75" customHeight="1">
      <c r="B144" s="495"/>
      <c r="C144" s="494"/>
      <c r="D144" s="496"/>
      <c r="G144" s="494"/>
    </row>
    <row r="145" spans="2:7" ht="15.75" customHeight="1">
      <c r="B145" s="495"/>
      <c r="C145" s="494"/>
      <c r="D145" s="496"/>
      <c r="G145" s="494"/>
    </row>
    <row r="146" spans="2:7" ht="15.75" customHeight="1">
      <c r="B146" s="495"/>
      <c r="C146" s="494"/>
      <c r="D146" s="496"/>
      <c r="G146" s="494"/>
    </row>
    <row r="147" spans="2:7" ht="15.75" customHeight="1">
      <c r="B147" s="495"/>
      <c r="C147" s="494"/>
      <c r="D147" s="496"/>
      <c r="G147" s="494"/>
    </row>
    <row r="148" spans="2:7" ht="15.75" customHeight="1">
      <c r="B148" s="495"/>
      <c r="C148" s="494"/>
      <c r="D148" s="496"/>
      <c r="G148" s="494"/>
    </row>
    <row r="149" spans="2:7" ht="15.75" customHeight="1">
      <c r="B149" s="495"/>
      <c r="C149" s="494"/>
      <c r="D149" s="496"/>
      <c r="G149" s="494"/>
    </row>
    <row r="150" spans="2:7" ht="15.75" customHeight="1">
      <c r="B150" s="495"/>
      <c r="C150" s="494"/>
      <c r="D150" s="496"/>
      <c r="G150" s="494"/>
    </row>
    <row r="151" spans="2:7" ht="15.75" customHeight="1">
      <c r="B151" s="495"/>
      <c r="C151" s="494"/>
      <c r="D151" s="496"/>
      <c r="G151" s="494"/>
    </row>
    <row r="152" spans="2:7" ht="15.75" customHeight="1">
      <c r="B152" s="495"/>
      <c r="C152" s="494"/>
      <c r="D152" s="496"/>
      <c r="G152" s="494"/>
    </row>
    <row r="153" spans="2:7" ht="15.75" customHeight="1">
      <c r="B153" s="495"/>
      <c r="C153" s="494"/>
      <c r="D153" s="496"/>
      <c r="G153" s="494"/>
    </row>
    <row r="154" spans="2:7" ht="15.75" customHeight="1">
      <c r="B154" s="495"/>
      <c r="C154" s="494"/>
      <c r="D154" s="496"/>
      <c r="G154" s="494"/>
    </row>
    <row r="155" spans="2:7" ht="15.75" customHeight="1">
      <c r="B155" s="495"/>
      <c r="C155" s="494"/>
      <c r="D155" s="496"/>
      <c r="G155" s="494"/>
    </row>
    <row r="156" spans="2:7" ht="15.75" customHeight="1">
      <c r="B156" s="495"/>
      <c r="C156" s="494"/>
      <c r="D156" s="496"/>
      <c r="G156" s="494"/>
    </row>
    <row r="157" spans="2:7" ht="15.75" customHeight="1">
      <c r="B157" s="495"/>
      <c r="C157" s="494"/>
      <c r="D157" s="496"/>
      <c r="G157" s="494"/>
    </row>
    <row r="158" spans="2:7" ht="15.75" customHeight="1">
      <c r="B158" s="495"/>
      <c r="C158" s="494"/>
      <c r="D158" s="496"/>
      <c r="G158" s="494"/>
    </row>
    <row r="159" spans="2:7" ht="15.75" customHeight="1">
      <c r="B159" s="495"/>
      <c r="C159" s="494"/>
      <c r="D159" s="496"/>
      <c r="G159" s="494"/>
    </row>
    <row r="160" spans="2:7" ht="15.75" customHeight="1">
      <c r="B160" s="495"/>
      <c r="C160" s="494"/>
      <c r="D160" s="496"/>
      <c r="G160" s="494"/>
    </row>
    <row r="161" spans="2:7" ht="15.75" customHeight="1">
      <c r="B161" s="495"/>
      <c r="C161" s="494"/>
      <c r="D161" s="496"/>
      <c r="G161" s="494"/>
    </row>
    <row r="162" spans="2:7" ht="15.75" customHeight="1">
      <c r="B162" s="495"/>
      <c r="C162" s="494"/>
      <c r="D162" s="496"/>
      <c r="G162" s="494"/>
    </row>
    <row r="163" spans="2:7" ht="15.75" customHeight="1">
      <c r="B163" s="495"/>
      <c r="C163" s="494"/>
      <c r="D163" s="496"/>
      <c r="G163" s="494"/>
    </row>
    <row r="164" spans="2:7" ht="15.75" customHeight="1">
      <c r="B164" s="495"/>
      <c r="C164" s="494"/>
      <c r="D164" s="496"/>
      <c r="G164" s="494"/>
    </row>
    <row r="165" spans="2:7" ht="15.75" customHeight="1">
      <c r="B165" s="495"/>
      <c r="C165" s="494"/>
      <c r="D165" s="496"/>
      <c r="G165" s="494"/>
    </row>
    <row r="166" spans="2:7" ht="15.75" customHeight="1">
      <c r="B166" s="495"/>
      <c r="C166" s="494"/>
      <c r="D166" s="496"/>
      <c r="G166" s="494"/>
    </row>
    <row r="167" spans="2:7" ht="15.75" customHeight="1">
      <c r="B167" s="495"/>
      <c r="C167" s="494"/>
      <c r="D167" s="496"/>
      <c r="G167" s="494"/>
    </row>
    <row r="168" spans="2:7" ht="15.75" customHeight="1">
      <c r="B168" s="495"/>
      <c r="C168" s="494"/>
      <c r="D168" s="496"/>
      <c r="G168" s="494"/>
    </row>
    <row r="169" spans="2:7" ht="15.75" customHeight="1">
      <c r="B169" s="495"/>
      <c r="C169" s="494"/>
      <c r="D169" s="496"/>
      <c r="G169" s="494"/>
    </row>
    <row r="170" spans="2:7" ht="15.75" customHeight="1">
      <c r="B170" s="495"/>
      <c r="C170" s="494"/>
      <c r="D170" s="496"/>
      <c r="G170" s="494"/>
    </row>
    <row r="171" spans="2:7" ht="15.75" customHeight="1">
      <c r="B171" s="495"/>
      <c r="C171" s="494"/>
      <c r="D171" s="496"/>
      <c r="G171" s="494"/>
    </row>
    <row r="172" spans="2:7" ht="15.75" customHeight="1">
      <c r="B172" s="495"/>
      <c r="C172" s="494"/>
      <c r="D172" s="496"/>
      <c r="G172" s="494"/>
    </row>
    <row r="173" spans="2:7" ht="15.75" customHeight="1">
      <c r="B173" s="495"/>
      <c r="C173" s="494"/>
      <c r="D173" s="496"/>
      <c r="G173" s="494"/>
    </row>
    <row r="174" spans="2:7" ht="15.75" customHeight="1">
      <c r="B174" s="495"/>
      <c r="C174" s="494"/>
      <c r="D174" s="496"/>
      <c r="G174" s="494"/>
    </row>
    <row r="175" spans="2:7" ht="15.75" customHeight="1">
      <c r="B175" s="495"/>
      <c r="C175" s="494"/>
      <c r="D175" s="496"/>
      <c r="G175" s="494"/>
    </row>
    <row r="176" spans="2:7" ht="15.75" customHeight="1">
      <c r="B176" s="495"/>
      <c r="C176" s="494"/>
      <c r="D176" s="496"/>
      <c r="G176" s="494"/>
    </row>
    <row r="177" spans="2:7" ht="15.75" customHeight="1">
      <c r="B177" s="495"/>
      <c r="C177" s="494"/>
      <c r="D177" s="496"/>
      <c r="G177" s="494"/>
    </row>
    <row r="178" spans="2:7" ht="15.75" customHeight="1">
      <c r="B178" s="495"/>
      <c r="C178" s="494"/>
      <c r="D178" s="496"/>
      <c r="G178" s="494"/>
    </row>
    <row r="179" spans="2:7" ht="15.75" customHeight="1">
      <c r="B179" s="495"/>
      <c r="C179" s="494"/>
      <c r="D179" s="496"/>
      <c r="G179" s="494"/>
    </row>
    <row r="180" spans="2:7" ht="15.75" customHeight="1">
      <c r="B180" s="495"/>
      <c r="C180" s="494"/>
      <c r="D180" s="496"/>
      <c r="G180" s="494"/>
    </row>
    <row r="181" spans="2:7" ht="15.75" customHeight="1">
      <c r="B181" s="495"/>
      <c r="C181" s="494"/>
      <c r="D181" s="496"/>
      <c r="G181" s="494"/>
    </row>
    <row r="182" spans="2:7" ht="15.75" customHeight="1">
      <c r="B182" s="495"/>
      <c r="C182" s="494"/>
      <c r="D182" s="496"/>
      <c r="G182" s="494"/>
    </row>
    <row r="183" spans="2:7" ht="15.75" customHeight="1">
      <c r="B183" s="495"/>
      <c r="C183" s="494"/>
      <c r="D183" s="496"/>
      <c r="G183" s="494"/>
    </row>
    <row r="184" spans="2:7" ht="15.75" customHeight="1">
      <c r="B184" s="495"/>
      <c r="C184" s="494"/>
      <c r="D184" s="496"/>
      <c r="G184" s="494"/>
    </row>
    <row r="185" spans="2:7" ht="15.75" customHeight="1">
      <c r="B185" s="495"/>
      <c r="C185" s="494"/>
      <c r="D185" s="496"/>
      <c r="G185" s="494"/>
    </row>
    <row r="186" spans="2:7" ht="15.75" customHeight="1">
      <c r="B186" s="495"/>
      <c r="C186" s="494"/>
      <c r="D186" s="496"/>
      <c r="G186" s="494"/>
    </row>
    <row r="187" spans="2:7" ht="15.75" customHeight="1">
      <c r="B187" s="495"/>
      <c r="C187" s="494"/>
      <c r="D187" s="496"/>
      <c r="G187" s="494"/>
    </row>
    <row r="188" spans="2:7" ht="15.75" customHeight="1">
      <c r="B188" s="495"/>
      <c r="C188" s="494"/>
      <c r="D188" s="496"/>
      <c r="G188" s="494"/>
    </row>
    <row r="189" spans="2:7" ht="15.75" customHeight="1">
      <c r="B189" s="495"/>
      <c r="C189" s="494"/>
      <c r="D189" s="496"/>
      <c r="G189" s="494"/>
    </row>
    <row r="190" spans="2:7" ht="15.75" customHeight="1">
      <c r="B190" s="495"/>
      <c r="C190" s="494"/>
      <c r="D190" s="496"/>
      <c r="G190" s="494"/>
    </row>
    <row r="191" spans="2:7" ht="15.75" customHeight="1">
      <c r="B191" s="495"/>
      <c r="C191" s="494"/>
      <c r="D191" s="496"/>
      <c r="G191" s="494"/>
    </row>
    <row r="192" spans="2:7" ht="15.75" customHeight="1">
      <c r="B192" s="495"/>
      <c r="C192" s="494"/>
      <c r="D192" s="496"/>
      <c r="G192" s="494"/>
    </row>
    <row r="193" spans="2:7" ht="15.75" customHeight="1">
      <c r="B193" s="495"/>
      <c r="C193" s="494"/>
      <c r="D193" s="496"/>
      <c r="G193" s="494"/>
    </row>
    <row r="194" spans="2:7" ht="15.75" customHeight="1">
      <c r="B194" s="495"/>
      <c r="C194" s="494"/>
      <c r="D194" s="496"/>
      <c r="G194" s="494"/>
    </row>
    <row r="195" spans="2:7" ht="15.75" customHeight="1">
      <c r="B195" s="495"/>
      <c r="C195" s="494"/>
      <c r="D195" s="496"/>
      <c r="G195" s="494"/>
    </row>
    <row r="196" spans="2:7" ht="15.75" customHeight="1">
      <c r="B196" s="495"/>
      <c r="C196" s="494"/>
      <c r="D196" s="496"/>
      <c r="G196" s="494"/>
    </row>
    <row r="197" spans="2:7" ht="15.75" customHeight="1">
      <c r="B197" s="495"/>
      <c r="C197" s="494"/>
      <c r="D197" s="496"/>
      <c r="G197" s="494"/>
    </row>
    <row r="198" spans="2:7" ht="15.75" customHeight="1">
      <c r="B198" s="495"/>
      <c r="C198" s="494"/>
      <c r="D198" s="496"/>
      <c r="G198" s="494"/>
    </row>
    <row r="199" spans="2:7" ht="15.75" customHeight="1">
      <c r="B199" s="495"/>
      <c r="C199" s="494"/>
      <c r="D199" s="496"/>
      <c r="G199" s="494"/>
    </row>
    <row r="200" spans="2:7" ht="15.75" customHeight="1">
      <c r="B200" s="495"/>
      <c r="C200" s="494"/>
      <c r="D200" s="496"/>
      <c r="G200" s="494"/>
    </row>
    <row r="201" spans="2:7" ht="15.75" customHeight="1">
      <c r="B201" s="495"/>
      <c r="C201" s="494"/>
      <c r="D201" s="496"/>
      <c r="G201" s="494"/>
    </row>
    <row r="202" spans="2:7" ht="15.75" customHeight="1">
      <c r="B202" s="495"/>
      <c r="C202" s="494"/>
      <c r="D202" s="496"/>
      <c r="G202" s="494"/>
    </row>
    <row r="203" spans="2:7" ht="15.75" customHeight="1">
      <c r="B203" s="495"/>
      <c r="C203" s="494"/>
      <c r="D203" s="496"/>
      <c r="G203" s="494"/>
    </row>
    <row r="204" spans="2:7" ht="15.75" customHeight="1">
      <c r="B204" s="495"/>
      <c r="C204" s="494"/>
      <c r="D204" s="496"/>
      <c r="G204" s="494"/>
    </row>
    <row r="205" spans="2:7" ht="15.75" customHeight="1">
      <c r="B205" s="495"/>
      <c r="C205" s="494"/>
      <c r="D205" s="496"/>
      <c r="G205" s="494"/>
    </row>
    <row r="206" spans="2:7" ht="15.75" customHeight="1">
      <c r="B206" s="495"/>
      <c r="C206" s="494"/>
      <c r="D206" s="496"/>
      <c r="G206" s="494"/>
    </row>
    <row r="207" spans="2:7" ht="15.75" customHeight="1">
      <c r="B207" s="495"/>
      <c r="C207" s="494"/>
      <c r="D207" s="496"/>
      <c r="G207" s="494"/>
    </row>
    <row r="208" spans="2:7" ht="15.75" customHeight="1">
      <c r="B208" s="495"/>
      <c r="C208" s="494"/>
      <c r="D208" s="496"/>
      <c r="G208" s="494"/>
    </row>
    <row r="209" spans="2:7" ht="15.75" customHeight="1">
      <c r="B209" s="495"/>
      <c r="C209" s="494"/>
      <c r="D209" s="496"/>
      <c r="G209" s="494"/>
    </row>
    <row r="210" spans="2:7" ht="15.75" customHeight="1">
      <c r="B210" s="495"/>
      <c r="C210" s="494"/>
      <c r="D210" s="496"/>
      <c r="G210" s="494"/>
    </row>
    <row r="211" spans="2:7" ht="15.75" customHeight="1">
      <c r="B211" s="495"/>
      <c r="C211" s="494"/>
      <c r="D211" s="496"/>
      <c r="G211" s="494"/>
    </row>
    <row r="212" spans="2:7" ht="15.75" customHeight="1">
      <c r="B212" s="495"/>
      <c r="C212" s="494"/>
      <c r="D212" s="496"/>
      <c r="G212" s="494"/>
    </row>
    <row r="213" spans="2:7" ht="15.75" customHeight="1">
      <c r="B213" s="495"/>
      <c r="C213" s="494"/>
      <c r="D213" s="496"/>
      <c r="G213" s="494"/>
    </row>
    <row r="214" spans="2:7" ht="15.75" customHeight="1">
      <c r="B214" s="495"/>
      <c r="C214" s="494"/>
      <c r="D214" s="496"/>
      <c r="G214" s="494"/>
    </row>
    <row r="215" spans="2:7" ht="15.75" customHeight="1">
      <c r="B215" s="495"/>
      <c r="C215" s="494"/>
      <c r="D215" s="496"/>
      <c r="G215" s="494"/>
    </row>
    <row r="216" spans="2:7" ht="15.75" customHeight="1">
      <c r="B216" s="495"/>
      <c r="C216" s="494"/>
      <c r="D216" s="496"/>
      <c r="G216" s="494"/>
    </row>
    <row r="217" spans="2:7" ht="15.75" customHeight="1">
      <c r="B217" s="495"/>
      <c r="C217" s="494"/>
      <c r="D217" s="496"/>
      <c r="G217" s="494"/>
    </row>
    <row r="218" spans="2:7" ht="15.75" customHeight="1">
      <c r="B218" s="495"/>
      <c r="C218" s="494"/>
      <c r="D218" s="496"/>
      <c r="G218" s="494"/>
    </row>
    <row r="219" spans="2:7" ht="15.75" customHeight="1">
      <c r="B219" s="495"/>
      <c r="C219" s="494"/>
      <c r="D219" s="496"/>
      <c r="G219" s="494"/>
    </row>
    <row r="220" spans="2:7" ht="15.75" customHeight="1">
      <c r="B220" s="495"/>
      <c r="C220" s="494"/>
      <c r="D220" s="496"/>
      <c r="G220" s="494"/>
    </row>
    <row r="221" spans="2:7" ht="15.75" customHeight="1">
      <c r="B221" s="495"/>
      <c r="C221" s="494"/>
      <c r="D221" s="496"/>
      <c r="G221" s="494"/>
    </row>
    <row r="222" spans="2:7" ht="15.75" customHeight="1">
      <c r="B222" s="495"/>
      <c r="C222" s="494"/>
      <c r="D222" s="496"/>
      <c r="G222" s="494"/>
    </row>
    <row r="223" spans="2:7" ht="15.75" customHeight="1">
      <c r="B223" s="495"/>
      <c r="C223" s="494"/>
      <c r="D223" s="496"/>
      <c r="G223" s="494"/>
    </row>
    <row r="224" spans="2:7" ht="15.75" customHeight="1">
      <c r="B224" s="495"/>
      <c r="C224" s="494"/>
      <c r="D224" s="496"/>
      <c r="G224" s="494"/>
    </row>
    <row r="225" spans="2:7" ht="15.75" customHeight="1">
      <c r="B225" s="495"/>
      <c r="C225" s="494"/>
      <c r="D225" s="496"/>
      <c r="G225" s="494"/>
    </row>
    <row r="226" spans="2:7" ht="15.75" customHeight="1">
      <c r="B226" s="495"/>
      <c r="C226" s="494"/>
      <c r="D226" s="496"/>
      <c r="G226" s="494"/>
    </row>
    <row r="227" spans="2:7" ht="15.75" customHeight="1">
      <c r="B227" s="495"/>
      <c r="C227" s="494"/>
      <c r="D227" s="496"/>
      <c r="G227" s="494"/>
    </row>
    <row r="228" spans="2:7" ht="15.75" customHeight="1">
      <c r="B228" s="495"/>
      <c r="C228" s="494"/>
      <c r="D228" s="496"/>
      <c r="G228" s="494"/>
    </row>
    <row r="229" spans="2:7" ht="15.75" customHeight="1">
      <c r="B229" s="495"/>
      <c r="C229" s="494"/>
      <c r="D229" s="496"/>
      <c r="G229" s="494"/>
    </row>
    <row r="230" spans="2:7" ht="15.75" customHeight="1">
      <c r="B230" s="495"/>
      <c r="C230" s="494"/>
      <c r="D230" s="496"/>
      <c r="G230" s="494"/>
    </row>
    <row r="231" spans="2:7" ht="15.75" customHeight="1">
      <c r="B231" s="495"/>
      <c r="C231" s="494"/>
      <c r="D231" s="496"/>
      <c r="G231" s="494"/>
    </row>
    <row r="232" spans="2:7" ht="15.75" customHeight="1">
      <c r="B232" s="495"/>
      <c r="C232" s="494"/>
      <c r="D232" s="496"/>
      <c r="G232" s="494"/>
    </row>
    <row r="233" spans="2:7" ht="15.75" customHeight="1">
      <c r="B233" s="495"/>
      <c r="C233" s="494"/>
      <c r="D233" s="496"/>
      <c r="G233" s="494"/>
    </row>
    <row r="234" spans="2:7" ht="15.75" customHeight="1">
      <c r="B234" s="495"/>
      <c r="C234" s="494"/>
      <c r="D234" s="496"/>
      <c r="G234" s="494"/>
    </row>
    <row r="235" spans="2:7" ht="15.75" customHeight="1"/>
    <row r="236" spans="2:7" ht="15.75" customHeight="1"/>
    <row r="237" spans="2:7" ht="15.75" customHeight="1"/>
    <row r="238" spans="2:7" ht="15.75" customHeight="1"/>
    <row r="239" spans="2:7" ht="15.75" customHeight="1"/>
    <row r="240" spans="2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35:E35"/>
    <mergeCell ref="C36:R37"/>
    <mergeCell ref="A39:P40"/>
    <mergeCell ref="B1:D1"/>
    <mergeCell ref="E1:F1"/>
    <mergeCell ref="G1:H1"/>
    <mergeCell ref="I1:K1"/>
    <mergeCell ref="J34:K34"/>
  </mergeCells>
  <printOptions horizontalCentered="1" gridLines="1"/>
  <pageMargins left="0.7" right="0.7" top="0.75" bottom="0.75" header="0" footer="0"/>
  <pageSetup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FF"/>
    <outlinePr summaryBelow="0" summaryRight="0"/>
  </sheetPr>
  <dimension ref="A1:AI1000"/>
  <sheetViews>
    <sheetView workbookViewId="0"/>
  </sheetViews>
  <sheetFormatPr baseColWidth="10" defaultColWidth="12.5703125" defaultRowHeight="15" customHeight="1"/>
  <cols>
    <col min="1" max="1" width="12.28515625" customWidth="1"/>
    <col min="2" max="2" width="48" customWidth="1"/>
    <col min="3" max="3" width="6.85546875" customWidth="1"/>
    <col min="4" max="34" width="3.5703125" customWidth="1"/>
    <col min="35" max="35" width="9.28515625" customWidth="1"/>
  </cols>
  <sheetData>
    <row r="1" spans="1:35" ht="15.75" customHeight="1">
      <c r="A1" s="669" t="s">
        <v>2</v>
      </c>
      <c r="B1" s="670" t="s">
        <v>0</v>
      </c>
      <c r="C1" s="621" t="s">
        <v>1</v>
      </c>
      <c r="D1" s="671">
        <v>1</v>
      </c>
      <c r="E1" s="672">
        <v>2</v>
      </c>
      <c r="F1" s="672">
        <v>3</v>
      </c>
      <c r="G1" s="672">
        <v>4</v>
      </c>
      <c r="H1" s="672">
        <v>5</v>
      </c>
      <c r="I1" s="672">
        <v>6</v>
      </c>
      <c r="J1" s="672">
        <v>7</v>
      </c>
      <c r="K1" s="672">
        <v>8</v>
      </c>
      <c r="L1" s="672">
        <v>9</v>
      </c>
      <c r="M1" s="672">
        <v>10</v>
      </c>
      <c r="N1" s="672">
        <v>11</v>
      </c>
      <c r="O1" s="672">
        <v>12</v>
      </c>
      <c r="P1" s="672">
        <v>13</v>
      </c>
      <c r="Q1" s="672">
        <v>14</v>
      </c>
      <c r="R1" s="672">
        <v>15</v>
      </c>
      <c r="S1" s="672">
        <v>16</v>
      </c>
      <c r="T1" s="672">
        <v>17</v>
      </c>
      <c r="U1" s="672">
        <v>18</v>
      </c>
      <c r="V1" s="672">
        <v>19</v>
      </c>
      <c r="W1" s="672">
        <v>20</v>
      </c>
      <c r="X1" s="672">
        <v>21</v>
      </c>
      <c r="Y1" s="672">
        <v>22</v>
      </c>
      <c r="Z1" s="672">
        <v>23</v>
      </c>
      <c r="AA1" s="672">
        <v>24</v>
      </c>
      <c r="AB1" s="672">
        <v>25</v>
      </c>
      <c r="AC1" s="672">
        <v>26</v>
      </c>
      <c r="AD1" s="672">
        <v>27</v>
      </c>
      <c r="AE1" s="672">
        <v>28</v>
      </c>
      <c r="AF1" s="672">
        <v>29</v>
      </c>
      <c r="AG1" s="672">
        <v>30</v>
      </c>
      <c r="AH1" s="674">
        <v>31</v>
      </c>
      <c r="AI1" s="670" t="s">
        <v>3</v>
      </c>
    </row>
    <row r="2" spans="1:35" ht="23.25" customHeight="1">
      <c r="A2" s="648"/>
      <c r="B2" s="601"/>
      <c r="C2" s="601"/>
      <c r="D2" s="661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Y2" s="673"/>
      <c r="Z2" s="673"/>
      <c r="AA2" s="673"/>
      <c r="AB2" s="673"/>
      <c r="AC2" s="673"/>
      <c r="AD2" s="673"/>
      <c r="AE2" s="673"/>
      <c r="AF2" s="673"/>
      <c r="AG2" s="673"/>
      <c r="AH2" s="675"/>
      <c r="AI2" s="601"/>
    </row>
    <row r="3" spans="1:35" ht="15.75" customHeight="1">
      <c r="A3" s="676" t="s">
        <v>433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7"/>
    </row>
    <row r="4" spans="1:35" ht="15.75" customHeight="1">
      <c r="A4" s="505">
        <v>2212004011</v>
      </c>
      <c r="B4" s="506" t="s">
        <v>16</v>
      </c>
      <c r="C4" s="507" t="s">
        <v>6</v>
      </c>
      <c r="D4" s="508">
        <v>4</v>
      </c>
      <c r="E4" s="508">
        <v>4</v>
      </c>
      <c r="F4" s="508">
        <v>4</v>
      </c>
      <c r="G4" s="508">
        <v>4</v>
      </c>
      <c r="H4" s="508">
        <v>4</v>
      </c>
      <c r="I4" s="508">
        <v>4</v>
      </c>
      <c r="J4" s="508">
        <v>4</v>
      </c>
      <c r="K4" s="508">
        <v>4</v>
      </c>
      <c r="L4" s="508">
        <v>4</v>
      </c>
      <c r="M4" s="508">
        <v>4</v>
      </c>
      <c r="N4" s="508">
        <v>4</v>
      </c>
      <c r="O4" s="508">
        <v>4</v>
      </c>
      <c r="P4" s="508">
        <v>4</v>
      </c>
      <c r="Q4" s="508">
        <v>4</v>
      </c>
      <c r="R4" s="508">
        <v>4</v>
      </c>
      <c r="S4" s="508">
        <v>4</v>
      </c>
      <c r="T4" s="508">
        <v>4</v>
      </c>
      <c r="U4" s="508">
        <v>4</v>
      </c>
      <c r="V4" s="508">
        <v>4</v>
      </c>
      <c r="W4" s="508">
        <v>4</v>
      </c>
      <c r="X4" s="508">
        <v>4</v>
      </c>
      <c r="Y4" s="508">
        <v>4</v>
      </c>
      <c r="Z4" s="508">
        <v>4</v>
      </c>
      <c r="AA4" s="508">
        <v>4</v>
      </c>
      <c r="AB4" s="508">
        <v>4</v>
      </c>
      <c r="AC4" s="508">
        <v>4</v>
      </c>
      <c r="AD4" s="508">
        <v>4</v>
      </c>
      <c r="AE4" s="508">
        <v>4</v>
      </c>
      <c r="AF4" s="508">
        <v>4</v>
      </c>
      <c r="AG4" s="508">
        <v>4</v>
      </c>
      <c r="AH4" s="508">
        <v>4</v>
      </c>
      <c r="AI4" s="509">
        <f t="shared" ref="AI4:AI17" si="0">SUM(D4:AH4)</f>
        <v>124</v>
      </c>
    </row>
    <row r="5" spans="1:35" ht="15.75" customHeight="1">
      <c r="A5" s="510">
        <v>2212004020</v>
      </c>
      <c r="B5" s="511" t="s">
        <v>25</v>
      </c>
      <c r="C5" s="512" t="s">
        <v>6</v>
      </c>
      <c r="D5" s="513">
        <v>5</v>
      </c>
      <c r="E5" s="513">
        <v>5</v>
      </c>
      <c r="F5" s="513">
        <v>5</v>
      </c>
      <c r="G5" s="513">
        <v>5</v>
      </c>
      <c r="H5" s="513">
        <v>5</v>
      </c>
      <c r="I5" s="513">
        <v>5</v>
      </c>
      <c r="J5" s="513">
        <v>5</v>
      </c>
      <c r="K5" s="513">
        <v>5</v>
      </c>
      <c r="L5" s="513">
        <v>5</v>
      </c>
      <c r="M5" s="513">
        <v>5</v>
      </c>
      <c r="N5" s="513">
        <v>5</v>
      </c>
      <c r="O5" s="513">
        <v>5</v>
      </c>
      <c r="P5" s="513">
        <v>5</v>
      </c>
      <c r="Q5" s="513">
        <v>5</v>
      </c>
      <c r="R5" s="513">
        <v>5</v>
      </c>
      <c r="S5" s="513">
        <v>5</v>
      </c>
      <c r="T5" s="513">
        <v>5</v>
      </c>
      <c r="U5" s="513">
        <v>5</v>
      </c>
      <c r="V5" s="513">
        <v>5</v>
      </c>
      <c r="W5" s="513">
        <v>5</v>
      </c>
      <c r="X5" s="513">
        <v>5</v>
      </c>
      <c r="Y5" s="513">
        <v>5</v>
      </c>
      <c r="Z5" s="513">
        <v>5</v>
      </c>
      <c r="AA5" s="513">
        <v>5</v>
      </c>
      <c r="AB5" s="513">
        <v>5</v>
      </c>
      <c r="AC5" s="513">
        <v>5</v>
      </c>
      <c r="AD5" s="513">
        <v>5</v>
      </c>
      <c r="AE5" s="513">
        <v>5</v>
      </c>
      <c r="AF5" s="513">
        <v>5</v>
      </c>
      <c r="AG5" s="513">
        <v>5</v>
      </c>
      <c r="AH5" s="513">
        <v>5</v>
      </c>
      <c r="AI5" s="514">
        <f t="shared" si="0"/>
        <v>155</v>
      </c>
    </row>
    <row r="6" spans="1:35" ht="15.75" customHeight="1">
      <c r="A6" s="510">
        <v>2212001196</v>
      </c>
      <c r="B6" s="511" t="s">
        <v>170</v>
      </c>
      <c r="C6" s="512" t="s">
        <v>171</v>
      </c>
      <c r="D6" s="515">
        <v>15</v>
      </c>
      <c r="E6" s="515">
        <v>15</v>
      </c>
      <c r="F6" s="515">
        <v>15</v>
      </c>
      <c r="G6" s="515">
        <v>15</v>
      </c>
      <c r="H6" s="515">
        <v>15</v>
      </c>
      <c r="I6" s="515">
        <v>15</v>
      </c>
      <c r="J6" s="515">
        <v>15</v>
      </c>
      <c r="K6" s="515">
        <v>15</v>
      </c>
      <c r="L6" s="515">
        <v>15</v>
      </c>
      <c r="M6" s="515">
        <v>15</v>
      </c>
      <c r="N6" s="515">
        <v>15</v>
      </c>
      <c r="O6" s="515">
        <v>15</v>
      </c>
      <c r="P6" s="515">
        <v>15</v>
      </c>
      <c r="Q6" s="515">
        <v>15</v>
      </c>
      <c r="R6" s="515">
        <v>15</v>
      </c>
      <c r="S6" s="515">
        <v>15</v>
      </c>
      <c r="T6" s="515">
        <v>15</v>
      </c>
      <c r="U6" s="515">
        <v>15</v>
      </c>
      <c r="V6" s="515">
        <v>15</v>
      </c>
      <c r="W6" s="515">
        <v>15</v>
      </c>
      <c r="X6" s="515">
        <v>15</v>
      </c>
      <c r="Y6" s="515">
        <v>15</v>
      </c>
      <c r="Z6" s="515">
        <v>15</v>
      </c>
      <c r="AA6" s="515">
        <v>15</v>
      </c>
      <c r="AB6" s="515">
        <v>15</v>
      </c>
      <c r="AC6" s="515">
        <v>15</v>
      </c>
      <c r="AD6" s="515">
        <v>15</v>
      </c>
      <c r="AE6" s="515">
        <v>15</v>
      </c>
      <c r="AF6" s="515">
        <v>15</v>
      </c>
      <c r="AG6" s="515">
        <v>15</v>
      </c>
      <c r="AH6" s="515">
        <v>15</v>
      </c>
      <c r="AI6" s="514">
        <f t="shared" si="0"/>
        <v>465</v>
      </c>
    </row>
    <row r="7" spans="1:35" ht="15.75" customHeight="1">
      <c r="A7" s="510">
        <v>2212009008</v>
      </c>
      <c r="B7" s="511" t="s">
        <v>240</v>
      </c>
      <c r="C7" s="512" t="s">
        <v>6</v>
      </c>
      <c r="D7" s="513">
        <v>0</v>
      </c>
      <c r="E7" s="513">
        <v>0</v>
      </c>
      <c r="F7" s="513">
        <v>0</v>
      </c>
      <c r="G7" s="513">
        <v>0</v>
      </c>
      <c r="H7" s="513">
        <v>0</v>
      </c>
      <c r="I7" s="516">
        <v>15</v>
      </c>
      <c r="J7" s="513">
        <v>0</v>
      </c>
      <c r="K7" s="513">
        <v>0</v>
      </c>
      <c r="L7" s="513">
        <v>0</v>
      </c>
      <c r="M7" s="513">
        <v>0</v>
      </c>
      <c r="N7" s="513">
        <v>0</v>
      </c>
      <c r="O7" s="513">
        <v>0</v>
      </c>
      <c r="P7" s="513">
        <v>0</v>
      </c>
      <c r="Q7" s="513">
        <v>0</v>
      </c>
      <c r="R7" s="513">
        <v>0</v>
      </c>
      <c r="S7" s="513">
        <v>0</v>
      </c>
      <c r="T7" s="513">
        <v>0</v>
      </c>
      <c r="U7" s="513">
        <v>0</v>
      </c>
      <c r="V7" s="513">
        <v>0</v>
      </c>
      <c r="W7" s="516">
        <v>15</v>
      </c>
      <c r="X7" s="513">
        <v>0</v>
      </c>
      <c r="Y7" s="513">
        <v>0</v>
      </c>
      <c r="Z7" s="513">
        <v>0</v>
      </c>
      <c r="AA7" s="513">
        <v>0</v>
      </c>
      <c r="AB7" s="513">
        <v>0</v>
      </c>
      <c r="AC7" s="513">
        <v>0</v>
      </c>
      <c r="AD7" s="513">
        <v>0</v>
      </c>
      <c r="AE7" s="513">
        <v>0</v>
      </c>
      <c r="AF7" s="513">
        <v>0</v>
      </c>
      <c r="AG7" s="513">
        <v>0</v>
      </c>
      <c r="AH7" s="513">
        <v>0</v>
      </c>
      <c r="AI7" s="514">
        <f t="shared" si="0"/>
        <v>30</v>
      </c>
    </row>
    <row r="8" spans="1:35" ht="15.75" customHeight="1">
      <c r="A8" s="510">
        <v>2212001001</v>
      </c>
      <c r="B8" s="511" t="s">
        <v>292</v>
      </c>
      <c r="C8" s="512" t="s">
        <v>293</v>
      </c>
      <c r="D8" s="513">
        <v>0</v>
      </c>
      <c r="E8" s="513">
        <v>0</v>
      </c>
      <c r="F8" s="513">
        <v>0</v>
      </c>
      <c r="G8" s="513">
        <v>0</v>
      </c>
      <c r="H8" s="513">
        <v>0</v>
      </c>
      <c r="I8" s="517">
        <v>1</v>
      </c>
      <c r="J8" s="513">
        <v>0</v>
      </c>
      <c r="K8" s="513">
        <v>0</v>
      </c>
      <c r="L8" s="513">
        <v>0</v>
      </c>
      <c r="M8" s="513">
        <v>0</v>
      </c>
      <c r="N8" s="513">
        <v>0</v>
      </c>
      <c r="O8" s="513">
        <v>0</v>
      </c>
      <c r="P8" s="513">
        <v>0</v>
      </c>
      <c r="Q8" s="513">
        <v>0</v>
      </c>
      <c r="R8" s="513">
        <v>0</v>
      </c>
      <c r="S8" s="513">
        <v>0</v>
      </c>
      <c r="T8" s="513">
        <v>0</v>
      </c>
      <c r="U8" s="513">
        <v>0</v>
      </c>
      <c r="V8" s="513">
        <v>0</v>
      </c>
      <c r="W8" s="517">
        <v>1</v>
      </c>
      <c r="X8" s="513">
        <v>0</v>
      </c>
      <c r="Y8" s="513">
        <v>0</v>
      </c>
      <c r="Z8" s="513">
        <v>0</v>
      </c>
      <c r="AA8" s="513">
        <v>0</v>
      </c>
      <c r="AB8" s="513">
        <v>0</v>
      </c>
      <c r="AC8" s="513">
        <v>0</v>
      </c>
      <c r="AD8" s="513">
        <v>0</v>
      </c>
      <c r="AE8" s="513">
        <v>0</v>
      </c>
      <c r="AF8" s="513">
        <v>0</v>
      </c>
      <c r="AG8" s="513">
        <v>0</v>
      </c>
      <c r="AH8" s="513">
        <v>0</v>
      </c>
      <c r="AI8" s="514">
        <f t="shared" si="0"/>
        <v>2</v>
      </c>
    </row>
    <row r="9" spans="1:35" ht="15.75" customHeight="1">
      <c r="A9" s="510">
        <v>2212001007</v>
      </c>
      <c r="B9" s="511" t="s">
        <v>297</v>
      </c>
      <c r="C9" s="512" t="s">
        <v>6</v>
      </c>
      <c r="D9" s="513">
        <v>0</v>
      </c>
      <c r="E9" s="513">
        <v>0</v>
      </c>
      <c r="F9" s="513">
        <v>0</v>
      </c>
      <c r="G9" s="513">
        <v>0</v>
      </c>
      <c r="H9" s="513">
        <v>0</v>
      </c>
      <c r="I9" s="516">
        <v>10</v>
      </c>
      <c r="J9" s="513">
        <v>0</v>
      </c>
      <c r="K9" s="513">
        <v>0</v>
      </c>
      <c r="L9" s="513">
        <v>0</v>
      </c>
      <c r="M9" s="513">
        <v>0</v>
      </c>
      <c r="N9" s="513">
        <v>0</v>
      </c>
      <c r="O9" s="513">
        <v>0</v>
      </c>
      <c r="P9" s="513">
        <v>0</v>
      </c>
      <c r="Q9" s="513">
        <v>0</v>
      </c>
      <c r="R9" s="513">
        <v>0</v>
      </c>
      <c r="S9" s="513">
        <v>0</v>
      </c>
      <c r="T9" s="513">
        <v>0</v>
      </c>
      <c r="U9" s="513">
        <v>0</v>
      </c>
      <c r="V9" s="513">
        <v>0</v>
      </c>
      <c r="W9" s="516">
        <v>10</v>
      </c>
      <c r="X9" s="513">
        <v>0</v>
      </c>
      <c r="Y9" s="513">
        <v>0</v>
      </c>
      <c r="Z9" s="513">
        <v>0</v>
      </c>
      <c r="AA9" s="513">
        <v>0</v>
      </c>
      <c r="AB9" s="513">
        <v>0</v>
      </c>
      <c r="AC9" s="513">
        <v>0</v>
      </c>
      <c r="AD9" s="513">
        <v>0</v>
      </c>
      <c r="AE9" s="513">
        <v>0</v>
      </c>
      <c r="AF9" s="513">
        <v>0</v>
      </c>
      <c r="AG9" s="513">
        <v>0</v>
      </c>
      <c r="AH9" s="513">
        <v>0</v>
      </c>
      <c r="AI9" s="514">
        <f t="shared" si="0"/>
        <v>20</v>
      </c>
    </row>
    <row r="10" spans="1:35" ht="15.75" customHeight="1">
      <c r="A10" s="510">
        <v>2212001034</v>
      </c>
      <c r="B10" s="511" t="s">
        <v>318</v>
      </c>
      <c r="C10" s="512" t="s">
        <v>6</v>
      </c>
      <c r="D10" s="513">
        <v>0</v>
      </c>
      <c r="E10" s="513">
        <v>0</v>
      </c>
      <c r="F10" s="513">
        <v>0</v>
      </c>
      <c r="G10" s="513">
        <v>0</v>
      </c>
      <c r="H10" s="513">
        <v>0</v>
      </c>
      <c r="I10" s="517">
        <v>15</v>
      </c>
      <c r="J10" s="513">
        <v>0</v>
      </c>
      <c r="K10" s="513">
        <v>0</v>
      </c>
      <c r="L10" s="513">
        <v>0</v>
      </c>
      <c r="M10" s="513">
        <v>0</v>
      </c>
      <c r="N10" s="513">
        <v>0</v>
      </c>
      <c r="O10" s="513">
        <v>0</v>
      </c>
      <c r="P10" s="513">
        <v>0</v>
      </c>
      <c r="Q10" s="513">
        <v>0</v>
      </c>
      <c r="R10" s="513">
        <v>0</v>
      </c>
      <c r="S10" s="513">
        <v>0</v>
      </c>
      <c r="T10" s="513">
        <v>0</v>
      </c>
      <c r="U10" s="513">
        <v>0</v>
      </c>
      <c r="V10" s="513">
        <v>0</v>
      </c>
      <c r="W10" s="517">
        <v>15</v>
      </c>
      <c r="X10" s="513">
        <v>0</v>
      </c>
      <c r="Y10" s="513">
        <v>0</v>
      </c>
      <c r="Z10" s="513">
        <v>0</v>
      </c>
      <c r="AA10" s="513">
        <v>0</v>
      </c>
      <c r="AB10" s="513">
        <v>0</v>
      </c>
      <c r="AC10" s="513">
        <v>0</v>
      </c>
      <c r="AD10" s="513">
        <v>0</v>
      </c>
      <c r="AE10" s="513">
        <v>0</v>
      </c>
      <c r="AF10" s="513">
        <v>0</v>
      </c>
      <c r="AG10" s="513">
        <v>0</v>
      </c>
      <c r="AH10" s="513">
        <v>0</v>
      </c>
      <c r="AI10" s="514">
        <f t="shared" si="0"/>
        <v>30</v>
      </c>
    </row>
    <row r="11" spans="1:35" ht="15.75" customHeight="1">
      <c r="A11" s="510">
        <v>2212001045</v>
      </c>
      <c r="B11" s="511" t="s">
        <v>327</v>
      </c>
      <c r="C11" s="512" t="s">
        <v>296</v>
      </c>
      <c r="D11" s="513">
        <v>0</v>
      </c>
      <c r="E11" s="513">
        <v>0</v>
      </c>
      <c r="F11" s="513">
        <v>0</v>
      </c>
      <c r="G11" s="513">
        <v>0</v>
      </c>
      <c r="H11" s="513">
        <v>0</v>
      </c>
      <c r="I11" s="516">
        <v>0</v>
      </c>
      <c r="J11" s="513">
        <v>0</v>
      </c>
      <c r="K11" s="513">
        <v>0</v>
      </c>
      <c r="L11" s="513">
        <v>0</v>
      </c>
      <c r="M11" s="513">
        <v>0</v>
      </c>
      <c r="N11" s="513">
        <v>0</v>
      </c>
      <c r="O11" s="513">
        <v>0</v>
      </c>
      <c r="P11" s="513">
        <v>0</v>
      </c>
      <c r="Q11" s="513">
        <v>0</v>
      </c>
      <c r="R11" s="513">
        <v>0</v>
      </c>
      <c r="S11" s="513">
        <v>0</v>
      </c>
      <c r="T11" s="513">
        <v>0</v>
      </c>
      <c r="U11" s="513">
        <v>0</v>
      </c>
      <c r="V11" s="513">
        <v>0</v>
      </c>
      <c r="W11" s="516">
        <v>0</v>
      </c>
      <c r="X11" s="513">
        <v>0</v>
      </c>
      <c r="Y11" s="513">
        <v>0</v>
      </c>
      <c r="Z11" s="513">
        <v>0</v>
      </c>
      <c r="AA11" s="513">
        <v>0</v>
      </c>
      <c r="AB11" s="513">
        <v>0</v>
      </c>
      <c r="AC11" s="513">
        <v>0</v>
      </c>
      <c r="AD11" s="513">
        <v>0</v>
      </c>
      <c r="AE11" s="513">
        <v>0</v>
      </c>
      <c r="AF11" s="513">
        <v>0</v>
      </c>
      <c r="AG11" s="513">
        <v>0</v>
      </c>
      <c r="AH11" s="513">
        <v>0</v>
      </c>
      <c r="AI11" s="514">
        <f t="shared" si="0"/>
        <v>0</v>
      </c>
    </row>
    <row r="12" spans="1:35" ht="15.75" customHeight="1">
      <c r="A12" s="510">
        <v>2212001071</v>
      </c>
      <c r="B12" s="511" t="s">
        <v>349</v>
      </c>
      <c r="C12" s="512" t="s">
        <v>171</v>
      </c>
      <c r="D12" s="513">
        <v>0</v>
      </c>
      <c r="E12" s="513">
        <v>0</v>
      </c>
      <c r="F12" s="513">
        <v>0</v>
      </c>
      <c r="G12" s="513">
        <v>0</v>
      </c>
      <c r="H12" s="513">
        <v>0</v>
      </c>
      <c r="I12" s="517">
        <v>1</v>
      </c>
      <c r="J12" s="513">
        <v>0</v>
      </c>
      <c r="K12" s="513">
        <v>0</v>
      </c>
      <c r="L12" s="513">
        <v>0</v>
      </c>
      <c r="M12" s="513">
        <v>0</v>
      </c>
      <c r="N12" s="513">
        <v>0</v>
      </c>
      <c r="O12" s="513">
        <v>0</v>
      </c>
      <c r="P12" s="513">
        <v>0</v>
      </c>
      <c r="Q12" s="513">
        <v>0</v>
      </c>
      <c r="R12" s="513">
        <v>0</v>
      </c>
      <c r="S12" s="513">
        <v>0</v>
      </c>
      <c r="T12" s="513">
        <v>0</v>
      </c>
      <c r="U12" s="513">
        <v>0</v>
      </c>
      <c r="V12" s="513">
        <v>0</v>
      </c>
      <c r="W12" s="517">
        <v>1</v>
      </c>
      <c r="X12" s="513">
        <v>0</v>
      </c>
      <c r="Y12" s="513">
        <v>0</v>
      </c>
      <c r="Z12" s="513">
        <v>0</v>
      </c>
      <c r="AA12" s="513">
        <v>0</v>
      </c>
      <c r="AB12" s="513">
        <v>0</v>
      </c>
      <c r="AC12" s="513">
        <v>0</v>
      </c>
      <c r="AD12" s="513">
        <v>0</v>
      </c>
      <c r="AE12" s="513">
        <v>0</v>
      </c>
      <c r="AF12" s="513">
        <v>0</v>
      </c>
      <c r="AG12" s="513">
        <v>0</v>
      </c>
      <c r="AH12" s="513">
        <v>0</v>
      </c>
      <c r="AI12" s="514">
        <f t="shared" si="0"/>
        <v>2</v>
      </c>
    </row>
    <row r="13" spans="1:35" ht="45.75" customHeight="1">
      <c r="A13" s="518">
        <v>2212001181</v>
      </c>
      <c r="B13" s="519" t="s">
        <v>404</v>
      </c>
      <c r="C13" s="520" t="s">
        <v>6</v>
      </c>
      <c r="D13" s="513">
        <v>0</v>
      </c>
      <c r="E13" s="513">
        <v>0</v>
      </c>
      <c r="F13" s="521">
        <v>0</v>
      </c>
      <c r="G13" s="513">
        <v>0</v>
      </c>
      <c r="H13" s="513">
        <v>0</v>
      </c>
      <c r="I13" s="516">
        <v>25</v>
      </c>
      <c r="J13" s="513">
        <v>0</v>
      </c>
      <c r="K13" s="513">
        <v>0</v>
      </c>
      <c r="L13" s="513">
        <v>0</v>
      </c>
      <c r="M13" s="513">
        <v>0</v>
      </c>
      <c r="N13" s="513">
        <v>0</v>
      </c>
      <c r="O13" s="513">
        <v>0</v>
      </c>
      <c r="P13" s="513">
        <v>0</v>
      </c>
      <c r="Q13" s="513">
        <v>0</v>
      </c>
      <c r="R13" s="513">
        <v>0</v>
      </c>
      <c r="S13" s="513">
        <v>0</v>
      </c>
      <c r="T13" s="513">
        <v>0</v>
      </c>
      <c r="U13" s="513">
        <v>0</v>
      </c>
      <c r="V13" s="513">
        <v>0</v>
      </c>
      <c r="W13" s="516">
        <v>25</v>
      </c>
      <c r="X13" s="513">
        <v>0</v>
      </c>
      <c r="Y13" s="513">
        <v>0</v>
      </c>
      <c r="Z13" s="513">
        <v>0</v>
      </c>
      <c r="AA13" s="513">
        <v>0</v>
      </c>
      <c r="AB13" s="513">
        <v>0</v>
      </c>
      <c r="AC13" s="513">
        <v>0</v>
      </c>
      <c r="AD13" s="513">
        <v>0</v>
      </c>
      <c r="AE13" s="513">
        <v>0</v>
      </c>
      <c r="AF13" s="513">
        <v>0</v>
      </c>
      <c r="AG13" s="513">
        <v>0</v>
      </c>
      <c r="AH13" s="513">
        <v>0</v>
      </c>
      <c r="AI13" s="514">
        <f t="shared" si="0"/>
        <v>50</v>
      </c>
    </row>
    <row r="14" spans="1:35" ht="15.75" customHeight="1">
      <c r="A14" s="522">
        <v>2212012014</v>
      </c>
      <c r="B14" s="524" t="s">
        <v>416</v>
      </c>
      <c r="C14" s="525" t="s">
        <v>296</v>
      </c>
      <c r="D14" s="513">
        <v>0</v>
      </c>
      <c r="E14" s="513">
        <v>0</v>
      </c>
      <c r="F14" s="513">
        <v>0</v>
      </c>
      <c r="G14" s="513">
        <v>0</v>
      </c>
      <c r="H14" s="513">
        <v>0</v>
      </c>
      <c r="I14" s="517">
        <v>300</v>
      </c>
      <c r="J14" s="513">
        <v>0</v>
      </c>
      <c r="K14" s="513">
        <v>0</v>
      </c>
      <c r="L14" s="513">
        <v>0</v>
      </c>
      <c r="M14" s="513">
        <v>0</v>
      </c>
      <c r="N14" s="513">
        <v>0</v>
      </c>
      <c r="O14" s="513">
        <v>0</v>
      </c>
      <c r="P14" s="513">
        <v>0</v>
      </c>
      <c r="Q14" s="513">
        <v>0</v>
      </c>
      <c r="R14" s="513">
        <v>0</v>
      </c>
      <c r="S14" s="513">
        <v>0</v>
      </c>
      <c r="T14" s="513">
        <v>0</v>
      </c>
      <c r="U14" s="513">
        <v>0</v>
      </c>
      <c r="V14" s="513">
        <v>0</v>
      </c>
      <c r="W14" s="517">
        <v>300</v>
      </c>
      <c r="X14" s="513">
        <v>0</v>
      </c>
      <c r="Y14" s="513">
        <v>0</v>
      </c>
      <c r="Z14" s="513">
        <v>0</v>
      </c>
      <c r="AA14" s="513">
        <v>0</v>
      </c>
      <c r="AB14" s="513">
        <v>0</v>
      </c>
      <c r="AC14" s="513">
        <v>0</v>
      </c>
      <c r="AD14" s="513">
        <v>0</v>
      </c>
      <c r="AE14" s="513">
        <v>0</v>
      </c>
      <c r="AF14" s="513">
        <v>0</v>
      </c>
      <c r="AG14" s="513">
        <v>0</v>
      </c>
      <c r="AH14" s="513">
        <v>0</v>
      </c>
      <c r="AI14" s="527">
        <f t="shared" si="0"/>
        <v>600</v>
      </c>
    </row>
    <row r="15" spans="1:35" ht="15.75" customHeight="1">
      <c r="A15" s="528">
        <v>2212001172</v>
      </c>
      <c r="B15" s="529" t="s">
        <v>389</v>
      </c>
      <c r="C15" s="530" t="s">
        <v>177</v>
      </c>
      <c r="D15" s="513">
        <v>0</v>
      </c>
      <c r="E15" s="513">
        <v>0</v>
      </c>
      <c r="F15" s="513">
        <v>0</v>
      </c>
      <c r="G15" s="513">
        <v>0</v>
      </c>
      <c r="H15" s="513">
        <v>0</v>
      </c>
      <c r="I15" s="531">
        <v>30</v>
      </c>
      <c r="J15" s="513">
        <v>0</v>
      </c>
      <c r="K15" s="513">
        <v>0</v>
      </c>
      <c r="L15" s="513">
        <v>0</v>
      </c>
      <c r="M15" s="513">
        <v>0</v>
      </c>
      <c r="N15" s="513">
        <v>0</v>
      </c>
      <c r="O15" s="513">
        <v>0</v>
      </c>
      <c r="P15" s="513">
        <v>0</v>
      </c>
      <c r="Q15" s="513">
        <v>0</v>
      </c>
      <c r="R15" s="513">
        <v>0</v>
      </c>
      <c r="S15" s="513">
        <v>0</v>
      </c>
      <c r="T15" s="513">
        <v>0</v>
      </c>
      <c r="U15" s="513">
        <v>0</v>
      </c>
      <c r="V15" s="513">
        <v>0</v>
      </c>
      <c r="W15" s="531">
        <v>30</v>
      </c>
      <c r="X15" s="513">
        <v>0</v>
      </c>
      <c r="Y15" s="513">
        <v>0</v>
      </c>
      <c r="Z15" s="513">
        <v>0</v>
      </c>
      <c r="AA15" s="513">
        <v>0</v>
      </c>
      <c r="AB15" s="513">
        <v>0</v>
      </c>
      <c r="AC15" s="513">
        <v>0</v>
      </c>
      <c r="AD15" s="513">
        <v>0</v>
      </c>
      <c r="AE15" s="513">
        <v>0</v>
      </c>
      <c r="AF15" s="513">
        <v>0</v>
      </c>
      <c r="AG15" s="513">
        <v>0</v>
      </c>
      <c r="AH15" s="513">
        <v>0</v>
      </c>
      <c r="AI15" s="532">
        <f t="shared" si="0"/>
        <v>60</v>
      </c>
    </row>
    <row r="16" spans="1:35" ht="15.75" customHeight="1">
      <c r="A16" s="238">
        <v>2212001152</v>
      </c>
      <c r="B16" s="239" t="s">
        <v>378</v>
      </c>
      <c r="C16" s="240" t="s">
        <v>379</v>
      </c>
      <c r="D16" s="513">
        <v>0</v>
      </c>
      <c r="E16" s="513">
        <v>0</v>
      </c>
      <c r="F16" s="513">
        <v>0</v>
      </c>
      <c r="G16" s="513">
        <v>0</v>
      </c>
      <c r="H16" s="513">
        <v>0</v>
      </c>
      <c r="I16" s="533">
        <v>0</v>
      </c>
      <c r="J16" s="513">
        <v>0</v>
      </c>
      <c r="K16" s="513">
        <v>0</v>
      </c>
      <c r="L16" s="513">
        <v>0</v>
      </c>
      <c r="M16" s="513">
        <v>0</v>
      </c>
      <c r="N16" s="513">
        <v>0</v>
      </c>
      <c r="O16" s="513">
        <v>0</v>
      </c>
      <c r="P16" s="513">
        <v>0</v>
      </c>
      <c r="Q16" s="513">
        <v>0</v>
      </c>
      <c r="R16" s="513">
        <v>0</v>
      </c>
      <c r="S16" s="513">
        <v>0</v>
      </c>
      <c r="T16" s="513">
        <v>0</v>
      </c>
      <c r="U16" s="513">
        <v>0</v>
      </c>
      <c r="V16" s="513">
        <v>0</v>
      </c>
      <c r="W16" s="533">
        <v>0</v>
      </c>
      <c r="X16" s="513">
        <v>0</v>
      </c>
      <c r="Y16" s="513">
        <v>0</v>
      </c>
      <c r="Z16" s="513">
        <v>0</v>
      </c>
      <c r="AA16" s="513">
        <v>0</v>
      </c>
      <c r="AB16" s="513">
        <v>0</v>
      </c>
      <c r="AC16" s="513">
        <v>0</v>
      </c>
      <c r="AD16" s="513">
        <v>0</v>
      </c>
      <c r="AE16" s="513">
        <v>0</v>
      </c>
      <c r="AF16" s="513">
        <v>0</v>
      </c>
      <c r="AG16" s="513">
        <v>0</v>
      </c>
      <c r="AH16" s="513">
        <v>0</v>
      </c>
      <c r="AI16" s="532">
        <f t="shared" si="0"/>
        <v>0</v>
      </c>
    </row>
    <row r="17" spans="1:35" ht="15.75" customHeight="1">
      <c r="A17" s="317">
        <v>2212001036</v>
      </c>
      <c r="B17" s="239" t="s">
        <v>320</v>
      </c>
      <c r="C17" s="316" t="s">
        <v>6</v>
      </c>
      <c r="D17" s="513">
        <v>0</v>
      </c>
      <c r="E17" s="513">
        <v>0</v>
      </c>
      <c r="F17" s="513">
        <v>0</v>
      </c>
      <c r="G17" s="513">
        <v>0</v>
      </c>
      <c r="H17" s="513">
        <v>0</v>
      </c>
      <c r="I17" s="531">
        <v>0</v>
      </c>
      <c r="J17" s="513">
        <v>0</v>
      </c>
      <c r="K17" s="513">
        <v>0</v>
      </c>
      <c r="L17" s="513">
        <v>0</v>
      </c>
      <c r="M17" s="513">
        <v>0</v>
      </c>
      <c r="N17" s="513">
        <v>0</v>
      </c>
      <c r="O17" s="513">
        <v>0</v>
      </c>
      <c r="P17" s="513">
        <v>0</v>
      </c>
      <c r="Q17" s="513">
        <v>0</v>
      </c>
      <c r="R17" s="513">
        <v>0</v>
      </c>
      <c r="S17" s="513">
        <v>0</v>
      </c>
      <c r="T17" s="513">
        <v>0</v>
      </c>
      <c r="U17" s="513">
        <v>0</v>
      </c>
      <c r="V17" s="513">
        <v>0</v>
      </c>
      <c r="W17" s="531">
        <v>0</v>
      </c>
      <c r="X17" s="513">
        <v>0</v>
      </c>
      <c r="Y17" s="513">
        <v>0</v>
      </c>
      <c r="Z17" s="513">
        <v>0</v>
      </c>
      <c r="AA17" s="513">
        <v>0</v>
      </c>
      <c r="AB17" s="513">
        <v>0</v>
      </c>
      <c r="AC17" s="513">
        <v>0</v>
      </c>
      <c r="AD17" s="513">
        <v>0</v>
      </c>
      <c r="AE17" s="513">
        <v>0</v>
      </c>
      <c r="AF17" s="513">
        <v>0</v>
      </c>
      <c r="AG17" s="513">
        <v>0</v>
      </c>
      <c r="AH17" s="513">
        <v>0</v>
      </c>
      <c r="AI17" s="532">
        <f t="shared" si="0"/>
        <v>0</v>
      </c>
    </row>
    <row r="18" spans="1:35" ht="15.75" customHeight="1">
      <c r="C18" s="534"/>
    </row>
    <row r="19" spans="1:35" ht="15.75" customHeight="1">
      <c r="C19" s="534"/>
    </row>
    <row r="20" spans="1:35" ht="15.75" customHeight="1">
      <c r="C20" s="534"/>
    </row>
    <row r="21" spans="1:35" ht="15.75" customHeight="1">
      <c r="C21" s="534"/>
    </row>
    <row r="22" spans="1:35" ht="15.75" customHeight="1">
      <c r="C22" s="534"/>
    </row>
    <row r="23" spans="1:35" ht="15.75" customHeight="1">
      <c r="C23" s="534"/>
    </row>
    <row r="24" spans="1:35" ht="15.75" customHeight="1">
      <c r="C24" s="534"/>
    </row>
    <row r="25" spans="1:35" ht="15.75" customHeight="1">
      <c r="C25" s="534"/>
    </row>
    <row r="26" spans="1:35" ht="15.75" customHeight="1">
      <c r="C26" s="534"/>
    </row>
    <row r="27" spans="1:35" ht="15.75" customHeight="1">
      <c r="C27" s="534"/>
    </row>
    <row r="28" spans="1:35" ht="15.75" customHeight="1">
      <c r="C28" s="534"/>
    </row>
    <row r="29" spans="1:35" ht="15.75" customHeight="1">
      <c r="C29" s="534"/>
    </row>
    <row r="30" spans="1:35" ht="15.75" customHeight="1">
      <c r="C30" s="534"/>
    </row>
    <row r="31" spans="1:35" ht="15.75" customHeight="1">
      <c r="C31" s="534"/>
    </row>
    <row r="32" spans="1:35" ht="15.75" customHeight="1">
      <c r="C32" s="534"/>
    </row>
    <row r="33" spans="3:3" ht="15.75" customHeight="1">
      <c r="C33" s="534"/>
    </row>
    <row r="34" spans="3:3" ht="15.75" customHeight="1">
      <c r="C34" s="534"/>
    </row>
    <row r="35" spans="3:3" ht="15.75" customHeight="1">
      <c r="C35" s="534"/>
    </row>
    <row r="36" spans="3:3" ht="15.75" customHeight="1">
      <c r="C36" s="534"/>
    </row>
    <row r="37" spans="3:3" ht="15.75" customHeight="1">
      <c r="C37" s="534"/>
    </row>
    <row r="38" spans="3:3" ht="15.75" customHeight="1">
      <c r="C38" s="534"/>
    </row>
    <row r="39" spans="3:3" ht="15.75" customHeight="1">
      <c r="C39" s="534"/>
    </row>
    <row r="40" spans="3:3" ht="15.75" customHeight="1">
      <c r="C40" s="534"/>
    </row>
    <row r="41" spans="3:3" ht="15.75" customHeight="1">
      <c r="C41" s="534"/>
    </row>
    <row r="42" spans="3:3" ht="15.75" customHeight="1">
      <c r="C42" s="534"/>
    </row>
    <row r="43" spans="3:3" ht="15.75" customHeight="1">
      <c r="C43" s="534"/>
    </row>
    <row r="44" spans="3:3" ht="15.75" customHeight="1">
      <c r="C44" s="534"/>
    </row>
    <row r="45" spans="3:3" ht="15.75" customHeight="1">
      <c r="C45" s="534"/>
    </row>
    <row r="46" spans="3:3" ht="15.75" customHeight="1">
      <c r="C46" s="534"/>
    </row>
    <row r="47" spans="3:3" ht="15.75" customHeight="1">
      <c r="C47" s="534"/>
    </row>
    <row r="48" spans="3:3" ht="15.75" customHeight="1">
      <c r="C48" s="534"/>
    </row>
    <row r="49" spans="3:3" ht="15.75" customHeight="1">
      <c r="C49" s="534"/>
    </row>
    <row r="50" spans="3:3" ht="15.75" customHeight="1">
      <c r="C50" s="534"/>
    </row>
    <row r="51" spans="3:3" ht="15.75" customHeight="1">
      <c r="C51" s="534"/>
    </row>
    <row r="52" spans="3:3" ht="15.75" customHeight="1">
      <c r="C52" s="534"/>
    </row>
    <row r="53" spans="3:3" ht="15.75" customHeight="1">
      <c r="C53" s="534"/>
    </row>
    <row r="54" spans="3:3" ht="15.75" customHeight="1">
      <c r="C54" s="534"/>
    </row>
    <row r="55" spans="3:3" ht="15.75" customHeight="1">
      <c r="C55" s="534"/>
    </row>
    <row r="56" spans="3:3" ht="15.75" customHeight="1">
      <c r="C56" s="534"/>
    </row>
    <row r="57" spans="3:3" ht="15.75" customHeight="1">
      <c r="C57" s="534"/>
    </row>
    <row r="58" spans="3:3" ht="15.75" customHeight="1">
      <c r="C58" s="534"/>
    </row>
    <row r="59" spans="3:3" ht="15.75" customHeight="1">
      <c r="C59" s="534"/>
    </row>
    <row r="60" spans="3:3" ht="15.75" customHeight="1">
      <c r="C60" s="534"/>
    </row>
    <row r="61" spans="3:3" ht="15.75" customHeight="1">
      <c r="C61" s="534"/>
    </row>
    <row r="62" spans="3:3" ht="15.75" customHeight="1">
      <c r="C62" s="534"/>
    </row>
    <row r="63" spans="3:3" ht="15.75" customHeight="1">
      <c r="C63" s="534"/>
    </row>
    <row r="64" spans="3:3" ht="15.75" customHeight="1">
      <c r="C64" s="534"/>
    </row>
    <row r="65" spans="2:3" ht="15.75" customHeight="1">
      <c r="C65" s="534"/>
    </row>
    <row r="66" spans="2:3" ht="15.75" customHeight="1">
      <c r="C66" s="534"/>
    </row>
    <row r="67" spans="2:3" ht="15.75" customHeight="1">
      <c r="C67" s="534"/>
    </row>
    <row r="68" spans="2:3" ht="15.75" customHeight="1">
      <c r="B68" s="432"/>
      <c r="C68" s="534"/>
    </row>
    <row r="69" spans="2:3" ht="15.75" customHeight="1">
      <c r="B69" s="432"/>
      <c r="C69" s="534"/>
    </row>
    <row r="70" spans="2:3" ht="15.75" customHeight="1">
      <c r="B70" s="432"/>
      <c r="C70" s="534"/>
    </row>
    <row r="71" spans="2:3" ht="15.75" customHeight="1">
      <c r="B71" s="432"/>
      <c r="C71" s="534"/>
    </row>
    <row r="72" spans="2:3" ht="15.75" customHeight="1">
      <c r="B72" s="432"/>
      <c r="C72" s="534"/>
    </row>
    <row r="73" spans="2:3" ht="15.75" customHeight="1">
      <c r="B73" s="432"/>
      <c r="C73" s="534"/>
    </row>
    <row r="74" spans="2:3" ht="15.75" customHeight="1">
      <c r="B74" s="432"/>
      <c r="C74" s="534"/>
    </row>
    <row r="75" spans="2:3" ht="15.75" customHeight="1">
      <c r="B75" s="432"/>
      <c r="C75" s="534"/>
    </row>
    <row r="76" spans="2:3" ht="15.75" customHeight="1">
      <c r="B76" s="432"/>
      <c r="C76" s="534"/>
    </row>
    <row r="77" spans="2:3" ht="15.75" customHeight="1">
      <c r="B77" s="432"/>
      <c r="C77" s="534"/>
    </row>
    <row r="78" spans="2:3" ht="15.75" customHeight="1">
      <c r="B78" s="432"/>
      <c r="C78" s="534"/>
    </row>
    <row r="79" spans="2:3" ht="15.75" customHeight="1">
      <c r="B79" s="432"/>
      <c r="C79" s="534"/>
    </row>
    <row r="80" spans="2:3" ht="15.75" customHeight="1">
      <c r="B80" s="432"/>
      <c r="C80" s="534"/>
    </row>
    <row r="81" spans="2:35" ht="15.75" customHeight="1">
      <c r="B81" s="432"/>
      <c r="C81" s="534"/>
    </row>
    <row r="82" spans="2:35" ht="15.75" customHeight="1">
      <c r="B82" s="432"/>
      <c r="C82" s="534"/>
    </row>
    <row r="83" spans="2:35" ht="15.75" customHeight="1">
      <c r="B83" s="432"/>
      <c r="C83" s="534"/>
    </row>
    <row r="84" spans="2:35" ht="15.75" customHeight="1">
      <c r="B84" s="432"/>
      <c r="C84" s="534"/>
    </row>
    <row r="85" spans="2:35" ht="15.75" customHeight="1">
      <c r="B85" s="432"/>
      <c r="C85" s="534"/>
    </row>
    <row r="86" spans="2:35" ht="15.75" customHeight="1">
      <c r="B86" s="432"/>
      <c r="C86" s="534"/>
    </row>
    <row r="87" spans="2:35" ht="15.75" customHeight="1">
      <c r="B87" s="432"/>
      <c r="C87" s="534"/>
    </row>
    <row r="88" spans="2:35" ht="15.75" customHeight="1">
      <c r="B88" s="432"/>
      <c r="C88" s="534"/>
    </row>
    <row r="89" spans="2:35" ht="15.75" customHeight="1">
      <c r="B89" s="432"/>
      <c r="C89" s="534"/>
      <c r="AI89" s="432"/>
    </row>
    <row r="90" spans="2:35" ht="15.75" customHeight="1">
      <c r="B90" s="432"/>
      <c r="C90" s="534"/>
      <c r="AI90" s="432"/>
    </row>
    <row r="91" spans="2:35" ht="15.75" customHeight="1">
      <c r="B91" s="432"/>
      <c r="C91" s="534"/>
      <c r="AI91" s="432"/>
    </row>
    <row r="92" spans="2:35" ht="15.75" customHeight="1">
      <c r="B92" s="432"/>
      <c r="C92" s="534"/>
      <c r="AI92" s="432"/>
    </row>
    <row r="93" spans="2:35" ht="15.75" customHeight="1">
      <c r="B93" s="432"/>
      <c r="C93" s="534"/>
      <c r="AI93" s="432"/>
    </row>
    <row r="94" spans="2:35" ht="15.75" customHeight="1">
      <c r="B94" s="432"/>
      <c r="C94" s="534"/>
      <c r="AI94" s="432"/>
    </row>
    <row r="95" spans="2:35" ht="15.75" customHeight="1">
      <c r="B95" s="432"/>
      <c r="C95" s="534"/>
      <c r="AI95" s="432"/>
    </row>
    <row r="96" spans="2:35" ht="15.75" customHeight="1">
      <c r="B96" s="432"/>
      <c r="C96" s="534"/>
      <c r="AI96" s="432"/>
    </row>
    <row r="97" spans="2:35" ht="15.75" customHeight="1">
      <c r="B97" s="432"/>
      <c r="C97" s="534"/>
      <c r="AI97" s="432"/>
    </row>
    <row r="98" spans="2:35" ht="15.75" customHeight="1">
      <c r="B98" s="432"/>
      <c r="C98" s="534"/>
      <c r="AI98" s="432"/>
    </row>
    <row r="99" spans="2:35" ht="15.75" customHeight="1">
      <c r="B99" s="432"/>
      <c r="C99" s="534"/>
      <c r="AI99" s="432"/>
    </row>
    <row r="100" spans="2:35" ht="15.75" customHeight="1">
      <c r="B100" s="432"/>
      <c r="C100" s="534"/>
      <c r="AI100" s="432"/>
    </row>
    <row r="101" spans="2:35" ht="15.75" customHeight="1">
      <c r="B101" s="432"/>
      <c r="C101" s="534"/>
      <c r="AI101" s="432"/>
    </row>
    <row r="102" spans="2:35" ht="15.75" customHeight="1">
      <c r="B102" s="432"/>
      <c r="C102" s="534"/>
      <c r="AI102" s="432"/>
    </row>
    <row r="103" spans="2:35" ht="15.75" customHeight="1">
      <c r="B103" s="432"/>
      <c r="C103" s="534"/>
      <c r="AI103" s="432"/>
    </row>
    <row r="104" spans="2:35" ht="15.75" customHeight="1">
      <c r="B104" s="432"/>
      <c r="C104" s="534"/>
      <c r="AI104" s="432"/>
    </row>
    <row r="105" spans="2:35" ht="15.75" customHeight="1">
      <c r="B105" s="432"/>
      <c r="C105" s="534"/>
      <c r="AI105" s="432"/>
    </row>
    <row r="106" spans="2:35" ht="15.75" customHeight="1">
      <c r="B106" s="432"/>
      <c r="C106" s="534"/>
      <c r="AI106" s="432"/>
    </row>
    <row r="107" spans="2:35" ht="15.75" customHeight="1">
      <c r="B107" s="432"/>
      <c r="C107" s="534"/>
      <c r="AI107" s="432"/>
    </row>
    <row r="108" spans="2:35" ht="15.75" customHeight="1">
      <c r="B108" s="432"/>
      <c r="C108" s="534"/>
      <c r="AI108" s="432"/>
    </row>
    <row r="109" spans="2:35" ht="15.75" customHeight="1">
      <c r="B109" s="432"/>
      <c r="C109" s="534"/>
      <c r="AI109" s="432"/>
    </row>
    <row r="110" spans="2:35" ht="15.75" customHeight="1">
      <c r="B110" s="432"/>
      <c r="C110" s="534"/>
      <c r="AI110" s="432"/>
    </row>
    <row r="111" spans="2:35" ht="15.75" customHeight="1">
      <c r="B111" s="432"/>
      <c r="C111" s="534"/>
      <c r="AI111" s="432"/>
    </row>
    <row r="112" spans="2:35" ht="15.75" customHeight="1">
      <c r="B112" s="432"/>
      <c r="C112" s="534"/>
      <c r="AI112" s="432"/>
    </row>
    <row r="113" spans="2:35" ht="15.75" customHeight="1">
      <c r="B113" s="432"/>
      <c r="C113" s="534"/>
      <c r="AI113" s="432"/>
    </row>
    <row r="114" spans="2:35" ht="15.75" customHeight="1">
      <c r="B114" s="432"/>
      <c r="C114" s="534"/>
      <c r="AI114" s="432"/>
    </row>
    <row r="115" spans="2:35" ht="15.75" customHeight="1">
      <c r="B115" s="432"/>
      <c r="C115" s="534"/>
      <c r="AI115" s="432"/>
    </row>
    <row r="116" spans="2:35" ht="15.75" customHeight="1">
      <c r="B116" s="432"/>
      <c r="C116" s="534"/>
      <c r="AI116" s="432"/>
    </row>
    <row r="117" spans="2:35" ht="15.75" customHeight="1">
      <c r="B117" s="432"/>
      <c r="C117" s="534"/>
      <c r="AI117" s="432"/>
    </row>
    <row r="118" spans="2:35" ht="15.75" customHeight="1">
      <c r="B118" s="432"/>
      <c r="C118" s="534"/>
      <c r="AI118" s="432"/>
    </row>
    <row r="119" spans="2:35" ht="15.75" customHeight="1">
      <c r="B119" s="432"/>
      <c r="C119" s="534"/>
      <c r="AI119" s="432"/>
    </row>
    <row r="120" spans="2:35" ht="15.75" customHeight="1">
      <c r="B120" s="432"/>
      <c r="C120" s="534"/>
      <c r="AI120" s="432"/>
    </row>
    <row r="121" spans="2:35" ht="15.75" customHeight="1">
      <c r="B121" s="432"/>
      <c r="C121" s="534"/>
      <c r="AI121" s="432"/>
    </row>
    <row r="122" spans="2:35" ht="15.75" customHeight="1">
      <c r="B122" s="432"/>
      <c r="C122" s="534"/>
      <c r="AI122" s="432"/>
    </row>
    <row r="123" spans="2:35" ht="15.75" customHeight="1">
      <c r="B123" s="432"/>
      <c r="C123" s="534"/>
      <c r="AI123" s="432"/>
    </row>
    <row r="124" spans="2:35" ht="15.75" customHeight="1">
      <c r="B124" s="432"/>
      <c r="C124" s="534"/>
      <c r="AI124" s="432"/>
    </row>
    <row r="125" spans="2:35" ht="15.75" customHeight="1">
      <c r="B125" s="432"/>
      <c r="C125" s="534"/>
      <c r="AI125" s="432"/>
    </row>
    <row r="126" spans="2:35" ht="15.75" customHeight="1">
      <c r="B126" s="432"/>
      <c r="C126" s="534"/>
      <c r="AI126" s="432"/>
    </row>
    <row r="127" spans="2:35" ht="15.75" customHeight="1">
      <c r="B127" s="432"/>
      <c r="C127" s="534"/>
      <c r="AI127" s="432"/>
    </row>
    <row r="128" spans="2:35" ht="15.75" customHeight="1">
      <c r="B128" s="432"/>
      <c r="C128" s="534"/>
      <c r="AI128" s="432"/>
    </row>
    <row r="129" spans="2:35" ht="15.75" customHeight="1">
      <c r="B129" s="432"/>
      <c r="C129" s="534"/>
      <c r="AI129" s="432"/>
    </row>
    <row r="130" spans="2:35" ht="15.75" customHeight="1">
      <c r="B130" s="432"/>
      <c r="C130" s="534"/>
      <c r="AI130" s="432"/>
    </row>
    <row r="131" spans="2:35" ht="15.75" customHeight="1">
      <c r="B131" s="432"/>
      <c r="C131" s="534"/>
      <c r="AI131" s="432"/>
    </row>
    <row r="132" spans="2:35" ht="15.75" customHeight="1">
      <c r="B132" s="432"/>
      <c r="C132" s="534"/>
      <c r="AI132" s="432"/>
    </row>
    <row r="133" spans="2:35" ht="15.75" customHeight="1">
      <c r="B133" s="432"/>
      <c r="C133" s="534"/>
      <c r="AI133" s="432"/>
    </row>
    <row r="134" spans="2:35" ht="15.75" customHeight="1">
      <c r="B134" s="432"/>
      <c r="C134" s="534"/>
      <c r="AI134" s="432"/>
    </row>
    <row r="135" spans="2:35" ht="15.75" customHeight="1">
      <c r="B135" s="432"/>
      <c r="C135" s="534"/>
      <c r="AI135" s="432"/>
    </row>
    <row r="136" spans="2:35" ht="15.75" customHeight="1">
      <c r="B136" s="432"/>
      <c r="C136" s="534"/>
      <c r="AI136" s="432"/>
    </row>
    <row r="137" spans="2:35" ht="15.75" customHeight="1">
      <c r="B137" s="432"/>
      <c r="C137" s="534"/>
      <c r="AI137" s="432"/>
    </row>
    <row r="138" spans="2:35" ht="15.75" customHeight="1">
      <c r="B138" s="432"/>
      <c r="C138" s="534"/>
      <c r="AI138" s="432"/>
    </row>
    <row r="139" spans="2:35" ht="15.75" customHeight="1">
      <c r="B139" s="432"/>
      <c r="C139" s="534"/>
      <c r="AI139" s="432"/>
    </row>
    <row r="140" spans="2:35" ht="15.75" customHeight="1">
      <c r="B140" s="432"/>
      <c r="C140" s="534"/>
      <c r="AI140" s="432"/>
    </row>
    <row r="141" spans="2:35" ht="15.75" customHeight="1">
      <c r="B141" s="432"/>
      <c r="C141" s="534"/>
      <c r="AI141" s="432"/>
    </row>
    <row r="142" spans="2:35" ht="15.75" customHeight="1">
      <c r="B142" s="432"/>
      <c r="C142" s="534"/>
      <c r="AI142" s="432"/>
    </row>
    <row r="143" spans="2:35" ht="15.75" customHeight="1">
      <c r="B143" s="432"/>
      <c r="C143" s="534"/>
      <c r="AI143" s="432"/>
    </row>
    <row r="144" spans="2:35" ht="15.75" customHeight="1">
      <c r="B144" s="432"/>
      <c r="C144" s="534"/>
      <c r="AI144" s="432"/>
    </row>
    <row r="145" spans="2:35" ht="15.75" customHeight="1">
      <c r="B145" s="432"/>
      <c r="C145" s="534"/>
      <c r="AI145" s="432"/>
    </row>
    <row r="146" spans="2:35" ht="15.75" customHeight="1">
      <c r="B146" s="432"/>
      <c r="C146" s="534"/>
      <c r="AI146" s="432"/>
    </row>
    <row r="147" spans="2:35" ht="15.75" customHeight="1">
      <c r="B147" s="432"/>
      <c r="C147" s="534"/>
      <c r="AI147" s="432"/>
    </row>
    <row r="148" spans="2:35" ht="15.75" customHeight="1">
      <c r="B148" s="432"/>
      <c r="C148" s="534"/>
      <c r="AI148" s="432"/>
    </row>
    <row r="149" spans="2:35" ht="15.75" customHeight="1">
      <c r="B149" s="432"/>
      <c r="C149" s="534"/>
      <c r="AI149" s="432"/>
    </row>
    <row r="150" spans="2:35" ht="15.75" customHeight="1">
      <c r="B150" s="432"/>
      <c r="C150" s="534"/>
      <c r="AI150" s="432"/>
    </row>
    <row r="151" spans="2:35" ht="15.75" customHeight="1">
      <c r="B151" s="432"/>
      <c r="C151" s="534"/>
      <c r="AI151" s="432"/>
    </row>
    <row r="152" spans="2:35" ht="15.75" customHeight="1">
      <c r="B152" s="432"/>
      <c r="C152" s="534"/>
      <c r="AI152" s="432"/>
    </row>
    <row r="153" spans="2:35" ht="15.75" customHeight="1">
      <c r="B153" s="432"/>
      <c r="C153" s="534"/>
      <c r="AI153" s="432"/>
    </row>
    <row r="154" spans="2:35" ht="15.75" customHeight="1">
      <c r="B154" s="432"/>
      <c r="C154" s="534"/>
      <c r="AI154" s="432"/>
    </row>
    <row r="155" spans="2:35" ht="15.75" customHeight="1">
      <c r="B155" s="432"/>
      <c r="C155" s="534"/>
      <c r="AI155" s="432"/>
    </row>
    <row r="156" spans="2:35" ht="15.75" customHeight="1">
      <c r="B156" s="432"/>
      <c r="C156" s="534"/>
      <c r="AI156" s="432"/>
    </row>
    <row r="157" spans="2:35" ht="15.75" customHeight="1">
      <c r="B157" s="432"/>
      <c r="C157" s="534"/>
      <c r="AI157" s="432"/>
    </row>
    <row r="158" spans="2:35" ht="15.75" customHeight="1">
      <c r="B158" s="432"/>
      <c r="C158" s="534"/>
      <c r="AI158" s="432"/>
    </row>
    <row r="159" spans="2:35" ht="15.75" customHeight="1">
      <c r="B159" s="432"/>
      <c r="C159" s="534"/>
      <c r="AI159" s="432"/>
    </row>
    <row r="160" spans="2:35" ht="15.75" customHeight="1">
      <c r="B160" s="432"/>
      <c r="C160" s="534"/>
      <c r="AI160" s="432"/>
    </row>
    <row r="161" spans="2:35" ht="15.75" customHeight="1">
      <c r="B161" s="432"/>
      <c r="C161" s="534"/>
      <c r="AI161" s="432"/>
    </row>
    <row r="162" spans="2:35" ht="15.75" customHeight="1">
      <c r="B162" s="432"/>
      <c r="C162" s="534"/>
      <c r="AI162" s="432"/>
    </row>
    <row r="163" spans="2:35" ht="15.75" customHeight="1">
      <c r="B163" s="432"/>
      <c r="C163" s="534"/>
      <c r="AI163" s="432"/>
    </row>
    <row r="164" spans="2:35" ht="15.75" customHeight="1">
      <c r="B164" s="432"/>
      <c r="C164" s="534"/>
      <c r="AI164" s="432"/>
    </row>
    <row r="165" spans="2:35" ht="15.75" customHeight="1">
      <c r="B165" s="432"/>
      <c r="C165" s="534"/>
      <c r="AI165" s="432"/>
    </row>
    <row r="166" spans="2:35" ht="15.75" customHeight="1">
      <c r="B166" s="432"/>
      <c r="C166" s="534"/>
      <c r="AI166" s="432"/>
    </row>
    <row r="167" spans="2:35" ht="15.75" customHeight="1">
      <c r="B167" s="432"/>
      <c r="C167" s="534"/>
      <c r="AI167" s="432"/>
    </row>
    <row r="168" spans="2:35" ht="15.75" customHeight="1">
      <c r="B168" s="432"/>
      <c r="C168" s="534"/>
      <c r="AI168" s="432"/>
    </row>
    <row r="169" spans="2:35" ht="15.75" customHeight="1">
      <c r="B169" s="432"/>
      <c r="C169" s="534"/>
      <c r="AI169" s="432"/>
    </row>
    <row r="170" spans="2:35" ht="15.75" customHeight="1">
      <c r="B170" s="432"/>
      <c r="C170" s="534"/>
      <c r="AI170" s="432"/>
    </row>
    <row r="171" spans="2:35" ht="15.75" customHeight="1">
      <c r="B171" s="432"/>
      <c r="C171" s="534"/>
      <c r="AI171" s="432"/>
    </row>
    <row r="172" spans="2:35" ht="15.75" customHeight="1">
      <c r="B172" s="432"/>
      <c r="C172" s="534"/>
      <c r="AI172" s="432"/>
    </row>
    <row r="173" spans="2:35" ht="15.75" customHeight="1">
      <c r="B173" s="432"/>
      <c r="C173" s="534"/>
      <c r="AI173" s="432"/>
    </row>
    <row r="174" spans="2:35" ht="15.75" customHeight="1">
      <c r="B174" s="432"/>
      <c r="C174" s="534"/>
      <c r="AI174" s="432"/>
    </row>
    <row r="175" spans="2:35" ht="15.75" customHeight="1">
      <c r="B175" s="432"/>
      <c r="C175" s="534"/>
      <c r="AI175" s="432"/>
    </row>
    <row r="176" spans="2:35" ht="15.75" customHeight="1">
      <c r="B176" s="432"/>
      <c r="C176" s="534"/>
      <c r="AI176" s="432"/>
    </row>
    <row r="177" spans="2:35" ht="15.75" customHeight="1">
      <c r="B177" s="432"/>
      <c r="C177" s="534"/>
      <c r="AI177" s="432"/>
    </row>
    <row r="178" spans="2:35" ht="15.75" customHeight="1">
      <c r="B178" s="432"/>
      <c r="C178" s="534"/>
      <c r="AI178" s="432"/>
    </row>
    <row r="179" spans="2:35" ht="15.75" customHeight="1">
      <c r="B179" s="432"/>
      <c r="C179" s="534"/>
      <c r="AI179" s="432"/>
    </row>
    <row r="180" spans="2:35" ht="15.75" customHeight="1">
      <c r="B180" s="432"/>
      <c r="C180" s="534"/>
      <c r="AI180" s="432"/>
    </row>
    <row r="181" spans="2:35" ht="15.75" customHeight="1">
      <c r="B181" s="432"/>
      <c r="C181" s="534"/>
      <c r="AI181" s="432"/>
    </row>
    <row r="182" spans="2:35" ht="15.75" customHeight="1">
      <c r="B182" s="432"/>
      <c r="C182" s="534"/>
      <c r="AI182" s="432"/>
    </row>
    <row r="183" spans="2:35" ht="15.75" customHeight="1">
      <c r="B183" s="432"/>
      <c r="C183" s="534"/>
      <c r="AI183" s="432"/>
    </row>
    <row r="184" spans="2:35" ht="15.75" customHeight="1">
      <c r="B184" s="432"/>
      <c r="C184" s="534"/>
      <c r="AI184" s="432"/>
    </row>
    <row r="185" spans="2:35" ht="15.75" customHeight="1">
      <c r="B185" s="432"/>
      <c r="C185" s="534"/>
      <c r="AI185" s="432"/>
    </row>
    <row r="186" spans="2:35" ht="15.75" customHeight="1">
      <c r="B186" s="432"/>
      <c r="C186" s="534"/>
      <c r="AI186" s="432"/>
    </row>
    <row r="187" spans="2:35" ht="15.75" customHeight="1">
      <c r="B187" s="432"/>
      <c r="C187" s="534"/>
      <c r="AI187" s="432"/>
    </row>
    <row r="188" spans="2:35" ht="15.75" customHeight="1">
      <c r="B188" s="432"/>
      <c r="C188" s="534"/>
      <c r="AI188" s="432"/>
    </row>
    <row r="189" spans="2:35" ht="15.75" customHeight="1">
      <c r="B189" s="432"/>
      <c r="C189" s="534"/>
      <c r="AI189" s="432"/>
    </row>
    <row r="190" spans="2:35" ht="15.75" customHeight="1">
      <c r="B190" s="432"/>
      <c r="C190" s="534"/>
      <c r="AI190" s="432"/>
    </row>
    <row r="191" spans="2:35" ht="15.75" customHeight="1">
      <c r="B191" s="432"/>
      <c r="C191" s="534"/>
      <c r="AI191" s="432"/>
    </row>
    <row r="192" spans="2:35" ht="15.75" customHeight="1">
      <c r="B192" s="432"/>
      <c r="C192" s="534"/>
      <c r="AI192" s="432"/>
    </row>
    <row r="193" spans="2:35" ht="15.75" customHeight="1">
      <c r="B193" s="432"/>
      <c r="C193" s="534"/>
      <c r="AI193" s="432"/>
    </row>
    <row r="194" spans="2:35" ht="15.75" customHeight="1">
      <c r="B194" s="432"/>
      <c r="C194" s="534"/>
      <c r="AI194" s="432"/>
    </row>
    <row r="195" spans="2:35" ht="15.75" customHeight="1">
      <c r="B195" s="432"/>
      <c r="C195" s="534"/>
      <c r="AI195" s="432"/>
    </row>
    <row r="196" spans="2:35" ht="15.75" customHeight="1">
      <c r="B196" s="432"/>
      <c r="C196" s="534"/>
      <c r="AI196" s="432"/>
    </row>
    <row r="197" spans="2:35" ht="15.75" customHeight="1">
      <c r="B197" s="432"/>
      <c r="C197" s="534"/>
      <c r="AI197" s="432"/>
    </row>
    <row r="198" spans="2:35" ht="15.75" customHeight="1">
      <c r="B198" s="432"/>
      <c r="C198" s="534"/>
      <c r="AI198" s="432"/>
    </row>
    <row r="199" spans="2:35" ht="15.75" customHeight="1">
      <c r="B199" s="432"/>
      <c r="C199" s="534"/>
      <c r="AI199" s="432"/>
    </row>
    <row r="200" spans="2:35" ht="15.75" customHeight="1">
      <c r="B200" s="432"/>
      <c r="C200" s="534"/>
      <c r="AI200" s="432"/>
    </row>
    <row r="201" spans="2:35" ht="15.75" customHeight="1">
      <c r="B201" s="432"/>
      <c r="C201" s="534"/>
      <c r="AI201" s="432"/>
    </row>
    <row r="202" spans="2:35" ht="15.75" customHeight="1">
      <c r="B202" s="432"/>
      <c r="C202" s="534"/>
      <c r="AI202" s="432"/>
    </row>
    <row r="203" spans="2:35" ht="15.75" customHeight="1">
      <c r="B203" s="432"/>
      <c r="C203" s="534"/>
      <c r="AI203" s="432"/>
    </row>
    <row r="204" spans="2:35" ht="15.75" customHeight="1">
      <c r="B204" s="432"/>
      <c r="C204" s="534"/>
      <c r="AI204" s="432"/>
    </row>
    <row r="205" spans="2:35" ht="15.75" customHeight="1">
      <c r="B205" s="432"/>
      <c r="C205" s="534"/>
      <c r="AI205" s="432"/>
    </row>
    <row r="206" spans="2:35" ht="15.75" customHeight="1">
      <c r="B206" s="432"/>
      <c r="C206" s="534"/>
      <c r="AI206" s="432"/>
    </row>
    <row r="207" spans="2:35" ht="15.75" customHeight="1">
      <c r="B207" s="432"/>
      <c r="C207" s="534"/>
      <c r="AI207" s="432"/>
    </row>
    <row r="208" spans="2:35" ht="15.75" customHeight="1">
      <c r="B208" s="432"/>
      <c r="C208" s="534"/>
      <c r="AI208" s="432"/>
    </row>
    <row r="209" spans="2:35" ht="15.75" customHeight="1">
      <c r="B209" s="432"/>
      <c r="C209" s="534"/>
      <c r="AI209" s="432"/>
    </row>
    <row r="210" spans="2:35" ht="15.75" customHeight="1">
      <c r="B210" s="432"/>
      <c r="C210" s="534"/>
      <c r="AI210" s="432"/>
    </row>
    <row r="211" spans="2:35" ht="15.75" customHeight="1">
      <c r="B211" s="432"/>
      <c r="C211" s="534"/>
      <c r="AI211" s="432"/>
    </row>
    <row r="212" spans="2:35" ht="15.75" customHeight="1">
      <c r="B212" s="432"/>
      <c r="C212" s="534"/>
      <c r="AI212" s="432"/>
    </row>
    <row r="213" spans="2:35" ht="15.75" customHeight="1">
      <c r="B213" s="432"/>
      <c r="C213" s="534"/>
      <c r="AI213" s="432"/>
    </row>
    <row r="214" spans="2:35" ht="15.75" customHeight="1">
      <c r="B214" s="432"/>
      <c r="C214" s="534"/>
      <c r="AI214" s="432"/>
    </row>
    <row r="215" spans="2:35" ht="15.75" customHeight="1">
      <c r="B215" s="432"/>
      <c r="C215" s="534"/>
      <c r="AI215" s="432"/>
    </row>
    <row r="216" spans="2:35" ht="15.75" customHeight="1">
      <c r="B216" s="432"/>
      <c r="C216" s="534"/>
      <c r="AI216" s="432"/>
    </row>
    <row r="217" spans="2:35" ht="15.75" customHeight="1">
      <c r="B217" s="432"/>
      <c r="C217" s="534"/>
      <c r="AI217" s="432"/>
    </row>
    <row r="218" spans="2:35" ht="15.75" customHeight="1">
      <c r="B218" s="432"/>
      <c r="C218" s="534"/>
      <c r="AI218" s="432"/>
    </row>
    <row r="219" spans="2:35" ht="15.75" customHeight="1">
      <c r="B219" s="432"/>
      <c r="C219" s="534"/>
      <c r="AI219" s="432"/>
    </row>
    <row r="220" spans="2:35" ht="15.75" customHeight="1">
      <c r="B220" s="432"/>
      <c r="C220" s="534"/>
      <c r="AI220" s="432"/>
    </row>
    <row r="221" spans="2:35" ht="15.75" customHeight="1"/>
    <row r="222" spans="2:35" ht="15.75" customHeight="1"/>
    <row r="223" spans="2:35" ht="15.75" customHeight="1"/>
    <row r="224" spans="2:3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3:AI3"/>
    <mergeCell ref="AG1:AG2"/>
    <mergeCell ref="AH1:AH2"/>
    <mergeCell ref="AI1:AI2"/>
    <mergeCell ref="V1:V2"/>
    <mergeCell ref="W1:W2"/>
    <mergeCell ref="X1:X2"/>
    <mergeCell ref="Y1:Y2"/>
    <mergeCell ref="Z1:Z2"/>
    <mergeCell ref="AA1:AA2"/>
    <mergeCell ref="AB1:AB2"/>
    <mergeCell ref="U1:U2"/>
    <mergeCell ref="AC1:AC2"/>
    <mergeCell ref="AD1:AD2"/>
    <mergeCell ref="AE1:AE2"/>
    <mergeCell ref="AF1:AF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45F06"/>
    <outlinePr summaryBelow="0" summaryRight="0"/>
    <pageSetUpPr fitToPage="1"/>
  </sheetPr>
  <dimension ref="A1:J1000"/>
  <sheetViews>
    <sheetView workbookViewId="0"/>
  </sheetViews>
  <sheetFormatPr baseColWidth="10" defaultColWidth="12.5703125" defaultRowHeight="15" customHeight="1"/>
  <cols>
    <col min="1" max="1" width="9" customWidth="1"/>
    <col min="2" max="2" width="18.42578125" customWidth="1"/>
    <col min="3" max="3" width="23" customWidth="1"/>
    <col min="4" max="4" width="12.5703125" customWidth="1"/>
    <col min="5" max="5" width="16.42578125" customWidth="1"/>
    <col min="6" max="6" width="21" customWidth="1"/>
    <col min="8" max="8" width="17.7109375" customWidth="1"/>
    <col min="9" max="9" width="25.42578125" customWidth="1"/>
  </cols>
  <sheetData>
    <row r="1" spans="1:10" ht="15.75" customHeight="1">
      <c r="A1" s="677" t="s">
        <v>428</v>
      </c>
      <c r="B1" s="678" t="s">
        <v>434</v>
      </c>
      <c r="C1" s="606"/>
      <c r="D1" s="607"/>
      <c r="E1" s="678" t="s">
        <v>435</v>
      </c>
      <c r="F1" s="606"/>
      <c r="G1" s="607"/>
      <c r="H1" s="679" t="s">
        <v>436</v>
      </c>
      <c r="I1" s="606"/>
      <c r="J1" s="607"/>
    </row>
    <row r="2" spans="1:10" ht="15.75" customHeight="1">
      <c r="A2" s="604"/>
      <c r="B2" s="561" t="s">
        <v>429</v>
      </c>
      <c r="C2" s="562" t="s">
        <v>430</v>
      </c>
      <c r="D2" s="563" t="s">
        <v>431</v>
      </c>
      <c r="E2" s="561" t="s">
        <v>429</v>
      </c>
      <c r="F2" s="562" t="s">
        <v>430</v>
      </c>
      <c r="G2" s="563" t="s">
        <v>431</v>
      </c>
      <c r="H2" s="561" t="s">
        <v>429</v>
      </c>
      <c r="I2" s="562" t="s">
        <v>430</v>
      </c>
      <c r="J2" s="563" t="s">
        <v>431</v>
      </c>
    </row>
    <row r="3" spans="1:10" ht="41.25" customHeight="1">
      <c r="A3" s="564">
        <v>1</v>
      </c>
      <c r="B3" s="565"/>
      <c r="C3" s="566" t="s">
        <v>437</v>
      </c>
      <c r="D3" s="567"/>
      <c r="E3" s="568" t="s">
        <v>438</v>
      </c>
      <c r="F3" s="569" t="s">
        <v>439</v>
      </c>
      <c r="G3" s="567"/>
      <c r="H3" s="565"/>
      <c r="I3" s="569" t="s">
        <v>440</v>
      </c>
      <c r="J3" s="570"/>
    </row>
    <row r="4" spans="1:10" ht="28.5" customHeight="1">
      <c r="A4" s="571">
        <v>2</v>
      </c>
      <c r="B4" s="565"/>
      <c r="C4" s="572"/>
      <c r="D4" s="573"/>
      <c r="E4" s="565"/>
      <c r="F4" s="574"/>
      <c r="G4" s="573"/>
      <c r="H4" s="565"/>
      <c r="I4" s="569" t="s">
        <v>441</v>
      </c>
      <c r="J4" s="575"/>
    </row>
    <row r="5" spans="1:10" ht="28.5" customHeight="1">
      <c r="A5" s="571">
        <v>3</v>
      </c>
      <c r="B5" s="565"/>
      <c r="C5" s="572"/>
      <c r="D5" s="573"/>
      <c r="E5" s="565"/>
      <c r="F5" s="574"/>
      <c r="G5" s="573"/>
      <c r="H5" s="565"/>
      <c r="I5" s="569" t="s">
        <v>442</v>
      </c>
      <c r="J5" s="575"/>
    </row>
    <row r="6" spans="1:10" ht="28.5" customHeight="1">
      <c r="A6" s="571">
        <v>4</v>
      </c>
      <c r="B6" s="576"/>
      <c r="C6" s="577" t="s">
        <v>443</v>
      </c>
      <c r="D6" s="573"/>
      <c r="E6" s="565"/>
      <c r="F6" s="569" t="s">
        <v>444</v>
      </c>
      <c r="G6" s="573"/>
      <c r="H6" s="578"/>
      <c r="I6" s="569" t="s">
        <v>445</v>
      </c>
      <c r="J6" s="575"/>
    </row>
    <row r="7" spans="1:10" ht="28.5" customHeight="1">
      <c r="A7" s="571">
        <v>5</v>
      </c>
      <c r="B7" s="565"/>
      <c r="C7" s="577" t="s">
        <v>446</v>
      </c>
      <c r="D7" s="573"/>
      <c r="E7" s="565"/>
      <c r="F7" s="577" t="s">
        <v>444</v>
      </c>
      <c r="G7" s="573"/>
      <c r="H7" s="565"/>
      <c r="I7" s="577" t="s">
        <v>442</v>
      </c>
      <c r="J7" s="575"/>
    </row>
    <row r="8" spans="1:10" ht="28.5" customHeight="1">
      <c r="A8" s="571">
        <v>6</v>
      </c>
      <c r="B8" s="565"/>
      <c r="C8" s="572"/>
      <c r="D8" s="573"/>
      <c r="E8" s="565"/>
      <c r="F8" s="572"/>
      <c r="G8" s="573"/>
      <c r="H8" s="565"/>
      <c r="I8" s="577" t="s">
        <v>447</v>
      </c>
      <c r="J8" s="575"/>
    </row>
    <row r="9" spans="1:10" ht="15.75" customHeight="1">
      <c r="A9" s="571">
        <v>7</v>
      </c>
      <c r="B9" s="565"/>
      <c r="C9" s="572"/>
      <c r="D9" s="573"/>
      <c r="E9" s="568" t="s">
        <v>438</v>
      </c>
      <c r="F9" s="577" t="s">
        <v>448</v>
      </c>
      <c r="G9" s="573"/>
      <c r="H9" s="565"/>
      <c r="I9" s="577" t="s">
        <v>440</v>
      </c>
      <c r="J9" s="575"/>
    </row>
    <row r="10" spans="1:10" ht="15.75" customHeight="1">
      <c r="A10" s="571">
        <v>8</v>
      </c>
      <c r="B10" s="578"/>
      <c r="C10" s="572"/>
      <c r="D10" s="573"/>
      <c r="E10" s="565"/>
      <c r="F10" s="574"/>
      <c r="G10" s="573"/>
      <c r="H10" s="578"/>
      <c r="I10" s="569" t="s">
        <v>449</v>
      </c>
      <c r="J10" s="575"/>
    </row>
    <row r="11" spans="1:10" ht="15.75" customHeight="1">
      <c r="A11" s="571">
        <v>9</v>
      </c>
      <c r="B11" s="565"/>
      <c r="C11" s="566" t="s">
        <v>450</v>
      </c>
      <c r="D11" s="573"/>
      <c r="E11" s="568" t="s">
        <v>438</v>
      </c>
      <c r="F11" s="579" t="s">
        <v>451</v>
      </c>
      <c r="G11" s="573"/>
      <c r="H11" s="565"/>
      <c r="I11" s="569" t="s">
        <v>440</v>
      </c>
      <c r="J11" s="575"/>
    </row>
    <row r="12" spans="1:10" ht="15.75" customHeight="1">
      <c r="A12" s="571">
        <v>10</v>
      </c>
      <c r="B12" s="565"/>
      <c r="C12" s="577" t="s">
        <v>452</v>
      </c>
      <c r="D12" s="573"/>
      <c r="E12" s="565"/>
      <c r="F12" s="574"/>
      <c r="G12" s="573"/>
      <c r="H12" s="565"/>
      <c r="I12" s="579" t="s">
        <v>453</v>
      </c>
      <c r="J12" s="575"/>
    </row>
    <row r="13" spans="1:10" ht="15.75" customHeight="1">
      <c r="A13" s="571">
        <v>11</v>
      </c>
      <c r="B13" s="565"/>
      <c r="C13" s="577" t="s">
        <v>454</v>
      </c>
      <c r="D13" s="580"/>
      <c r="E13" s="565"/>
      <c r="F13" s="574"/>
      <c r="G13" s="573"/>
      <c r="H13" s="565"/>
      <c r="I13" s="569" t="s">
        <v>440</v>
      </c>
      <c r="J13" s="575"/>
    </row>
    <row r="14" spans="1:10" ht="28.5" customHeight="1">
      <c r="A14" s="571">
        <v>12</v>
      </c>
      <c r="B14" s="565"/>
      <c r="C14" s="572"/>
      <c r="D14" s="580"/>
      <c r="E14" s="565"/>
      <c r="F14" s="574"/>
      <c r="G14" s="573"/>
      <c r="H14" s="565"/>
      <c r="I14" s="579" t="s">
        <v>455</v>
      </c>
      <c r="J14" s="575"/>
    </row>
    <row r="15" spans="1:10" ht="15.75" customHeight="1">
      <c r="A15" s="571">
        <v>13</v>
      </c>
      <c r="B15" s="565"/>
      <c r="C15" s="577" t="s">
        <v>456</v>
      </c>
      <c r="D15" s="580"/>
      <c r="E15" s="568" t="s">
        <v>438</v>
      </c>
      <c r="F15" s="569" t="s">
        <v>457</v>
      </c>
      <c r="G15" s="573"/>
      <c r="H15" s="565"/>
      <c r="I15" s="577" t="s">
        <v>458</v>
      </c>
      <c r="J15" s="575"/>
    </row>
    <row r="16" spans="1:10" ht="28.5" customHeight="1">
      <c r="A16" s="571">
        <v>14</v>
      </c>
      <c r="B16" s="565"/>
      <c r="C16" s="572"/>
      <c r="D16" s="580"/>
      <c r="E16" s="565"/>
      <c r="F16" s="574"/>
      <c r="G16" s="573"/>
      <c r="H16" s="565"/>
      <c r="I16" s="579" t="s">
        <v>459</v>
      </c>
      <c r="J16" s="575"/>
    </row>
    <row r="17" spans="1:10" ht="15.75" customHeight="1">
      <c r="A17" s="571">
        <v>15</v>
      </c>
      <c r="B17" s="578"/>
      <c r="C17" s="577" t="s">
        <v>454</v>
      </c>
      <c r="D17" s="573"/>
      <c r="E17" s="581"/>
      <c r="F17" s="577" t="s">
        <v>446</v>
      </c>
      <c r="G17" s="573"/>
      <c r="H17" s="565"/>
      <c r="I17" s="569" t="s">
        <v>460</v>
      </c>
      <c r="J17" s="575"/>
    </row>
    <row r="18" spans="1:10" ht="28.5" customHeight="1">
      <c r="A18" s="571">
        <v>16</v>
      </c>
      <c r="B18" s="578"/>
      <c r="C18" s="566" t="s">
        <v>461</v>
      </c>
      <c r="D18" s="573"/>
      <c r="E18" s="582" t="s">
        <v>438</v>
      </c>
      <c r="F18" s="572"/>
      <c r="G18" s="573"/>
      <c r="H18" s="565"/>
      <c r="I18" s="569" t="s">
        <v>462</v>
      </c>
      <c r="J18" s="575"/>
    </row>
    <row r="19" spans="1:10" ht="28.5" customHeight="1">
      <c r="A19" s="571">
        <v>17</v>
      </c>
      <c r="B19" s="565"/>
      <c r="C19" s="566" t="s">
        <v>463</v>
      </c>
      <c r="D19" s="573"/>
      <c r="E19" s="565"/>
      <c r="F19" s="574"/>
      <c r="G19" s="573"/>
      <c r="H19" s="565"/>
      <c r="I19" s="569" t="s">
        <v>440</v>
      </c>
      <c r="J19" s="575"/>
    </row>
    <row r="20" spans="1:10" ht="28.5" customHeight="1">
      <c r="A20" s="571">
        <v>18</v>
      </c>
      <c r="B20" s="565"/>
      <c r="C20" s="566" t="s">
        <v>464</v>
      </c>
      <c r="D20" s="580"/>
      <c r="E20" s="565"/>
      <c r="F20" s="569" t="s">
        <v>446</v>
      </c>
      <c r="G20" s="573"/>
      <c r="H20" s="565"/>
      <c r="I20" s="579" t="s">
        <v>465</v>
      </c>
      <c r="J20" s="575"/>
    </row>
    <row r="21" spans="1:10" ht="28.5" customHeight="1">
      <c r="A21" s="571">
        <v>19</v>
      </c>
      <c r="B21" s="578"/>
      <c r="C21" s="577" t="s">
        <v>466</v>
      </c>
      <c r="D21" s="573"/>
      <c r="E21" s="565"/>
      <c r="F21" s="572"/>
      <c r="G21" s="573"/>
      <c r="H21" s="565"/>
      <c r="I21" s="577" t="s">
        <v>467</v>
      </c>
      <c r="J21" s="575"/>
    </row>
    <row r="22" spans="1:10" ht="28.5" customHeight="1">
      <c r="A22" s="571">
        <v>20</v>
      </c>
      <c r="B22" s="565"/>
      <c r="C22" s="577" t="s">
        <v>468</v>
      </c>
      <c r="D22" s="573"/>
      <c r="E22" s="565"/>
      <c r="F22" s="574"/>
      <c r="G22" s="573"/>
      <c r="H22" s="565"/>
      <c r="I22" s="579" t="s">
        <v>469</v>
      </c>
      <c r="J22" s="575"/>
    </row>
    <row r="23" spans="1:10" ht="28.5" customHeight="1">
      <c r="A23" s="571">
        <v>21</v>
      </c>
      <c r="B23" s="565"/>
      <c r="C23" s="577" t="s">
        <v>470</v>
      </c>
      <c r="D23" s="580"/>
      <c r="E23" s="565"/>
      <c r="F23" s="569" t="s">
        <v>446</v>
      </c>
      <c r="G23" s="573"/>
      <c r="H23" s="565"/>
      <c r="I23" s="579" t="s">
        <v>455</v>
      </c>
      <c r="J23" s="575"/>
    </row>
    <row r="24" spans="1:10" ht="15.75" customHeight="1">
      <c r="A24" s="571">
        <v>22</v>
      </c>
      <c r="B24" s="565"/>
      <c r="C24" s="566" t="s">
        <v>471</v>
      </c>
      <c r="D24" s="583"/>
      <c r="E24" s="568" t="s">
        <v>438</v>
      </c>
      <c r="F24" s="574"/>
      <c r="G24" s="584"/>
      <c r="H24" s="565"/>
      <c r="I24" s="579" t="s">
        <v>472</v>
      </c>
      <c r="J24" s="575"/>
    </row>
    <row r="25" spans="1:10" ht="15.75" customHeight="1">
      <c r="A25" s="571">
        <v>23</v>
      </c>
      <c r="B25" s="578"/>
      <c r="C25" s="577" t="s">
        <v>470</v>
      </c>
      <c r="D25" s="585"/>
      <c r="E25" s="565"/>
      <c r="F25" s="572"/>
      <c r="G25" s="585"/>
      <c r="H25" s="565"/>
      <c r="I25" s="577" t="s">
        <v>473</v>
      </c>
      <c r="J25" s="575"/>
    </row>
    <row r="26" spans="1:10" ht="15.75" customHeight="1">
      <c r="A26" s="571">
        <v>24</v>
      </c>
      <c r="B26" s="565"/>
      <c r="C26" s="577" t="s">
        <v>470</v>
      </c>
      <c r="D26" s="573"/>
      <c r="E26" s="565"/>
      <c r="F26" s="574"/>
      <c r="G26" s="573"/>
      <c r="H26" s="565"/>
      <c r="I26" s="579" t="s">
        <v>474</v>
      </c>
      <c r="J26" s="575"/>
    </row>
    <row r="27" spans="1:10" ht="15.75" customHeight="1">
      <c r="A27" s="571">
        <v>25</v>
      </c>
      <c r="B27" s="578"/>
      <c r="C27" s="566" t="s">
        <v>475</v>
      </c>
      <c r="D27" s="586" t="s">
        <v>476</v>
      </c>
      <c r="E27" s="565"/>
      <c r="F27" s="577" t="s">
        <v>477</v>
      </c>
      <c r="G27" s="573"/>
      <c r="H27" s="565"/>
      <c r="I27" s="569" t="s">
        <v>478</v>
      </c>
      <c r="J27" s="575"/>
    </row>
    <row r="28" spans="1:10" ht="28.5" customHeight="1">
      <c r="A28" s="571">
        <v>26</v>
      </c>
      <c r="B28" s="565"/>
      <c r="C28" s="572"/>
      <c r="D28" s="573"/>
      <c r="E28" s="565"/>
      <c r="F28" s="569" t="s">
        <v>446</v>
      </c>
      <c r="G28" s="573"/>
      <c r="H28" s="565"/>
      <c r="I28" s="579" t="s">
        <v>479</v>
      </c>
      <c r="J28" s="575"/>
    </row>
    <row r="29" spans="1:10" ht="28.5" customHeight="1">
      <c r="A29" s="571">
        <v>27</v>
      </c>
      <c r="B29" s="568" t="s">
        <v>438</v>
      </c>
      <c r="C29" s="577" t="s">
        <v>480</v>
      </c>
      <c r="D29" s="587"/>
      <c r="E29" s="565"/>
      <c r="F29" s="574"/>
      <c r="G29" s="587"/>
      <c r="H29" s="565"/>
      <c r="I29" s="569" t="s">
        <v>442</v>
      </c>
      <c r="J29" s="575"/>
    </row>
    <row r="30" spans="1:10" ht="15.75" customHeight="1">
      <c r="A30" s="588">
        <v>28</v>
      </c>
      <c r="B30" s="578"/>
      <c r="C30" s="577" t="s">
        <v>470</v>
      </c>
      <c r="D30" s="589"/>
      <c r="E30" s="568" t="s">
        <v>438</v>
      </c>
      <c r="F30" s="572"/>
      <c r="G30" s="589"/>
      <c r="H30" s="578"/>
      <c r="I30" s="579" t="s">
        <v>481</v>
      </c>
      <c r="J30" s="590"/>
    </row>
    <row r="31" spans="1:10" ht="28.5" customHeight="1">
      <c r="A31" s="571">
        <v>29</v>
      </c>
      <c r="B31" s="565"/>
      <c r="C31" s="577" t="s">
        <v>480</v>
      </c>
      <c r="D31" s="573"/>
      <c r="E31" s="565"/>
      <c r="F31" s="574"/>
      <c r="G31" s="573"/>
      <c r="H31" s="565"/>
      <c r="I31" s="569" t="s">
        <v>442</v>
      </c>
      <c r="J31" s="575"/>
    </row>
    <row r="32" spans="1:10" ht="15.75" customHeight="1">
      <c r="A32" s="571">
        <v>30</v>
      </c>
      <c r="B32" s="578"/>
      <c r="C32" s="572"/>
      <c r="D32" s="573"/>
      <c r="E32" s="565"/>
      <c r="F32" s="574"/>
      <c r="G32" s="573"/>
      <c r="H32" s="565"/>
      <c r="I32" s="566" t="s">
        <v>453</v>
      </c>
      <c r="J32" s="575"/>
    </row>
    <row r="33" spans="1:10" ht="28.5" customHeight="1">
      <c r="A33" s="591">
        <v>31</v>
      </c>
      <c r="B33" s="578"/>
      <c r="C33" s="572"/>
      <c r="D33" s="592"/>
      <c r="E33" s="565"/>
      <c r="F33" s="574"/>
      <c r="G33" s="592"/>
      <c r="H33" s="593"/>
      <c r="I33" s="566" t="s">
        <v>482</v>
      </c>
      <c r="J33" s="594"/>
    </row>
    <row r="34" spans="1:10" ht="15.75" customHeight="1">
      <c r="B34" s="595"/>
      <c r="C34" s="595"/>
      <c r="F34" s="596"/>
      <c r="I34" s="595"/>
    </row>
    <row r="35" spans="1:10" ht="15.75" customHeight="1">
      <c r="B35" s="595"/>
      <c r="C35" s="595"/>
      <c r="F35" s="595"/>
      <c r="I35" s="595"/>
    </row>
    <row r="36" spans="1:10" ht="15.75" customHeight="1">
      <c r="B36" s="595"/>
      <c r="C36" s="595"/>
      <c r="F36" s="595"/>
      <c r="I36" s="595"/>
    </row>
    <row r="37" spans="1:10" ht="15.75" customHeight="1">
      <c r="B37" s="595"/>
      <c r="C37" s="595"/>
      <c r="F37" s="595"/>
      <c r="I37" s="595"/>
    </row>
    <row r="38" spans="1:10" ht="15.75" customHeight="1">
      <c r="B38" s="595"/>
      <c r="C38" s="595"/>
      <c r="F38" s="595"/>
      <c r="I38" s="595"/>
    </row>
    <row r="39" spans="1:10" ht="15.75" customHeight="1">
      <c r="B39" s="595"/>
      <c r="C39" s="595"/>
      <c r="F39" s="595"/>
      <c r="I39" s="595"/>
    </row>
    <row r="40" spans="1:10" ht="15.75" customHeight="1">
      <c r="B40" s="595"/>
      <c r="C40" s="595"/>
      <c r="F40" s="595"/>
      <c r="I40" s="595"/>
    </row>
    <row r="41" spans="1:10" ht="15.75" customHeight="1">
      <c r="B41" s="595"/>
      <c r="C41" s="595"/>
      <c r="F41" s="595"/>
      <c r="I41" s="595"/>
    </row>
    <row r="42" spans="1:10" ht="15.75" customHeight="1">
      <c r="B42" s="595"/>
      <c r="C42" s="595"/>
      <c r="F42" s="595"/>
      <c r="I42" s="595"/>
    </row>
    <row r="43" spans="1:10" ht="15.75" customHeight="1">
      <c r="B43" s="595"/>
      <c r="C43" s="595"/>
      <c r="F43" s="595"/>
      <c r="I43" s="595"/>
    </row>
    <row r="44" spans="1:10" ht="15.75" customHeight="1">
      <c r="B44" s="595"/>
      <c r="C44" s="595"/>
      <c r="F44" s="595"/>
      <c r="I44" s="595"/>
    </row>
    <row r="45" spans="1:10" ht="15.75" customHeight="1">
      <c r="B45" s="595"/>
      <c r="C45" s="595"/>
      <c r="F45" s="595"/>
      <c r="I45" s="595"/>
    </row>
    <row r="46" spans="1:10" ht="15.75" customHeight="1">
      <c r="B46" s="595"/>
      <c r="C46" s="595"/>
      <c r="F46" s="595"/>
      <c r="I46" s="595"/>
    </row>
    <row r="47" spans="1:10" ht="15.75" customHeight="1">
      <c r="B47" s="595"/>
      <c r="C47" s="595"/>
      <c r="F47" s="595"/>
      <c r="I47" s="595"/>
    </row>
    <row r="48" spans="1:10" ht="15.75" customHeight="1">
      <c r="B48" s="595"/>
      <c r="C48" s="595"/>
      <c r="F48" s="595"/>
      <c r="I48" s="595"/>
    </row>
    <row r="49" spans="2:9" ht="15.75" customHeight="1">
      <c r="B49" s="595"/>
      <c r="C49" s="595"/>
      <c r="F49" s="595"/>
      <c r="I49" s="595"/>
    </row>
    <row r="50" spans="2:9" ht="15.75" customHeight="1">
      <c r="B50" s="595"/>
      <c r="C50" s="595"/>
      <c r="F50" s="595"/>
      <c r="I50" s="595"/>
    </row>
    <row r="51" spans="2:9" ht="15.75" customHeight="1">
      <c r="B51" s="595"/>
      <c r="C51" s="595"/>
      <c r="F51" s="595"/>
      <c r="I51" s="595"/>
    </row>
    <row r="52" spans="2:9" ht="15.75" customHeight="1">
      <c r="B52" s="595"/>
      <c r="C52" s="595"/>
      <c r="F52" s="595"/>
      <c r="I52" s="595"/>
    </row>
    <row r="53" spans="2:9" ht="15.75" customHeight="1">
      <c r="B53" s="595"/>
      <c r="C53" s="595"/>
      <c r="F53" s="595"/>
      <c r="I53" s="595"/>
    </row>
    <row r="54" spans="2:9" ht="15.75" customHeight="1">
      <c r="B54" s="595"/>
      <c r="C54" s="595"/>
      <c r="F54" s="595"/>
      <c r="I54" s="595"/>
    </row>
    <row r="55" spans="2:9" ht="15.75" customHeight="1">
      <c r="B55" s="595"/>
      <c r="C55" s="595"/>
      <c r="F55" s="595"/>
      <c r="I55" s="595"/>
    </row>
    <row r="56" spans="2:9" ht="15.75" customHeight="1">
      <c r="B56" s="595"/>
      <c r="C56" s="595"/>
      <c r="F56" s="595"/>
      <c r="I56" s="595"/>
    </row>
    <row r="57" spans="2:9" ht="15.75" customHeight="1">
      <c r="B57" s="595"/>
      <c r="C57" s="595"/>
      <c r="F57" s="595"/>
      <c r="I57" s="595"/>
    </row>
    <row r="58" spans="2:9" ht="15.75" customHeight="1">
      <c r="B58" s="595"/>
      <c r="C58" s="595"/>
      <c r="F58" s="595"/>
      <c r="I58" s="595"/>
    </row>
    <row r="59" spans="2:9" ht="15.75" customHeight="1">
      <c r="B59" s="595"/>
      <c r="C59" s="595"/>
      <c r="F59" s="595"/>
      <c r="I59" s="595"/>
    </row>
    <row r="60" spans="2:9" ht="15.75" customHeight="1">
      <c r="B60" s="595"/>
      <c r="C60" s="595"/>
      <c r="F60" s="595"/>
      <c r="I60" s="595"/>
    </row>
    <row r="61" spans="2:9" ht="15.75" customHeight="1">
      <c r="B61" s="595"/>
      <c r="C61" s="595"/>
      <c r="F61" s="595"/>
      <c r="I61" s="595"/>
    </row>
    <row r="62" spans="2:9" ht="15.75" customHeight="1">
      <c r="B62" s="595"/>
      <c r="C62" s="595"/>
      <c r="F62" s="595"/>
      <c r="I62" s="595"/>
    </row>
    <row r="63" spans="2:9" ht="15.75" customHeight="1">
      <c r="B63" s="595"/>
      <c r="C63" s="595"/>
      <c r="F63" s="595"/>
      <c r="I63" s="595"/>
    </row>
    <row r="64" spans="2:9" ht="15.75" customHeight="1">
      <c r="B64" s="595"/>
      <c r="C64" s="595"/>
      <c r="F64" s="595"/>
      <c r="I64" s="595"/>
    </row>
    <row r="65" spans="2:9" ht="15.75" customHeight="1">
      <c r="B65" s="595"/>
      <c r="C65" s="595"/>
      <c r="F65" s="595"/>
      <c r="I65" s="595"/>
    </row>
    <row r="66" spans="2:9" ht="15.75" customHeight="1">
      <c r="B66" s="595"/>
      <c r="C66" s="595"/>
      <c r="F66" s="595"/>
      <c r="I66" s="595"/>
    </row>
    <row r="67" spans="2:9" ht="15.75" customHeight="1">
      <c r="B67" s="595"/>
      <c r="C67" s="595"/>
      <c r="F67" s="595"/>
      <c r="I67" s="595"/>
    </row>
    <row r="68" spans="2:9" ht="15.75" customHeight="1">
      <c r="B68" s="595"/>
      <c r="C68" s="595"/>
      <c r="F68" s="595"/>
      <c r="I68" s="595"/>
    </row>
    <row r="69" spans="2:9" ht="15.75" customHeight="1">
      <c r="B69" s="597"/>
      <c r="C69" s="595"/>
      <c r="D69" s="496"/>
      <c r="E69" s="495"/>
      <c r="F69" s="595"/>
      <c r="G69" s="496"/>
      <c r="I69" s="595"/>
    </row>
    <row r="70" spans="2:9" ht="15.75" customHeight="1">
      <c r="B70" s="597"/>
      <c r="C70" s="595"/>
      <c r="D70" s="496"/>
      <c r="E70" s="495"/>
      <c r="F70" s="595"/>
      <c r="G70" s="496"/>
      <c r="I70" s="595"/>
    </row>
    <row r="71" spans="2:9" ht="15.75" customHeight="1">
      <c r="B71" s="597"/>
      <c r="C71" s="595"/>
      <c r="D71" s="496"/>
      <c r="E71" s="495"/>
      <c r="F71" s="595"/>
      <c r="G71" s="496"/>
      <c r="I71" s="595"/>
    </row>
    <row r="72" spans="2:9" ht="15.75" customHeight="1">
      <c r="B72" s="597"/>
      <c r="C72" s="595"/>
      <c r="D72" s="496"/>
      <c r="E72" s="495"/>
      <c r="F72" s="595"/>
      <c r="G72" s="496"/>
      <c r="I72" s="595"/>
    </row>
    <row r="73" spans="2:9" ht="15.75" customHeight="1">
      <c r="B73" s="597"/>
      <c r="C73" s="595"/>
      <c r="D73" s="496"/>
      <c r="E73" s="495"/>
      <c r="F73" s="595"/>
      <c r="G73" s="496"/>
      <c r="I73" s="595"/>
    </row>
    <row r="74" spans="2:9" ht="15.75" customHeight="1">
      <c r="B74" s="597"/>
      <c r="C74" s="595"/>
      <c r="D74" s="496"/>
      <c r="E74" s="495"/>
      <c r="F74" s="595"/>
      <c r="G74" s="496"/>
      <c r="I74" s="595"/>
    </row>
    <row r="75" spans="2:9" ht="15.75" customHeight="1">
      <c r="B75" s="597"/>
      <c r="C75" s="595"/>
      <c r="D75" s="496"/>
      <c r="E75" s="495"/>
      <c r="F75" s="595"/>
      <c r="G75" s="496"/>
      <c r="I75" s="595"/>
    </row>
    <row r="76" spans="2:9" ht="15.75" customHeight="1">
      <c r="B76" s="597"/>
      <c r="C76" s="595"/>
      <c r="D76" s="496"/>
      <c r="E76" s="495"/>
      <c r="F76" s="595"/>
      <c r="G76" s="496"/>
      <c r="I76" s="595"/>
    </row>
    <row r="77" spans="2:9" ht="15.75" customHeight="1">
      <c r="B77" s="597"/>
      <c r="C77" s="595"/>
      <c r="D77" s="496"/>
      <c r="E77" s="495"/>
      <c r="F77" s="595"/>
      <c r="G77" s="496"/>
      <c r="I77" s="595"/>
    </row>
    <row r="78" spans="2:9" ht="15.75" customHeight="1">
      <c r="B78" s="597"/>
      <c r="C78" s="595"/>
      <c r="D78" s="496"/>
      <c r="E78" s="495"/>
      <c r="F78" s="595"/>
      <c r="G78" s="496"/>
      <c r="I78" s="595"/>
    </row>
    <row r="79" spans="2:9" ht="15.75" customHeight="1">
      <c r="B79" s="597"/>
      <c r="C79" s="595"/>
      <c r="D79" s="496"/>
      <c r="E79" s="495"/>
      <c r="F79" s="595"/>
      <c r="G79" s="496"/>
      <c r="I79" s="595"/>
    </row>
    <row r="80" spans="2:9" ht="15.75" customHeight="1">
      <c r="B80" s="597"/>
      <c r="C80" s="595"/>
      <c r="D80" s="496"/>
      <c r="E80" s="495"/>
      <c r="F80" s="595"/>
      <c r="G80" s="496"/>
      <c r="I80" s="595"/>
    </row>
    <row r="81" spans="2:9" ht="15.75" customHeight="1">
      <c r="B81" s="597"/>
      <c r="C81" s="595"/>
      <c r="D81" s="496"/>
      <c r="E81" s="495"/>
      <c r="F81" s="595"/>
      <c r="G81" s="496"/>
      <c r="I81" s="595"/>
    </row>
    <row r="82" spans="2:9" ht="15.75" customHeight="1">
      <c r="B82" s="597"/>
      <c r="C82" s="595"/>
      <c r="D82" s="496"/>
      <c r="E82" s="495"/>
      <c r="F82" s="595"/>
      <c r="G82" s="496"/>
      <c r="I82" s="595"/>
    </row>
    <row r="83" spans="2:9" ht="15.75" customHeight="1">
      <c r="B83" s="597"/>
      <c r="C83" s="595"/>
      <c r="D83" s="496"/>
      <c r="E83" s="495"/>
      <c r="F83" s="595"/>
      <c r="G83" s="496"/>
      <c r="I83" s="595"/>
    </row>
    <row r="84" spans="2:9" ht="15.75" customHeight="1">
      <c r="B84" s="597"/>
      <c r="C84" s="595"/>
      <c r="D84" s="496"/>
      <c r="E84" s="495"/>
      <c r="F84" s="595"/>
      <c r="G84" s="496"/>
      <c r="I84" s="595"/>
    </row>
    <row r="85" spans="2:9" ht="15.75" customHeight="1">
      <c r="B85" s="597"/>
      <c r="C85" s="595"/>
      <c r="D85" s="496"/>
      <c r="E85" s="495"/>
      <c r="F85" s="595"/>
      <c r="G85" s="496"/>
      <c r="I85" s="595"/>
    </row>
    <row r="86" spans="2:9" ht="15.75" customHeight="1">
      <c r="B86" s="597"/>
      <c r="C86" s="595"/>
      <c r="D86" s="496"/>
      <c r="E86" s="495"/>
      <c r="F86" s="595"/>
      <c r="G86" s="496"/>
      <c r="I86" s="595"/>
    </row>
    <row r="87" spans="2:9" ht="15.75" customHeight="1">
      <c r="B87" s="597"/>
      <c r="C87" s="595"/>
      <c r="D87" s="496"/>
      <c r="E87" s="495"/>
      <c r="F87" s="595"/>
      <c r="G87" s="496"/>
      <c r="I87" s="595"/>
    </row>
    <row r="88" spans="2:9" ht="15.75" customHeight="1">
      <c r="B88" s="597"/>
      <c r="C88" s="595"/>
      <c r="D88" s="496"/>
      <c r="E88" s="495"/>
      <c r="F88" s="595"/>
      <c r="G88" s="496"/>
      <c r="I88" s="595"/>
    </row>
    <row r="89" spans="2:9" ht="15.75" customHeight="1">
      <c r="B89" s="597"/>
      <c r="C89" s="595"/>
      <c r="D89" s="496"/>
      <c r="E89" s="495"/>
      <c r="F89" s="595"/>
      <c r="G89" s="496"/>
      <c r="I89" s="595"/>
    </row>
    <row r="90" spans="2:9" ht="15.75" customHeight="1">
      <c r="B90" s="597"/>
      <c r="C90" s="595"/>
      <c r="D90" s="496"/>
      <c r="E90" s="495"/>
      <c r="F90" s="595"/>
      <c r="G90" s="496"/>
      <c r="I90" s="595"/>
    </row>
    <row r="91" spans="2:9" ht="15.75" customHeight="1">
      <c r="B91" s="597"/>
      <c r="C91" s="595"/>
      <c r="D91" s="496"/>
      <c r="E91" s="495"/>
      <c r="F91" s="595"/>
      <c r="G91" s="496"/>
      <c r="I91" s="595"/>
    </row>
    <row r="92" spans="2:9" ht="15.75" customHeight="1">
      <c r="B92" s="597"/>
      <c r="C92" s="595"/>
      <c r="D92" s="496"/>
      <c r="E92" s="495"/>
      <c r="F92" s="595"/>
      <c r="G92" s="496"/>
      <c r="I92" s="595"/>
    </row>
    <row r="93" spans="2:9" ht="15.75" customHeight="1">
      <c r="B93" s="597"/>
      <c r="C93" s="595"/>
      <c r="D93" s="496"/>
      <c r="E93" s="495"/>
      <c r="F93" s="595"/>
      <c r="G93" s="496"/>
      <c r="I93" s="595"/>
    </row>
    <row r="94" spans="2:9" ht="15.75" customHeight="1">
      <c r="B94" s="597"/>
      <c r="C94" s="595"/>
      <c r="D94" s="496"/>
      <c r="E94" s="495"/>
      <c r="F94" s="595"/>
      <c r="G94" s="496"/>
      <c r="I94" s="595"/>
    </row>
    <row r="95" spans="2:9" ht="15.75" customHeight="1">
      <c r="B95" s="597"/>
      <c r="C95" s="595"/>
      <c r="D95" s="496"/>
      <c r="E95" s="495"/>
      <c r="F95" s="595"/>
      <c r="G95" s="496"/>
      <c r="I95" s="595"/>
    </row>
    <row r="96" spans="2:9" ht="15.75" customHeight="1">
      <c r="B96" s="597"/>
      <c r="C96" s="595"/>
      <c r="D96" s="496"/>
      <c r="E96" s="495"/>
      <c r="F96" s="595"/>
      <c r="G96" s="496"/>
      <c r="I96" s="595"/>
    </row>
    <row r="97" spans="2:9" ht="15.75" customHeight="1">
      <c r="B97" s="597"/>
      <c r="C97" s="595"/>
      <c r="D97" s="496"/>
      <c r="E97" s="495"/>
      <c r="F97" s="595"/>
      <c r="G97" s="496"/>
      <c r="I97" s="595"/>
    </row>
    <row r="98" spans="2:9" ht="15.75" customHeight="1">
      <c r="B98" s="597"/>
      <c r="C98" s="595"/>
      <c r="D98" s="496"/>
      <c r="E98" s="495"/>
      <c r="F98" s="595"/>
      <c r="G98" s="496"/>
      <c r="I98" s="595"/>
    </row>
    <row r="99" spans="2:9" ht="15.75" customHeight="1">
      <c r="B99" s="597"/>
      <c r="C99" s="595"/>
      <c r="D99" s="496"/>
      <c r="E99" s="495"/>
      <c r="F99" s="595"/>
      <c r="G99" s="496"/>
      <c r="I99" s="595"/>
    </row>
    <row r="100" spans="2:9" ht="15.75" customHeight="1">
      <c r="B100" s="597"/>
      <c r="C100" s="595"/>
      <c r="D100" s="496"/>
      <c r="E100" s="495"/>
      <c r="F100" s="595"/>
      <c r="G100" s="496"/>
      <c r="I100" s="595"/>
    </row>
    <row r="101" spans="2:9" ht="15.75" customHeight="1">
      <c r="B101" s="597"/>
      <c r="C101" s="595"/>
      <c r="D101" s="496"/>
      <c r="E101" s="495"/>
      <c r="F101" s="595"/>
      <c r="G101" s="496"/>
      <c r="I101" s="595"/>
    </row>
    <row r="102" spans="2:9" ht="15.75" customHeight="1">
      <c r="B102" s="597"/>
      <c r="C102" s="595"/>
      <c r="D102" s="496"/>
      <c r="E102" s="495"/>
      <c r="F102" s="595"/>
      <c r="G102" s="496"/>
      <c r="I102" s="595"/>
    </row>
    <row r="103" spans="2:9" ht="15.75" customHeight="1">
      <c r="B103" s="597"/>
      <c r="C103" s="595"/>
      <c r="D103" s="496"/>
      <c r="E103" s="495"/>
      <c r="F103" s="595"/>
      <c r="G103" s="496"/>
      <c r="I103" s="595"/>
    </row>
    <row r="104" spans="2:9" ht="15.75" customHeight="1">
      <c r="B104" s="597"/>
      <c r="C104" s="595"/>
      <c r="D104" s="496"/>
      <c r="E104" s="495"/>
      <c r="F104" s="595"/>
      <c r="G104" s="496"/>
      <c r="I104" s="595"/>
    </row>
    <row r="105" spans="2:9" ht="15.75" customHeight="1">
      <c r="B105" s="597"/>
      <c r="C105" s="595"/>
      <c r="D105" s="496"/>
      <c r="E105" s="495"/>
      <c r="F105" s="595"/>
      <c r="G105" s="496"/>
      <c r="I105" s="595"/>
    </row>
    <row r="106" spans="2:9" ht="15.75" customHeight="1">
      <c r="B106" s="597"/>
      <c r="C106" s="595"/>
      <c r="D106" s="496"/>
      <c r="E106" s="495"/>
      <c r="F106" s="595"/>
      <c r="G106" s="496"/>
      <c r="I106" s="595"/>
    </row>
    <row r="107" spans="2:9" ht="15.75" customHeight="1">
      <c r="B107" s="597"/>
      <c r="C107" s="595"/>
      <c r="D107" s="496"/>
      <c r="E107" s="495"/>
      <c r="F107" s="595"/>
      <c r="G107" s="496"/>
      <c r="I107" s="595"/>
    </row>
    <row r="108" spans="2:9" ht="15.75" customHeight="1">
      <c r="B108" s="597"/>
      <c r="C108" s="595"/>
      <c r="D108" s="496"/>
      <c r="E108" s="495"/>
      <c r="F108" s="595"/>
      <c r="G108" s="496"/>
      <c r="I108" s="595"/>
    </row>
    <row r="109" spans="2:9" ht="15.75" customHeight="1">
      <c r="B109" s="597"/>
      <c r="C109" s="595"/>
      <c r="D109" s="496"/>
      <c r="E109" s="495"/>
      <c r="F109" s="595"/>
      <c r="G109" s="496"/>
      <c r="I109" s="595"/>
    </row>
    <row r="110" spans="2:9" ht="15.75" customHeight="1">
      <c r="B110" s="597"/>
      <c r="C110" s="595"/>
      <c r="D110" s="496"/>
      <c r="E110" s="495"/>
      <c r="F110" s="595"/>
      <c r="G110" s="496"/>
      <c r="I110" s="595"/>
    </row>
    <row r="111" spans="2:9" ht="15.75" customHeight="1">
      <c r="B111" s="597"/>
      <c r="C111" s="595"/>
      <c r="D111" s="496"/>
      <c r="E111" s="495"/>
      <c r="F111" s="595"/>
      <c r="G111" s="496"/>
      <c r="I111" s="595"/>
    </row>
    <row r="112" spans="2:9" ht="15.75" customHeight="1">
      <c r="B112" s="597"/>
      <c r="C112" s="595"/>
      <c r="D112" s="496"/>
      <c r="E112" s="495"/>
      <c r="F112" s="595"/>
      <c r="G112" s="496"/>
      <c r="I112" s="595"/>
    </row>
    <row r="113" spans="2:9" ht="15.75" customHeight="1">
      <c r="B113" s="597"/>
      <c r="C113" s="595"/>
      <c r="D113" s="496"/>
      <c r="E113" s="495"/>
      <c r="F113" s="595"/>
      <c r="G113" s="496"/>
      <c r="I113" s="595"/>
    </row>
    <row r="114" spans="2:9" ht="15.75" customHeight="1">
      <c r="B114" s="597"/>
      <c r="C114" s="595"/>
      <c r="D114" s="496"/>
      <c r="E114" s="495"/>
      <c r="F114" s="595"/>
      <c r="G114" s="496"/>
      <c r="I114" s="595"/>
    </row>
    <row r="115" spans="2:9" ht="15.75" customHeight="1">
      <c r="B115" s="597"/>
      <c r="C115" s="595"/>
      <c r="D115" s="496"/>
      <c r="E115" s="495"/>
      <c r="F115" s="595"/>
      <c r="G115" s="496"/>
      <c r="I115" s="595"/>
    </row>
    <row r="116" spans="2:9" ht="15.75" customHeight="1">
      <c r="B116" s="597"/>
      <c r="C116" s="595"/>
      <c r="D116" s="496"/>
      <c r="E116" s="495"/>
      <c r="F116" s="595"/>
      <c r="G116" s="496"/>
      <c r="I116" s="595"/>
    </row>
    <row r="117" spans="2:9" ht="15.75" customHeight="1">
      <c r="B117" s="597"/>
      <c r="C117" s="595"/>
      <c r="D117" s="496"/>
      <c r="E117" s="495"/>
      <c r="F117" s="595"/>
      <c r="G117" s="496"/>
      <c r="I117" s="595"/>
    </row>
    <row r="118" spans="2:9" ht="15.75" customHeight="1">
      <c r="B118" s="597"/>
      <c r="C118" s="595"/>
      <c r="D118" s="496"/>
      <c r="E118" s="495"/>
      <c r="F118" s="595"/>
      <c r="G118" s="496"/>
      <c r="I118" s="595"/>
    </row>
    <row r="119" spans="2:9" ht="15.75" customHeight="1">
      <c r="B119" s="597"/>
      <c r="C119" s="595"/>
      <c r="D119" s="496"/>
      <c r="E119" s="495"/>
      <c r="F119" s="595"/>
      <c r="G119" s="496"/>
      <c r="I119" s="595"/>
    </row>
    <row r="120" spans="2:9" ht="15.75" customHeight="1">
      <c r="B120" s="597"/>
      <c r="C120" s="595"/>
      <c r="D120" s="496"/>
      <c r="E120" s="495"/>
      <c r="F120" s="595"/>
      <c r="G120" s="496"/>
      <c r="I120" s="595"/>
    </row>
    <row r="121" spans="2:9" ht="15.75" customHeight="1">
      <c r="B121" s="597"/>
      <c r="C121" s="595"/>
      <c r="D121" s="496"/>
      <c r="E121" s="495"/>
      <c r="F121" s="595"/>
      <c r="G121" s="496"/>
      <c r="I121" s="595"/>
    </row>
    <row r="122" spans="2:9" ht="15.75" customHeight="1">
      <c r="B122" s="597"/>
      <c r="C122" s="595"/>
      <c r="D122" s="496"/>
      <c r="E122" s="495"/>
      <c r="F122" s="595"/>
      <c r="G122" s="496"/>
      <c r="I122" s="595"/>
    </row>
    <row r="123" spans="2:9" ht="15.75" customHeight="1">
      <c r="B123" s="597"/>
      <c r="C123" s="595"/>
      <c r="D123" s="496"/>
      <c r="E123" s="495"/>
      <c r="F123" s="595"/>
      <c r="G123" s="496"/>
      <c r="I123" s="595"/>
    </row>
    <row r="124" spans="2:9" ht="15.75" customHeight="1">
      <c r="B124" s="597"/>
      <c r="C124" s="595"/>
      <c r="D124" s="496"/>
      <c r="E124" s="495"/>
      <c r="F124" s="595"/>
      <c r="G124" s="496"/>
      <c r="I124" s="595"/>
    </row>
    <row r="125" spans="2:9" ht="15.75" customHeight="1">
      <c r="B125" s="597"/>
      <c r="C125" s="595"/>
      <c r="D125" s="496"/>
      <c r="E125" s="495"/>
      <c r="F125" s="595"/>
      <c r="G125" s="496"/>
      <c r="I125" s="595"/>
    </row>
    <row r="126" spans="2:9" ht="15.75" customHeight="1">
      <c r="B126" s="597"/>
      <c r="C126" s="595"/>
      <c r="D126" s="496"/>
      <c r="E126" s="495"/>
      <c r="F126" s="595"/>
      <c r="G126" s="496"/>
      <c r="I126" s="595"/>
    </row>
    <row r="127" spans="2:9" ht="15.75" customHeight="1">
      <c r="B127" s="597"/>
      <c r="C127" s="595"/>
      <c r="D127" s="496"/>
      <c r="E127" s="495"/>
      <c r="F127" s="595"/>
      <c r="G127" s="496"/>
      <c r="I127" s="595"/>
    </row>
    <row r="128" spans="2:9" ht="15.75" customHeight="1">
      <c r="B128" s="597"/>
      <c r="C128" s="595"/>
      <c r="D128" s="496"/>
      <c r="E128" s="495"/>
      <c r="F128" s="595"/>
      <c r="G128" s="496"/>
      <c r="I128" s="595"/>
    </row>
    <row r="129" spans="2:9" ht="15.75" customHeight="1">
      <c r="B129" s="597"/>
      <c r="C129" s="595"/>
      <c r="D129" s="496"/>
      <c r="E129" s="495"/>
      <c r="F129" s="595"/>
      <c r="G129" s="496"/>
      <c r="I129" s="595"/>
    </row>
    <row r="130" spans="2:9" ht="15.75" customHeight="1">
      <c r="B130" s="597"/>
      <c r="C130" s="595"/>
      <c r="D130" s="496"/>
      <c r="E130" s="495"/>
      <c r="F130" s="595"/>
      <c r="G130" s="496"/>
      <c r="I130" s="595"/>
    </row>
    <row r="131" spans="2:9" ht="15.75" customHeight="1">
      <c r="B131" s="597"/>
      <c r="C131" s="595"/>
      <c r="D131" s="496"/>
      <c r="E131" s="495"/>
      <c r="F131" s="595"/>
      <c r="G131" s="496"/>
      <c r="I131" s="595"/>
    </row>
    <row r="132" spans="2:9" ht="15.75" customHeight="1">
      <c r="B132" s="597"/>
      <c r="C132" s="595"/>
      <c r="D132" s="496"/>
      <c r="E132" s="495"/>
      <c r="F132" s="595"/>
      <c r="G132" s="496"/>
      <c r="I132" s="595"/>
    </row>
    <row r="133" spans="2:9" ht="15.75" customHeight="1">
      <c r="B133" s="597"/>
      <c r="C133" s="595"/>
      <c r="D133" s="496"/>
      <c r="E133" s="495"/>
      <c r="F133" s="595"/>
      <c r="G133" s="496"/>
      <c r="I133" s="595"/>
    </row>
    <row r="134" spans="2:9" ht="15.75" customHeight="1">
      <c r="B134" s="597"/>
      <c r="C134" s="595"/>
      <c r="D134" s="496"/>
      <c r="E134" s="495"/>
      <c r="F134" s="595"/>
      <c r="G134" s="496"/>
      <c r="I134" s="595"/>
    </row>
    <row r="135" spans="2:9" ht="15.75" customHeight="1">
      <c r="B135" s="597"/>
      <c r="C135" s="595"/>
      <c r="D135" s="496"/>
      <c r="E135" s="495"/>
      <c r="F135" s="595"/>
      <c r="G135" s="496"/>
      <c r="I135" s="595"/>
    </row>
    <row r="136" spans="2:9" ht="15.75" customHeight="1">
      <c r="B136" s="597"/>
      <c r="C136" s="595"/>
      <c r="D136" s="496"/>
      <c r="E136" s="495"/>
      <c r="F136" s="595"/>
      <c r="G136" s="496"/>
      <c r="I136" s="595"/>
    </row>
    <row r="137" spans="2:9" ht="15.75" customHeight="1">
      <c r="B137" s="597"/>
      <c r="C137" s="595"/>
      <c r="D137" s="496"/>
      <c r="E137" s="495"/>
      <c r="F137" s="595"/>
      <c r="G137" s="496"/>
      <c r="I137" s="595"/>
    </row>
    <row r="138" spans="2:9" ht="15.75" customHeight="1">
      <c r="B138" s="597"/>
      <c r="C138" s="595"/>
      <c r="D138" s="496"/>
      <c r="E138" s="495"/>
      <c r="F138" s="595"/>
      <c r="G138" s="496"/>
      <c r="I138" s="595"/>
    </row>
    <row r="139" spans="2:9" ht="15.75" customHeight="1">
      <c r="B139" s="597"/>
      <c r="C139" s="595"/>
      <c r="D139" s="496"/>
      <c r="E139" s="495"/>
      <c r="F139" s="595"/>
      <c r="G139" s="496"/>
      <c r="I139" s="595"/>
    </row>
    <row r="140" spans="2:9" ht="15.75" customHeight="1">
      <c r="B140" s="597"/>
      <c r="C140" s="595"/>
      <c r="D140" s="496"/>
      <c r="E140" s="495"/>
      <c r="F140" s="595"/>
      <c r="G140" s="496"/>
      <c r="I140" s="595"/>
    </row>
    <row r="141" spans="2:9" ht="15.75" customHeight="1">
      <c r="B141" s="597"/>
      <c r="C141" s="595"/>
      <c r="D141" s="496"/>
      <c r="E141" s="495"/>
      <c r="F141" s="595"/>
      <c r="G141" s="496"/>
      <c r="I141" s="595"/>
    </row>
    <row r="142" spans="2:9" ht="15.75" customHeight="1">
      <c r="B142" s="597"/>
      <c r="C142" s="595"/>
      <c r="D142" s="496"/>
      <c r="E142" s="495"/>
      <c r="F142" s="595"/>
      <c r="G142" s="496"/>
      <c r="I142" s="595"/>
    </row>
    <row r="143" spans="2:9" ht="15.75" customHeight="1">
      <c r="B143" s="597"/>
      <c r="C143" s="595"/>
      <c r="D143" s="496"/>
      <c r="E143" s="495"/>
      <c r="F143" s="595"/>
      <c r="G143" s="496"/>
      <c r="I143" s="595"/>
    </row>
    <row r="144" spans="2:9" ht="15.75" customHeight="1">
      <c r="B144" s="597"/>
      <c r="C144" s="595"/>
      <c r="D144" s="496"/>
      <c r="E144" s="495"/>
      <c r="F144" s="595"/>
      <c r="G144" s="496"/>
      <c r="I144" s="595"/>
    </row>
    <row r="145" spans="2:9" ht="15.75" customHeight="1">
      <c r="B145" s="597"/>
      <c r="C145" s="595"/>
      <c r="D145" s="496"/>
      <c r="E145" s="495"/>
      <c r="F145" s="595"/>
      <c r="G145" s="496"/>
      <c r="I145" s="595"/>
    </row>
    <row r="146" spans="2:9" ht="15.75" customHeight="1">
      <c r="B146" s="597"/>
      <c r="C146" s="595"/>
      <c r="D146" s="496"/>
      <c r="E146" s="495"/>
      <c r="F146" s="595"/>
      <c r="G146" s="496"/>
      <c r="I146" s="595"/>
    </row>
    <row r="147" spans="2:9" ht="15.75" customHeight="1">
      <c r="B147" s="597"/>
      <c r="C147" s="595"/>
      <c r="D147" s="496"/>
      <c r="E147" s="495"/>
      <c r="F147" s="595"/>
      <c r="G147" s="496"/>
      <c r="I147" s="595"/>
    </row>
    <row r="148" spans="2:9" ht="15.75" customHeight="1">
      <c r="B148" s="597"/>
      <c r="C148" s="595"/>
      <c r="D148" s="496"/>
      <c r="E148" s="495"/>
      <c r="F148" s="595"/>
      <c r="G148" s="496"/>
      <c r="I148" s="595"/>
    </row>
    <row r="149" spans="2:9" ht="15.75" customHeight="1">
      <c r="B149" s="597"/>
      <c r="C149" s="595"/>
      <c r="D149" s="496"/>
      <c r="E149" s="495"/>
      <c r="F149" s="595"/>
      <c r="G149" s="496"/>
      <c r="I149" s="595"/>
    </row>
    <row r="150" spans="2:9" ht="15.75" customHeight="1">
      <c r="B150" s="597"/>
      <c r="C150" s="595"/>
      <c r="D150" s="496"/>
      <c r="E150" s="495"/>
      <c r="F150" s="595"/>
      <c r="G150" s="496"/>
      <c r="I150" s="595"/>
    </row>
    <row r="151" spans="2:9" ht="15.75" customHeight="1">
      <c r="B151" s="597"/>
      <c r="C151" s="595"/>
      <c r="D151" s="496"/>
      <c r="E151" s="495"/>
      <c r="F151" s="595"/>
      <c r="G151" s="496"/>
      <c r="I151" s="595"/>
    </row>
    <row r="152" spans="2:9" ht="15.75" customHeight="1">
      <c r="B152" s="597"/>
      <c r="C152" s="595"/>
      <c r="D152" s="496"/>
      <c r="E152" s="495"/>
      <c r="F152" s="595"/>
      <c r="G152" s="496"/>
      <c r="I152" s="595"/>
    </row>
    <row r="153" spans="2:9" ht="15.75" customHeight="1">
      <c r="B153" s="597"/>
      <c r="C153" s="595"/>
      <c r="D153" s="496"/>
      <c r="E153" s="495"/>
      <c r="F153" s="595"/>
      <c r="G153" s="496"/>
      <c r="I153" s="595"/>
    </row>
    <row r="154" spans="2:9" ht="15.75" customHeight="1">
      <c r="B154" s="597"/>
      <c r="C154" s="595"/>
      <c r="D154" s="496"/>
      <c r="E154" s="495"/>
      <c r="F154" s="595"/>
      <c r="G154" s="496"/>
      <c r="I154" s="595"/>
    </row>
    <row r="155" spans="2:9" ht="15.75" customHeight="1">
      <c r="B155" s="597"/>
      <c r="C155" s="595"/>
      <c r="D155" s="496"/>
      <c r="E155" s="495"/>
      <c r="F155" s="595"/>
      <c r="G155" s="496"/>
      <c r="I155" s="595"/>
    </row>
    <row r="156" spans="2:9" ht="15.75" customHeight="1">
      <c r="B156" s="597"/>
      <c r="C156" s="595"/>
      <c r="D156" s="496"/>
      <c r="E156" s="495"/>
      <c r="F156" s="595"/>
      <c r="G156" s="496"/>
      <c r="I156" s="595"/>
    </row>
    <row r="157" spans="2:9" ht="15.75" customHeight="1">
      <c r="B157" s="597"/>
      <c r="C157" s="595"/>
      <c r="D157" s="496"/>
      <c r="E157" s="495"/>
      <c r="F157" s="595"/>
      <c r="G157" s="496"/>
      <c r="I157" s="595"/>
    </row>
    <row r="158" spans="2:9" ht="15.75" customHeight="1">
      <c r="B158" s="597"/>
      <c r="C158" s="595"/>
      <c r="D158" s="496"/>
      <c r="E158" s="495"/>
      <c r="F158" s="595"/>
      <c r="G158" s="496"/>
      <c r="I158" s="595"/>
    </row>
    <row r="159" spans="2:9" ht="15.75" customHeight="1">
      <c r="B159" s="597"/>
      <c r="C159" s="595"/>
      <c r="D159" s="496"/>
      <c r="E159" s="495"/>
      <c r="F159" s="595"/>
      <c r="G159" s="496"/>
      <c r="I159" s="595"/>
    </row>
    <row r="160" spans="2:9" ht="15.75" customHeight="1">
      <c r="B160" s="597"/>
      <c r="C160" s="595"/>
      <c r="D160" s="496"/>
      <c r="E160" s="495"/>
      <c r="F160" s="595"/>
      <c r="G160" s="496"/>
      <c r="I160" s="595"/>
    </row>
    <row r="161" spans="2:9" ht="15.75" customHeight="1">
      <c r="B161" s="597"/>
      <c r="C161" s="595"/>
      <c r="D161" s="496"/>
      <c r="E161" s="495"/>
      <c r="F161" s="595"/>
      <c r="G161" s="496"/>
      <c r="I161" s="595"/>
    </row>
    <row r="162" spans="2:9" ht="15.75" customHeight="1">
      <c r="B162" s="597"/>
      <c r="C162" s="595"/>
      <c r="D162" s="496"/>
      <c r="E162" s="495"/>
      <c r="F162" s="595"/>
      <c r="G162" s="496"/>
      <c r="I162" s="595"/>
    </row>
    <row r="163" spans="2:9" ht="15.75" customHeight="1">
      <c r="B163" s="597"/>
      <c r="C163" s="595"/>
      <c r="D163" s="496"/>
      <c r="E163" s="495"/>
      <c r="F163" s="595"/>
      <c r="G163" s="496"/>
      <c r="I163" s="595"/>
    </row>
    <row r="164" spans="2:9" ht="15.75" customHeight="1">
      <c r="B164" s="597"/>
      <c r="C164" s="595"/>
      <c r="D164" s="496"/>
      <c r="E164" s="495"/>
      <c r="F164" s="595"/>
      <c r="G164" s="496"/>
      <c r="I164" s="595"/>
    </row>
    <row r="165" spans="2:9" ht="15.75" customHeight="1">
      <c r="B165" s="597"/>
      <c r="C165" s="595"/>
      <c r="D165" s="496"/>
      <c r="E165" s="495"/>
      <c r="F165" s="595"/>
      <c r="G165" s="496"/>
      <c r="I165" s="595"/>
    </row>
    <row r="166" spans="2:9" ht="15.75" customHeight="1">
      <c r="B166" s="597"/>
      <c r="C166" s="595"/>
      <c r="D166" s="496"/>
      <c r="E166" s="495"/>
      <c r="F166" s="595"/>
      <c r="G166" s="496"/>
      <c r="I166" s="595"/>
    </row>
    <row r="167" spans="2:9" ht="15.75" customHeight="1">
      <c r="B167" s="597"/>
      <c r="C167" s="595"/>
      <c r="D167" s="496"/>
      <c r="E167" s="495"/>
      <c r="F167" s="595"/>
      <c r="G167" s="496"/>
      <c r="I167" s="595"/>
    </row>
    <row r="168" spans="2:9" ht="15.75" customHeight="1">
      <c r="B168" s="597"/>
      <c r="C168" s="595"/>
      <c r="D168" s="496"/>
      <c r="E168" s="495"/>
      <c r="F168" s="595"/>
      <c r="G168" s="496"/>
      <c r="I168" s="595"/>
    </row>
    <row r="169" spans="2:9" ht="15.75" customHeight="1">
      <c r="B169" s="597"/>
      <c r="C169" s="595"/>
      <c r="D169" s="496"/>
      <c r="E169" s="495"/>
      <c r="F169" s="595"/>
      <c r="G169" s="496"/>
      <c r="I169" s="595"/>
    </row>
    <row r="170" spans="2:9" ht="15.75" customHeight="1">
      <c r="B170" s="597"/>
      <c r="C170" s="595"/>
      <c r="D170" s="496"/>
      <c r="E170" s="495"/>
      <c r="F170" s="595"/>
      <c r="G170" s="496"/>
      <c r="I170" s="595"/>
    </row>
    <row r="171" spans="2:9" ht="15.75" customHeight="1">
      <c r="B171" s="597"/>
      <c r="C171" s="595"/>
      <c r="D171" s="496"/>
      <c r="E171" s="495"/>
      <c r="F171" s="595"/>
      <c r="G171" s="496"/>
      <c r="I171" s="595"/>
    </row>
    <row r="172" spans="2:9" ht="15.75" customHeight="1">
      <c r="B172" s="597"/>
      <c r="C172" s="595"/>
      <c r="D172" s="496"/>
      <c r="E172" s="495"/>
      <c r="F172" s="595"/>
      <c r="G172" s="496"/>
      <c r="I172" s="595"/>
    </row>
    <row r="173" spans="2:9" ht="15.75" customHeight="1">
      <c r="B173" s="597"/>
      <c r="C173" s="595"/>
      <c r="D173" s="496"/>
      <c r="E173" s="495"/>
      <c r="F173" s="595"/>
      <c r="G173" s="496"/>
      <c r="I173" s="595"/>
    </row>
    <row r="174" spans="2:9" ht="15.75" customHeight="1">
      <c r="B174" s="597"/>
      <c r="C174" s="595"/>
      <c r="D174" s="496"/>
      <c r="E174" s="495"/>
      <c r="F174" s="595"/>
      <c r="G174" s="496"/>
      <c r="I174" s="595"/>
    </row>
    <row r="175" spans="2:9" ht="15.75" customHeight="1">
      <c r="B175" s="597"/>
      <c r="C175" s="595"/>
      <c r="D175" s="496"/>
      <c r="E175" s="495"/>
      <c r="F175" s="595"/>
      <c r="G175" s="496"/>
      <c r="I175" s="595"/>
    </row>
    <row r="176" spans="2:9" ht="15.75" customHeight="1">
      <c r="B176" s="597"/>
      <c r="C176" s="595"/>
      <c r="D176" s="496"/>
      <c r="E176" s="495"/>
      <c r="F176" s="595"/>
      <c r="G176" s="496"/>
      <c r="I176" s="595"/>
    </row>
    <row r="177" spans="2:9" ht="15.75" customHeight="1">
      <c r="B177" s="597"/>
      <c r="C177" s="595"/>
      <c r="D177" s="496"/>
      <c r="E177" s="495"/>
      <c r="F177" s="595"/>
      <c r="G177" s="496"/>
      <c r="I177" s="595"/>
    </row>
    <row r="178" spans="2:9" ht="15.75" customHeight="1">
      <c r="B178" s="597"/>
      <c r="C178" s="595"/>
      <c r="D178" s="496"/>
      <c r="E178" s="495"/>
      <c r="F178" s="595"/>
      <c r="G178" s="496"/>
      <c r="I178" s="595"/>
    </row>
    <row r="179" spans="2:9" ht="15.75" customHeight="1">
      <c r="B179" s="597"/>
      <c r="C179" s="595"/>
      <c r="D179" s="496"/>
      <c r="E179" s="495"/>
      <c r="F179" s="595"/>
      <c r="G179" s="496"/>
      <c r="I179" s="595"/>
    </row>
    <row r="180" spans="2:9" ht="15.75" customHeight="1">
      <c r="B180" s="597"/>
      <c r="C180" s="595"/>
      <c r="D180" s="496"/>
      <c r="E180" s="495"/>
      <c r="F180" s="595"/>
      <c r="G180" s="496"/>
      <c r="I180" s="595"/>
    </row>
    <row r="181" spans="2:9" ht="15.75" customHeight="1">
      <c r="B181" s="597"/>
      <c r="C181" s="595"/>
      <c r="D181" s="496"/>
      <c r="E181" s="495"/>
      <c r="F181" s="595"/>
      <c r="G181" s="496"/>
      <c r="I181" s="595"/>
    </row>
    <row r="182" spans="2:9" ht="15.75" customHeight="1">
      <c r="B182" s="597"/>
      <c r="C182" s="595"/>
      <c r="D182" s="496"/>
      <c r="E182" s="495"/>
      <c r="F182" s="595"/>
      <c r="G182" s="496"/>
      <c r="I182" s="595"/>
    </row>
    <row r="183" spans="2:9" ht="15.75" customHeight="1">
      <c r="B183" s="597"/>
      <c r="C183" s="595"/>
      <c r="D183" s="496"/>
      <c r="E183" s="495"/>
      <c r="F183" s="595"/>
      <c r="G183" s="496"/>
      <c r="I183" s="595"/>
    </row>
    <row r="184" spans="2:9" ht="15.75" customHeight="1">
      <c r="B184" s="597"/>
      <c r="C184" s="595"/>
      <c r="D184" s="496"/>
      <c r="E184" s="495"/>
      <c r="F184" s="595"/>
      <c r="G184" s="496"/>
      <c r="I184" s="595"/>
    </row>
    <row r="185" spans="2:9" ht="15.75" customHeight="1">
      <c r="B185" s="597"/>
      <c r="C185" s="595"/>
      <c r="D185" s="496"/>
      <c r="E185" s="495"/>
      <c r="F185" s="595"/>
      <c r="G185" s="496"/>
      <c r="I185" s="595"/>
    </row>
    <row r="186" spans="2:9" ht="15.75" customHeight="1">
      <c r="B186" s="597"/>
      <c r="C186" s="595"/>
      <c r="D186" s="496"/>
      <c r="E186" s="495"/>
      <c r="F186" s="595"/>
      <c r="G186" s="496"/>
      <c r="I186" s="595"/>
    </row>
    <row r="187" spans="2:9" ht="15.75" customHeight="1">
      <c r="B187" s="597"/>
      <c r="C187" s="595"/>
      <c r="D187" s="496"/>
      <c r="E187" s="495"/>
      <c r="F187" s="595"/>
      <c r="G187" s="496"/>
      <c r="I187" s="595"/>
    </row>
    <row r="188" spans="2:9" ht="15.75" customHeight="1">
      <c r="B188" s="597"/>
      <c r="C188" s="595"/>
      <c r="D188" s="496"/>
      <c r="E188" s="495"/>
      <c r="F188" s="595"/>
      <c r="G188" s="496"/>
      <c r="I188" s="595"/>
    </row>
    <row r="189" spans="2:9" ht="15.75" customHeight="1">
      <c r="B189" s="597"/>
      <c r="C189" s="595"/>
      <c r="D189" s="496"/>
      <c r="E189" s="495"/>
      <c r="F189" s="595"/>
      <c r="G189" s="496"/>
      <c r="I189" s="595"/>
    </row>
    <row r="190" spans="2:9" ht="15.75" customHeight="1">
      <c r="B190" s="597"/>
      <c r="C190" s="595"/>
      <c r="D190" s="496"/>
      <c r="E190" s="495"/>
      <c r="F190" s="595"/>
      <c r="G190" s="496"/>
      <c r="I190" s="595"/>
    </row>
    <row r="191" spans="2:9" ht="15.75" customHeight="1">
      <c r="B191" s="597"/>
      <c r="C191" s="595"/>
      <c r="D191" s="496"/>
      <c r="E191" s="495"/>
      <c r="F191" s="595"/>
      <c r="G191" s="496"/>
      <c r="I191" s="595"/>
    </row>
    <row r="192" spans="2:9" ht="15.75" customHeight="1">
      <c r="B192" s="597"/>
      <c r="C192" s="595"/>
      <c r="D192" s="496"/>
      <c r="E192" s="495"/>
      <c r="F192" s="595"/>
      <c r="G192" s="496"/>
      <c r="I192" s="595"/>
    </row>
    <row r="193" spans="2:9" ht="15.75" customHeight="1">
      <c r="B193" s="597"/>
      <c r="C193" s="595"/>
      <c r="D193" s="496"/>
      <c r="E193" s="495"/>
      <c r="F193" s="595"/>
      <c r="G193" s="496"/>
      <c r="I193" s="595"/>
    </row>
    <row r="194" spans="2:9" ht="15.75" customHeight="1">
      <c r="B194" s="597"/>
      <c r="C194" s="595"/>
      <c r="D194" s="496"/>
      <c r="E194" s="495"/>
      <c r="F194" s="595"/>
      <c r="G194" s="496"/>
      <c r="I194" s="595"/>
    </row>
    <row r="195" spans="2:9" ht="15.75" customHeight="1">
      <c r="B195" s="597"/>
      <c r="C195" s="595"/>
      <c r="D195" s="496"/>
      <c r="E195" s="495"/>
      <c r="F195" s="595"/>
      <c r="G195" s="496"/>
      <c r="I195" s="595"/>
    </row>
    <row r="196" spans="2:9" ht="15.75" customHeight="1">
      <c r="B196" s="597"/>
      <c r="C196" s="595"/>
      <c r="D196" s="496"/>
      <c r="E196" s="495"/>
      <c r="F196" s="595"/>
      <c r="G196" s="496"/>
      <c r="I196" s="595"/>
    </row>
    <row r="197" spans="2:9" ht="15.75" customHeight="1">
      <c r="B197" s="597"/>
      <c r="C197" s="595"/>
      <c r="D197" s="496"/>
      <c r="E197" s="495"/>
      <c r="F197" s="595"/>
      <c r="G197" s="496"/>
      <c r="I197" s="595"/>
    </row>
    <row r="198" spans="2:9" ht="15.75" customHeight="1">
      <c r="B198" s="597"/>
      <c r="C198" s="595"/>
      <c r="D198" s="496"/>
      <c r="E198" s="495"/>
      <c r="F198" s="595"/>
      <c r="G198" s="496"/>
      <c r="I198" s="595"/>
    </row>
    <row r="199" spans="2:9" ht="15.75" customHeight="1">
      <c r="B199" s="597"/>
      <c r="C199" s="595"/>
      <c r="D199" s="496"/>
      <c r="E199" s="495"/>
      <c r="F199" s="595"/>
      <c r="G199" s="496"/>
      <c r="I199" s="595"/>
    </row>
    <row r="200" spans="2:9" ht="15.75" customHeight="1">
      <c r="B200" s="597"/>
      <c r="C200" s="595"/>
      <c r="D200" s="496"/>
      <c r="E200" s="495"/>
      <c r="F200" s="595"/>
      <c r="G200" s="496"/>
      <c r="I200" s="595"/>
    </row>
    <row r="201" spans="2:9" ht="15.75" customHeight="1">
      <c r="B201" s="597"/>
      <c r="C201" s="595"/>
      <c r="D201" s="496"/>
      <c r="E201" s="495"/>
      <c r="F201" s="595"/>
      <c r="G201" s="496"/>
      <c r="I201" s="595"/>
    </row>
    <row r="202" spans="2:9" ht="15.75" customHeight="1">
      <c r="B202" s="597"/>
      <c r="C202" s="595"/>
      <c r="D202" s="496"/>
      <c r="E202" s="495"/>
      <c r="F202" s="595"/>
      <c r="G202" s="496"/>
      <c r="I202" s="595"/>
    </row>
    <row r="203" spans="2:9" ht="15.75" customHeight="1">
      <c r="B203" s="597"/>
      <c r="C203" s="595"/>
      <c r="D203" s="496"/>
      <c r="E203" s="495"/>
      <c r="F203" s="595"/>
      <c r="G203" s="496"/>
      <c r="I203" s="595"/>
    </row>
    <row r="204" spans="2:9" ht="15.75" customHeight="1">
      <c r="B204" s="597"/>
      <c r="C204" s="595"/>
      <c r="D204" s="496"/>
      <c r="E204" s="495"/>
      <c r="F204" s="595"/>
      <c r="G204" s="496"/>
      <c r="I204" s="595"/>
    </row>
    <row r="205" spans="2:9" ht="15.75" customHeight="1">
      <c r="B205" s="597"/>
      <c r="C205" s="595"/>
      <c r="D205" s="496"/>
      <c r="E205" s="495"/>
      <c r="F205" s="595"/>
      <c r="G205" s="496"/>
      <c r="I205" s="595"/>
    </row>
    <row r="206" spans="2:9" ht="15.75" customHeight="1">
      <c r="B206" s="597"/>
      <c r="C206" s="595"/>
      <c r="D206" s="496"/>
      <c r="E206" s="495"/>
      <c r="F206" s="595"/>
      <c r="G206" s="496"/>
      <c r="I206" s="595"/>
    </row>
    <row r="207" spans="2:9" ht="15.75" customHeight="1">
      <c r="B207" s="597"/>
      <c r="C207" s="595"/>
      <c r="D207" s="496"/>
      <c r="E207" s="495"/>
      <c r="F207" s="595"/>
      <c r="G207" s="496"/>
      <c r="I207" s="595"/>
    </row>
    <row r="208" spans="2:9" ht="15.75" customHeight="1">
      <c r="B208" s="597"/>
      <c r="C208" s="595"/>
      <c r="D208" s="496"/>
      <c r="E208" s="495"/>
      <c r="F208" s="595"/>
      <c r="G208" s="496"/>
      <c r="I208" s="595"/>
    </row>
    <row r="209" spans="2:9" ht="15.75" customHeight="1">
      <c r="B209" s="597"/>
      <c r="C209" s="595"/>
      <c r="D209" s="496"/>
      <c r="E209" s="495"/>
      <c r="F209" s="595"/>
      <c r="G209" s="496"/>
      <c r="I209" s="595"/>
    </row>
    <row r="210" spans="2:9" ht="15.75" customHeight="1">
      <c r="B210" s="597"/>
      <c r="C210" s="595"/>
      <c r="D210" s="496"/>
      <c r="E210" s="495"/>
      <c r="F210" s="595"/>
      <c r="G210" s="496"/>
      <c r="I210" s="595"/>
    </row>
    <row r="211" spans="2:9" ht="15.75" customHeight="1">
      <c r="B211" s="597"/>
      <c r="C211" s="595"/>
      <c r="D211" s="496"/>
      <c r="E211" s="495"/>
      <c r="F211" s="595"/>
      <c r="G211" s="496"/>
      <c r="I211" s="595"/>
    </row>
    <row r="212" spans="2:9" ht="15.75" customHeight="1">
      <c r="B212" s="597"/>
      <c r="C212" s="595"/>
      <c r="D212" s="496"/>
      <c r="E212" s="495"/>
      <c r="F212" s="595"/>
      <c r="G212" s="496"/>
      <c r="I212" s="595"/>
    </row>
    <row r="213" spans="2:9" ht="15.75" customHeight="1">
      <c r="B213" s="597"/>
      <c r="C213" s="595"/>
      <c r="D213" s="496"/>
      <c r="E213" s="495"/>
      <c r="F213" s="595"/>
      <c r="G213" s="496"/>
      <c r="I213" s="595"/>
    </row>
    <row r="214" spans="2:9" ht="15.75" customHeight="1">
      <c r="B214" s="597"/>
      <c r="C214" s="595"/>
      <c r="D214" s="496"/>
      <c r="E214" s="495"/>
      <c r="F214" s="595"/>
      <c r="G214" s="496"/>
      <c r="I214" s="595"/>
    </row>
    <row r="215" spans="2:9" ht="15.75" customHeight="1">
      <c r="B215" s="597"/>
      <c r="C215" s="595"/>
      <c r="D215" s="496"/>
      <c r="E215" s="495"/>
      <c r="F215" s="595"/>
      <c r="G215" s="496"/>
      <c r="I215" s="595"/>
    </row>
    <row r="216" spans="2:9" ht="15.75" customHeight="1">
      <c r="B216" s="597"/>
      <c r="C216" s="595"/>
      <c r="D216" s="496"/>
      <c r="E216" s="495"/>
      <c r="F216" s="595"/>
      <c r="G216" s="496"/>
      <c r="I216" s="595"/>
    </row>
    <row r="217" spans="2:9" ht="15.75" customHeight="1">
      <c r="B217" s="597"/>
      <c r="C217" s="595"/>
      <c r="D217" s="496"/>
      <c r="E217" s="495"/>
      <c r="F217" s="595"/>
      <c r="G217" s="496"/>
      <c r="I217" s="595"/>
    </row>
    <row r="218" spans="2:9" ht="15.75" customHeight="1">
      <c r="B218" s="597"/>
      <c r="C218" s="595"/>
      <c r="D218" s="496"/>
      <c r="E218" s="495"/>
      <c r="F218" s="595"/>
      <c r="G218" s="496"/>
      <c r="I218" s="595"/>
    </row>
    <row r="219" spans="2:9" ht="15.75" customHeight="1">
      <c r="B219" s="597"/>
      <c r="C219" s="595"/>
      <c r="D219" s="496"/>
      <c r="E219" s="495"/>
      <c r="F219" s="595"/>
      <c r="G219" s="496"/>
      <c r="I219" s="595"/>
    </row>
    <row r="220" spans="2:9" ht="15.75" customHeight="1">
      <c r="B220" s="597"/>
      <c r="C220" s="595"/>
      <c r="D220" s="496"/>
      <c r="E220" s="495"/>
      <c r="F220" s="595"/>
      <c r="G220" s="496"/>
      <c r="I220" s="595"/>
    </row>
    <row r="221" spans="2:9" ht="15.75" customHeight="1">
      <c r="B221" s="597"/>
      <c r="C221" s="595"/>
      <c r="D221" s="496"/>
      <c r="E221" s="495"/>
      <c r="F221" s="595"/>
      <c r="G221" s="496"/>
      <c r="I221" s="595"/>
    </row>
    <row r="222" spans="2:9" ht="15.75" customHeight="1">
      <c r="B222" s="597"/>
      <c r="C222" s="595"/>
      <c r="D222" s="496"/>
      <c r="E222" s="495"/>
      <c r="F222" s="595"/>
      <c r="G222" s="496"/>
      <c r="I222" s="595"/>
    </row>
    <row r="223" spans="2:9" ht="15.75" customHeight="1">
      <c r="B223" s="597"/>
      <c r="C223" s="595"/>
      <c r="D223" s="496"/>
      <c r="E223" s="495"/>
      <c r="F223" s="595"/>
      <c r="G223" s="496"/>
      <c r="I223" s="595"/>
    </row>
    <row r="224" spans="2:9" ht="15.75" customHeight="1">
      <c r="B224" s="597"/>
      <c r="C224" s="595"/>
      <c r="D224" s="496"/>
      <c r="E224" s="495"/>
      <c r="F224" s="595"/>
      <c r="G224" s="496"/>
      <c r="I224" s="595"/>
    </row>
    <row r="225" spans="2:9" ht="15.75" customHeight="1">
      <c r="B225" s="597"/>
      <c r="C225" s="595"/>
      <c r="D225" s="496"/>
      <c r="E225" s="495"/>
      <c r="F225" s="595"/>
      <c r="G225" s="496"/>
      <c r="I225" s="595"/>
    </row>
    <row r="226" spans="2:9" ht="15.75" customHeight="1">
      <c r="B226" s="597"/>
      <c r="C226" s="595"/>
      <c r="D226" s="496"/>
      <c r="E226" s="495"/>
      <c r="F226" s="595"/>
      <c r="G226" s="496"/>
      <c r="I226" s="595"/>
    </row>
    <row r="227" spans="2:9" ht="15.75" customHeight="1">
      <c r="B227" s="597"/>
      <c r="C227" s="595"/>
      <c r="D227" s="496"/>
      <c r="E227" s="495"/>
      <c r="F227" s="595"/>
      <c r="G227" s="496"/>
      <c r="I227" s="595"/>
    </row>
    <row r="228" spans="2:9" ht="15.75" customHeight="1">
      <c r="B228" s="597"/>
      <c r="C228" s="595"/>
      <c r="D228" s="496"/>
      <c r="E228" s="495"/>
      <c r="F228" s="595"/>
      <c r="G228" s="496"/>
      <c r="I228" s="595"/>
    </row>
    <row r="229" spans="2:9" ht="15.75" customHeight="1">
      <c r="B229" s="597"/>
      <c r="C229" s="595"/>
      <c r="D229" s="496"/>
      <c r="E229" s="495"/>
      <c r="F229" s="595"/>
      <c r="G229" s="496"/>
      <c r="I229" s="595"/>
    </row>
    <row r="230" spans="2:9" ht="15.75" customHeight="1">
      <c r="B230" s="597"/>
      <c r="C230" s="595"/>
      <c r="D230" s="496"/>
      <c r="E230" s="495"/>
      <c r="F230" s="595"/>
      <c r="G230" s="496"/>
      <c r="I230" s="595"/>
    </row>
    <row r="231" spans="2:9" ht="15.75" customHeight="1">
      <c r="B231" s="597"/>
      <c r="C231" s="595"/>
      <c r="D231" s="496"/>
      <c r="E231" s="495"/>
      <c r="F231" s="595"/>
      <c r="G231" s="496"/>
      <c r="I231" s="595"/>
    </row>
    <row r="232" spans="2:9" ht="15.75" customHeight="1">
      <c r="B232" s="597"/>
      <c r="C232" s="595"/>
      <c r="D232" s="496"/>
      <c r="E232" s="495"/>
      <c r="F232" s="595"/>
      <c r="G232" s="496"/>
      <c r="I232" s="595"/>
    </row>
    <row r="233" spans="2:9" ht="15.75" customHeight="1">
      <c r="B233" s="597"/>
      <c r="C233" s="595"/>
      <c r="D233" s="496"/>
      <c r="E233" s="495"/>
      <c r="F233" s="595"/>
      <c r="G233" s="496"/>
      <c r="I233" s="595"/>
    </row>
    <row r="234" spans="2:9" ht="15.75" customHeight="1"/>
    <row r="235" spans="2:9" ht="15.75" customHeight="1"/>
    <row r="236" spans="2:9" ht="15.75" customHeight="1"/>
    <row r="237" spans="2:9" ht="15.75" customHeight="1"/>
    <row r="238" spans="2:9" ht="15.75" customHeight="1"/>
    <row r="239" spans="2:9" ht="15.75" customHeight="1"/>
    <row r="240" spans="2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D1"/>
    <mergeCell ref="E1:G1"/>
    <mergeCell ref="H1:J1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7CA3-D24A-45A8-B5CD-39005B7283B1}">
  <sheetPr filterMode="1"/>
  <dimension ref="A1:AJ350"/>
  <sheetViews>
    <sheetView tabSelected="1" zoomScaleNormal="100" workbookViewId="0">
      <pane ySplit="1" topLeftCell="A3" activePane="bottomLeft" state="frozen"/>
      <selection pane="bottomLeft" activeCell="AM183" sqref="AM183"/>
    </sheetView>
  </sheetViews>
  <sheetFormatPr baseColWidth="10" defaultRowHeight="15.75"/>
  <cols>
    <col min="1" max="1" width="15.140625" style="680" customWidth="1"/>
    <col min="2" max="2" width="82.85546875" style="680" customWidth="1"/>
    <col min="3" max="3" width="41.28515625" style="680" customWidth="1"/>
    <col min="4" max="16" width="0" style="680" hidden="1" customWidth="1"/>
    <col min="17" max="17" width="24.140625" style="680" customWidth="1"/>
    <col min="18" max="18" width="18" style="680" customWidth="1"/>
    <col min="19" max="19" width="22.7109375" style="680" customWidth="1"/>
    <col min="20" max="20" width="0" style="680" hidden="1" customWidth="1"/>
    <col min="21" max="21" width="0" style="681" hidden="1" customWidth="1"/>
    <col min="22" max="34" width="0" style="680" hidden="1" customWidth="1"/>
    <col min="35" max="35" width="13.85546875" style="681" hidden="1" customWidth="1"/>
    <col min="36" max="36" width="16.7109375" style="681" hidden="1" customWidth="1"/>
    <col min="37" max="37" width="0" style="680" hidden="1" customWidth="1"/>
    <col min="38" max="16384" width="11.42578125" style="680"/>
  </cols>
  <sheetData>
    <row r="1" spans="1:36" s="682" customFormat="1" ht="28.5" customHeight="1">
      <c r="A1" s="684" t="s">
        <v>754</v>
      </c>
      <c r="B1" s="684" t="s">
        <v>753</v>
      </c>
      <c r="C1" s="684" t="s">
        <v>752</v>
      </c>
      <c r="D1" s="684" t="s">
        <v>751</v>
      </c>
      <c r="E1" s="684" t="s">
        <v>750</v>
      </c>
      <c r="F1" s="684" t="s">
        <v>749</v>
      </c>
      <c r="G1" s="684" t="s">
        <v>748</v>
      </c>
      <c r="H1" s="684" t="s">
        <v>747</v>
      </c>
      <c r="I1" s="684" t="s">
        <v>746</v>
      </c>
      <c r="J1" s="684" t="s">
        <v>745</v>
      </c>
      <c r="K1" s="684" t="s">
        <v>744</v>
      </c>
      <c r="L1" s="684" t="s">
        <v>743</v>
      </c>
      <c r="M1" s="684" t="s">
        <v>742</v>
      </c>
      <c r="N1" s="684" t="s">
        <v>741</v>
      </c>
      <c r="O1" s="684" t="s">
        <v>740</v>
      </c>
      <c r="P1" s="684" t="s">
        <v>739</v>
      </c>
      <c r="Q1" s="684" t="s">
        <v>738</v>
      </c>
      <c r="R1" s="684" t="s">
        <v>737</v>
      </c>
      <c r="S1" s="684" t="s">
        <v>736</v>
      </c>
      <c r="T1" s="684" t="s">
        <v>735</v>
      </c>
      <c r="U1" s="683" t="s">
        <v>734</v>
      </c>
      <c r="V1" s="684" t="s">
        <v>733</v>
      </c>
      <c r="W1" s="684" t="s">
        <v>732</v>
      </c>
      <c r="X1" s="684" t="s">
        <v>731</v>
      </c>
      <c r="Y1" s="684" t="s">
        <v>730</v>
      </c>
      <c r="Z1" s="684" t="s">
        <v>729</v>
      </c>
      <c r="AA1" s="684" t="s">
        <v>728</v>
      </c>
      <c r="AB1" s="684" t="s">
        <v>727</v>
      </c>
      <c r="AC1" s="684" t="s">
        <v>726</v>
      </c>
      <c r="AD1" s="684" t="s">
        <v>725</v>
      </c>
      <c r="AE1" s="684" t="s">
        <v>724</v>
      </c>
      <c r="AF1" s="684" t="s">
        <v>723</v>
      </c>
      <c r="AG1" s="684" t="s">
        <v>722</v>
      </c>
      <c r="AH1" s="684" t="s">
        <v>721</v>
      </c>
      <c r="AI1" s="683" t="s">
        <v>720</v>
      </c>
      <c r="AJ1" s="683" t="s">
        <v>719</v>
      </c>
    </row>
    <row r="2" spans="1:36" hidden="1">
      <c r="A2" s="680">
        <v>2212001023</v>
      </c>
      <c r="B2" s="680" t="s">
        <v>308</v>
      </c>
      <c r="C2" s="680" t="s">
        <v>503</v>
      </c>
      <c r="D2" s="680" t="s">
        <v>502</v>
      </c>
      <c r="E2" s="680" t="s">
        <v>489</v>
      </c>
      <c r="F2" s="680" t="s">
        <v>488</v>
      </c>
      <c r="G2" s="680">
        <v>27</v>
      </c>
      <c r="H2" s="680">
        <v>66</v>
      </c>
      <c r="I2" s="680">
        <v>0</v>
      </c>
      <c r="J2" s="680">
        <v>0</v>
      </c>
      <c r="K2" s="680">
        <v>0</v>
      </c>
      <c r="L2" s="680">
        <v>0</v>
      </c>
      <c r="M2" s="680">
        <v>0</v>
      </c>
      <c r="N2" s="680">
        <v>0</v>
      </c>
      <c r="O2" s="680">
        <f>+G2+I2+K2+M2</f>
        <v>27</v>
      </c>
      <c r="P2" s="680">
        <f>+H2+J2+L2+N2</f>
        <v>66</v>
      </c>
      <c r="Q2" s="680" t="s">
        <v>694</v>
      </c>
      <c r="R2" s="680" t="s">
        <v>694</v>
      </c>
      <c r="S2" s="680" t="s">
        <v>86</v>
      </c>
      <c r="T2" s="680" t="s">
        <v>484</v>
      </c>
      <c r="U2" s="681">
        <v>235.5</v>
      </c>
      <c r="V2" s="680">
        <v>251.02</v>
      </c>
      <c r="W2" s="680" t="s">
        <v>486</v>
      </c>
      <c r="X2" s="680" t="s">
        <v>485</v>
      </c>
      <c r="Y2" s="680" t="s">
        <v>484</v>
      </c>
      <c r="Z2" s="680" t="s">
        <v>483</v>
      </c>
      <c r="AA2" s="680">
        <f>+U2*G2</f>
        <v>6358.5</v>
      </c>
      <c r="AB2" s="680">
        <f>+U2*H2</f>
        <v>15543</v>
      </c>
      <c r="AC2" s="680">
        <f>+U2*I2</f>
        <v>0</v>
      </c>
      <c r="AD2" s="680">
        <f>+U2*J2</f>
        <v>0</v>
      </c>
      <c r="AE2" s="680">
        <f>+U2*K2</f>
        <v>0</v>
      </c>
      <c r="AF2" s="680">
        <f>+U2*L2</f>
        <v>0</v>
      </c>
      <c r="AG2" s="680">
        <f>+U2*M2</f>
        <v>0</v>
      </c>
      <c r="AH2" s="680">
        <f>+U2*N2</f>
        <v>0</v>
      </c>
      <c r="AI2" s="681">
        <f>+U2*O2</f>
        <v>6358.5</v>
      </c>
      <c r="AJ2" s="681">
        <f>+U2*P2</f>
        <v>15543</v>
      </c>
    </row>
    <row r="3" spans="1:36">
      <c r="A3" s="680">
        <v>2212005014</v>
      </c>
      <c r="B3" s="680" t="s">
        <v>176</v>
      </c>
      <c r="C3" s="680" t="s">
        <v>519</v>
      </c>
      <c r="D3" s="680" t="s">
        <v>518</v>
      </c>
      <c r="E3" s="680" t="s">
        <v>489</v>
      </c>
      <c r="F3" s="680" t="s">
        <v>488</v>
      </c>
      <c r="G3" s="680">
        <v>591</v>
      </c>
      <c r="H3" s="680">
        <v>1476</v>
      </c>
      <c r="I3" s="680">
        <v>320</v>
      </c>
      <c r="J3" s="680">
        <v>800</v>
      </c>
      <c r="K3" s="680">
        <v>0</v>
      </c>
      <c r="L3" s="680">
        <v>0</v>
      </c>
      <c r="M3" s="680">
        <v>0</v>
      </c>
      <c r="N3" s="680">
        <v>0</v>
      </c>
      <c r="O3" s="680">
        <f>+G3+I3+K3+M3</f>
        <v>911</v>
      </c>
      <c r="P3" s="680">
        <f>+H3+J3+L3+N3</f>
        <v>2276</v>
      </c>
      <c r="Q3" s="680" t="s">
        <v>575</v>
      </c>
      <c r="R3" s="680" t="s">
        <v>575</v>
      </c>
      <c r="S3" s="680" t="s">
        <v>6</v>
      </c>
      <c r="T3" s="680" t="s">
        <v>484</v>
      </c>
      <c r="U3" s="681">
        <v>70</v>
      </c>
      <c r="V3" s="680">
        <v>73.900000000000006</v>
      </c>
      <c r="W3" s="680" t="s">
        <v>565</v>
      </c>
      <c r="X3" s="680" t="s">
        <v>485</v>
      </c>
      <c r="Y3" s="680" t="s">
        <v>484</v>
      </c>
      <c r="Z3" s="680" t="s">
        <v>483</v>
      </c>
      <c r="AA3" s="680">
        <f>+U3*G3</f>
        <v>41370</v>
      </c>
      <c r="AB3" s="680">
        <f>+U3*H3</f>
        <v>103320</v>
      </c>
      <c r="AC3" s="680">
        <f>+U3*I3</f>
        <v>22400</v>
      </c>
      <c r="AD3" s="680">
        <f>+U3*J3</f>
        <v>56000</v>
      </c>
      <c r="AE3" s="680">
        <f>+U3*K3</f>
        <v>0</v>
      </c>
      <c r="AF3" s="680">
        <f>+U3*L3</f>
        <v>0</v>
      </c>
      <c r="AG3" s="680">
        <f>+U3*M3</f>
        <v>0</v>
      </c>
      <c r="AH3" s="680">
        <f>+U3*N3</f>
        <v>0</v>
      </c>
      <c r="AI3" s="681">
        <f>+U3*O3</f>
        <v>63770</v>
      </c>
      <c r="AJ3" s="681">
        <f>+U3*P3</f>
        <v>159320</v>
      </c>
    </row>
    <row r="4" spans="1:36" hidden="1">
      <c r="A4" s="680">
        <v>2212001001</v>
      </c>
      <c r="B4" s="680" t="s">
        <v>292</v>
      </c>
      <c r="C4" s="680" t="s">
        <v>491</v>
      </c>
      <c r="D4" s="680" t="s">
        <v>490</v>
      </c>
      <c r="E4" s="680" t="s">
        <v>489</v>
      </c>
      <c r="F4" s="680" t="s">
        <v>488</v>
      </c>
      <c r="G4" s="680">
        <v>68</v>
      </c>
      <c r="H4" s="680">
        <v>168</v>
      </c>
      <c r="I4" s="680">
        <v>0</v>
      </c>
      <c r="J4" s="680">
        <v>0</v>
      </c>
      <c r="K4" s="680">
        <v>0</v>
      </c>
      <c r="L4" s="680">
        <v>0</v>
      </c>
      <c r="M4" s="680">
        <v>0</v>
      </c>
      <c r="N4" s="680">
        <v>0</v>
      </c>
      <c r="O4" s="680">
        <f>+G4+I4+K4+M4</f>
        <v>68</v>
      </c>
      <c r="P4" s="680">
        <f>+H4+J4+L4+N4</f>
        <v>168</v>
      </c>
      <c r="Q4" s="680" t="s">
        <v>652</v>
      </c>
      <c r="R4" s="680" t="s">
        <v>652</v>
      </c>
      <c r="S4" s="680" t="s">
        <v>293</v>
      </c>
      <c r="T4" s="680" t="s">
        <v>484</v>
      </c>
      <c r="U4" s="681">
        <v>800</v>
      </c>
      <c r="V4" s="680">
        <v>875.31</v>
      </c>
      <c r="W4" s="680" t="s">
        <v>634</v>
      </c>
      <c r="X4" s="680" t="s">
        <v>485</v>
      </c>
      <c r="Y4" s="680" t="s">
        <v>484</v>
      </c>
      <c r="Z4" s="680" t="s">
        <v>483</v>
      </c>
      <c r="AA4" s="680">
        <f>+U4*G4</f>
        <v>54400</v>
      </c>
      <c r="AB4" s="680">
        <f>+U4*H4</f>
        <v>134400</v>
      </c>
      <c r="AC4" s="680">
        <f>+U4*I4</f>
        <v>0</v>
      </c>
      <c r="AD4" s="680">
        <f>+U4*J4</f>
        <v>0</v>
      </c>
      <c r="AE4" s="680">
        <f>+U4*K4</f>
        <v>0</v>
      </c>
      <c r="AF4" s="680">
        <f>+U4*L4</f>
        <v>0</v>
      </c>
      <c r="AG4" s="680">
        <f>+U4*M4</f>
        <v>0</v>
      </c>
      <c r="AH4" s="680">
        <f>+U4*N4</f>
        <v>0</v>
      </c>
      <c r="AI4" s="681">
        <f>+U4*O4</f>
        <v>54400</v>
      </c>
      <c r="AJ4" s="681">
        <f>+U4*P4</f>
        <v>134400</v>
      </c>
    </row>
    <row r="5" spans="1:36" hidden="1">
      <c r="A5" s="680">
        <v>2212001002</v>
      </c>
      <c r="B5" s="680" t="s">
        <v>294</v>
      </c>
      <c r="C5" s="680" t="s">
        <v>510</v>
      </c>
      <c r="D5" s="680" t="s">
        <v>509</v>
      </c>
      <c r="E5" s="680" t="s">
        <v>489</v>
      </c>
      <c r="F5" s="680" t="s">
        <v>488</v>
      </c>
      <c r="G5" s="680">
        <v>17</v>
      </c>
      <c r="H5" s="680">
        <v>42</v>
      </c>
      <c r="I5" s="680">
        <v>5</v>
      </c>
      <c r="J5" s="680">
        <v>11</v>
      </c>
      <c r="K5" s="680">
        <v>0</v>
      </c>
      <c r="L5" s="680">
        <v>0</v>
      </c>
      <c r="M5" s="680">
        <v>0</v>
      </c>
      <c r="N5" s="680">
        <v>0</v>
      </c>
      <c r="O5" s="680">
        <f>+G5+I5+K5+M5</f>
        <v>22</v>
      </c>
      <c r="P5" s="680">
        <f>+H5+J5+L5+N5</f>
        <v>53</v>
      </c>
      <c r="Q5" s="680" t="s">
        <v>718</v>
      </c>
      <c r="R5" s="680" t="s">
        <v>717</v>
      </c>
      <c r="S5" s="680" t="s">
        <v>423</v>
      </c>
      <c r="T5" s="680" t="s">
        <v>484</v>
      </c>
      <c r="U5" s="681">
        <v>130</v>
      </c>
      <c r="V5" s="680">
        <v>130</v>
      </c>
      <c r="W5" s="680" t="s">
        <v>634</v>
      </c>
      <c r="X5" s="680" t="s">
        <v>485</v>
      </c>
      <c r="Y5" s="680" t="s">
        <v>484</v>
      </c>
      <c r="Z5" s="680" t="s">
        <v>483</v>
      </c>
      <c r="AA5" s="680">
        <f>+U5*G5</f>
        <v>2210</v>
      </c>
      <c r="AB5" s="680">
        <f>+U5*H5</f>
        <v>5460</v>
      </c>
      <c r="AC5" s="680">
        <f>+U5*I5</f>
        <v>650</v>
      </c>
      <c r="AD5" s="680">
        <f>+U5*J5</f>
        <v>1430</v>
      </c>
      <c r="AE5" s="680">
        <f>+U5*K5</f>
        <v>0</v>
      </c>
      <c r="AF5" s="680">
        <f>+U5*L5</f>
        <v>0</v>
      </c>
      <c r="AG5" s="680">
        <f>+U5*M5</f>
        <v>0</v>
      </c>
      <c r="AH5" s="680">
        <f>+U5*N5</f>
        <v>0</v>
      </c>
      <c r="AI5" s="681">
        <f>+U5*O5</f>
        <v>2860</v>
      </c>
      <c r="AJ5" s="681">
        <f>+U5*P5</f>
        <v>6890</v>
      </c>
    </row>
    <row r="6" spans="1:36" hidden="1">
      <c r="A6" s="680">
        <v>2212001003</v>
      </c>
      <c r="B6" s="680" t="s">
        <v>716</v>
      </c>
      <c r="C6" s="680" t="s">
        <v>510</v>
      </c>
      <c r="D6" s="680" t="s">
        <v>509</v>
      </c>
      <c r="E6" s="680" t="s">
        <v>489</v>
      </c>
      <c r="F6" s="680" t="s">
        <v>488</v>
      </c>
      <c r="G6" s="680">
        <v>0</v>
      </c>
      <c r="H6" s="680">
        <v>0</v>
      </c>
      <c r="I6" s="680">
        <v>65</v>
      </c>
      <c r="J6" s="680">
        <v>162</v>
      </c>
      <c r="K6" s="680">
        <v>0</v>
      </c>
      <c r="L6" s="680">
        <v>0</v>
      </c>
      <c r="M6" s="680">
        <v>0</v>
      </c>
      <c r="N6" s="680">
        <v>0</v>
      </c>
      <c r="O6" s="680">
        <f>+G6+I6+K6+M6</f>
        <v>65</v>
      </c>
      <c r="P6" s="680">
        <f>+H6+J6+L6+N6</f>
        <v>162</v>
      </c>
      <c r="Q6" s="680" t="s">
        <v>665</v>
      </c>
      <c r="R6" s="680" t="s">
        <v>665</v>
      </c>
      <c r="S6" s="680" t="s">
        <v>423</v>
      </c>
      <c r="T6" s="680" t="s">
        <v>484</v>
      </c>
      <c r="U6" s="681">
        <v>38</v>
      </c>
      <c r="V6" s="680">
        <v>38.39</v>
      </c>
      <c r="W6" s="680" t="s">
        <v>634</v>
      </c>
      <c r="X6" s="680" t="s">
        <v>485</v>
      </c>
      <c r="Y6" s="680" t="s">
        <v>484</v>
      </c>
      <c r="Z6" s="680" t="s">
        <v>483</v>
      </c>
      <c r="AA6" s="680">
        <f>+U6*G6</f>
        <v>0</v>
      </c>
      <c r="AB6" s="680">
        <f>+U6*H6</f>
        <v>0</v>
      </c>
      <c r="AC6" s="680">
        <f>+U6*I6</f>
        <v>2470</v>
      </c>
      <c r="AD6" s="680">
        <f>+U6*J6</f>
        <v>6156</v>
      </c>
      <c r="AE6" s="680">
        <f>+U6*K6</f>
        <v>0</v>
      </c>
      <c r="AF6" s="680">
        <f>+U6*L6</f>
        <v>0</v>
      </c>
      <c r="AG6" s="680">
        <f>+U6*M6</f>
        <v>0</v>
      </c>
      <c r="AH6" s="680">
        <f>+U6*N6</f>
        <v>0</v>
      </c>
      <c r="AI6" s="681">
        <f>+U6*O6</f>
        <v>2470</v>
      </c>
      <c r="AJ6" s="681">
        <f>+U6*P6</f>
        <v>6156</v>
      </c>
    </row>
    <row r="7" spans="1:36" hidden="1">
      <c r="A7" s="680">
        <v>2212001006</v>
      </c>
      <c r="B7" s="680" t="s">
        <v>295</v>
      </c>
      <c r="C7" s="680" t="s">
        <v>491</v>
      </c>
      <c r="D7" s="680" t="s">
        <v>490</v>
      </c>
      <c r="E7" s="680" t="s">
        <v>489</v>
      </c>
      <c r="F7" s="680" t="s">
        <v>488</v>
      </c>
      <c r="G7" s="680">
        <v>159</v>
      </c>
      <c r="H7" s="680">
        <v>396</v>
      </c>
      <c r="I7" s="680">
        <v>0</v>
      </c>
      <c r="J7" s="680">
        <v>0</v>
      </c>
      <c r="K7" s="680">
        <v>0</v>
      </c>
      <c r="L7" s="680">
        <v>0</v>
      </c>
      <c r="M7" s="680">
        <v>0</v>
      </c>
      <c r="N7" s="680">
        <v>0</v>
      </c>
      <c r="O7" s="680">
        <f>+G7+I7+K7+M7</f>
        <v>159</v>
      </c>
      <c r="P7" s="680">
        <f>+H7+J7+L7+N7</f>
        <v>396</v>
      </c>
      <c r="Q7" s="680" t="s">
        <v>612</v>
      </c>
      <c r="R7" s="680" t="s">
        <v>612</v>
      </c>
      <c r="S7" s="680" t="s">
        <v>296</v>
      </c>
      <c r="T7" s="680" t="s">
        <v>484</v>
      </c>
      <c r="U7" s="681">
        <v>202.5</v>
      </c>
      <c r="V7" s="680">
        <v>228.51</v>
      </c>
      <c r="W7" s="680" t="s">
        <v>611</v>
      </c>
      <c r="X7" s="680" t="s">
        <v>485</v>
      </c>
      <c r="Y7" s="680" t="s">
        <v>484</v>
      </c>
      <c r="Z7" s="680" t="s">
        <v>483</v>
      </c>
      <c r="AA7" s="680">
        <f>+U7*G7</f>
        <v>32197.5</v>
      </c>
      <c r="AB7" s="680">
        <f>+U7*H7</f>
        <v>80190</v>
      </c>
      <c r="AC7" s="680">
        <f>+U7*I7</f>
        <v>0</v>
      </c>
      <c r="AD7" s="680">
        <f>+U7*J7</f>
        <v>0</v>
      </c>
      <c r="AE7" s="680">
        <f>+U7*K7</f>
        <v>0</v>
      </c>
      <c r="AF7" s="680">
        <f>+U7*L7</f>
        <v>0</v>
      </c>
      <c r="AG7" s="680">
        <f>+U7*M7</f>
        <v>0</v>
      </c>
      <c r="AH7" s="680">
        <f>+U7*N7</f>
        <v>0</v>
      </c>
      <c r="AI7" s="681">
        <f>+U7*O7</f>
        <v>32197.5</v>
      </c>
      <c r="AJ7" s="681">
        <f>+U7*P7</f>
        <v>80190</v>
      </c>
    </row>
    <row r="8" spans="1:36" hidden="1">
      <c r="A8" s="680">
        <v>2212001007</v>
      </c>
      <c r="B8" s="680" t="s">
        <v>297</v>
      </c>
      <c r="C8" s="680" t="s">
        <v>491</v>
      </c>
      <c r="D8" s="680" t="s">
        <v>490</v>
      </c>
      <c r="E8" s="680" t="s">
        <v>489</v>
      </c>
      <c r="F8" s="680" t="s">
        <v>488</v>
      </c>
      <c r="G8" s="680">
        <v>2465</v>
      </c>
      <c r="H8" s="680">
        <v>6162</v>
      </c>
      <c r="I8" s="680">
        <v>1440</v>
      </c>
      <c r="J8" s="680">
        <v>3600</v>
      </c>
      <c r="K8" s="680">
        <v>77</v>
      </c>
      <c r="L8" s="680">
        <v>192</v>
      </c>
      <c r="M8" s="680">
        <v>36</v>
      </c>
      <c r="N8" s="680">
        <v>88</v>
      </c>
      <c r="O8" s="680">
        <f>+G8+I8+K8+M8</f>
        <v>4018</v>
      </c>
      <c r="P8" s="680">
        <f>+H8+J8+L8+N8</f>
        <v>10042</v>
      </c>
      <c r="Q8" s="680" t="s">
        <v>516</v>
      </c>
      <c r="R8" s="680" t="s">
        <v>516</v>
      </c>
      <c r="S8" s="680" t="s">
        <v>6</v>
      </c>
      <c r="T8" s="680" t="s">
        <v>484</v>
      </c>
      <c r="U8" s="681">
        <v>23.85</v>
      </c>
      <c r="V8" s="680">
        <v>26.08</v>
      </c>
      <c r="W8" s="680" t="s">
        <v>630</v>
      </c>
      <c r="X8" s="680" t="s">
        <v>485</v>
      </c>
      <c r="Y8" s="680" t="s">
        <v>484</v>
      </c>
      <c r="Z8" s="680" t="s">
        <v>483</v>
      </c>
      <c r="AA8" s="680">
        <f>+U8*G8</f>
        <v>58790.25</v>
      </c>
      <c r="AB8" s="680">
        <f>+U8*H8</f>
        <v>146963.70000000001</v>
      </c>
      <c r="AC8" s="680">
        <f>+U8*I8</f>
        <v>34344</v>
      </c>
      <c r="AD8" s="680">
        <f>+U8*J8</f>
        <v>85860</v>
      </c>
      <c r="AE8" s="680">
        <f>+U8*K8</f>
        <v>1836.45</v>
      </c>
      <c r="AF8" s="680">
        <f>+U8*L8</f>
        <v>4579.2000000000007</v>
      </c>
      <c r="AG8" s="680">
        <f>+U8*M8</f>
        <v>858.6</v>
      </c>
      <c r="AH8" s="680">
        <f>+U8*N8</f>
        <v>2098.8000000000002</v>
      </c>
      <c r="AI8" s="681">
        <f>+U8*O8</f>
        <v>95829.3</v>
      </c>
      <c r="AJ8" s="681">
        <f>+U8*P8</f>
        <v>239501.7</v>
      </c>
    </row>
    <row r="9" spans="1:36" hidden="1">
      <c r="A9" s="680">
        <v>2212001010</v>
      </c>
      <c r="B9" s="680" t="s">
        <v>715</v>
      </c>
      <c r="C9" s="680" t="s">
        <v>491</v>
      </c>
      <c r="D9" s="680" t="s">
        <v>490</v>
      </c>
      <c r="E9" s="680" t="s">
        <v>489</v>
      </c>
      <c r="F9" s="680" t="s">
        <v>488</v>
      </c>
      <c r="G9" s="680">
        <v>24</v>
      </c>
      <c r="H9" s="680">
        <v>60</v>
      </c>
      <c r="I9" s="680">
        <v>9</v>
      </c>
      <c r="J9" s="680">
        <v>22</v>
      </c>
      <c r="K9" s="680">
        <v>32</v>
      </c>
      <c r="L9" s="680">
        <v>78</v>
      </c>
      <c r="M9" s="680">
        <v>35</v>
      </c>
      <c r="N9" s="680">
        <v>87</v>
      </c>
      <c r="O9" s="680">
        <f>+G9+I9+K9+M9</f>
        <v>100</v>
      </c>
      <c r="P9" s="680">
        <f>+H9+J9+L9+N9</f>
        <v>247</v>
      </c>
      <c r="Q9" s="680" t="s">
        <v>714</v>
      </c>
      <c r="R9" s="680" t="s">
        <v>714</v>
      </c>
      <c r="S9" s="680" t="s">
        <v>267</v>
      </c>
      <c r="T9" s="680" t="s">
        <v>484</v>
      </c>
      <c r="U9" s="681">
        <v>120</v>
      </c>
      <c r="V9" s="680">
        <v>125.67</v>
      </c>
      <c r="W9" s="680" t="s">
        <v>507</v>
      </c>
      <c r="X9" s="680" t="s">
        <v>485</v>
      </c>
      <c r="Y9" s="680" t="s">
        <v>484</v>
      </c>
      <c r="Z9" s="680" t="s">
        <v>483</v>
      </c>
      <c r="AA9" s="680">
        <f>+U9*G9</f>
        <v>2880</v>
      </c>
      <c r="AB9" s="680">
        <f>+U9*H9</f>
        <v>7200</v>
      </c>
      <c r="AC9" s="680">
        <f>+U9*I9</f>
        <v>1080</v>
      </c>
      <c r="AD9" s="680">
        <f>+U9*J9</f>
        <v>2640</v>
      </c>
      <c r="AE9" s="680">
        <f>+U9*K9</f>
        <v>3840</v>
      </c>
      <c r="AF9" s="680">
        <f>+U9*L9</f>
        <v>9360</v>
      </c>
      <c r="AG9" s="680">
        <f>+U9*M9</f>
        <v>4200</v>
      </c>
      <c r="AH9" s="680">
        <f>+U9*N9</f>
        <v>10440</v>
      </c>
      <c r="AI9" s="681">
        <f>+U9*O9</f>
        <v>12000</v>
      </c>
      <c r="AJ9" s="681">
        <f>+U9*P9</f>
        <v>29640</v>
      </c>
    </row>
    <row r="10" spans="1:36" hidden="1">
      <c r="A10" s="680">
        <v>2212001013</v>
      </c>
      <c r="B10" s="680" t="s">
        <v>713</v>
      </c>
      <c r="C10" s="680" t="s">
        <v>491</v>
      </c>
      <c r="D10" s="680" t="s">
        <v>490</v>
      </c>
      <c r="E10" s="680" t="s">
        <v>489</v>
      </c>
      <c r="F10" s="680" t="s">
        <v>488</v>
      </c>
      <c r="G10" s="680">
        <v>20</v>
      </c>
      <c r="H10" s="680">
        <v>48</v>
      </c>
      <c r="I10" s="680">
        <v>756</v>
      </c>
      <c r="J10" s="680">
        <v>1890</v>
      </c>
      <c r="K10" s="680">
        <v>0</v>
      </c>
      <c r="L10" s="680">
        <v>0</v>
      </c>
      <c r="M10" s="680">
        <v>0</v>
      </c>
      <c r="N10" s="680">
        <v>0</v>
      </c>
      <c r="O10" s="680">
        <f>+G10+I10+K10+M10</f>
        <v>776</v>
      </c>
      <c r="P10" s="680">
        <f>+H10+J10+L10+N10</f>
        <v>1938</v>
      </c>
      <c r="Q10" s="680" t="s">
        <v>711</v>
      </c>
      <c r="R10" s="680" t="s">
        <v>711</v>
      </c>
      <c r="S10" s="680" t="s">
        <v>296</v>
      </c>
      <c r="T10" s="680" t="s">
        <v>484</v>
      </c>
      <c r="U10" s="681">
        <v>74</v>
      </c>
      <c r="V10" s="680">
        <v>82.25</v>
      </c>
      <c r="W10" s="680" t="s">
        <v>620</v>
      </c>
      <c r="X10" s="680" t="s">
        <v>485</v>
      </c>
      <c r="Y10" s="680" t="s">
        <v>484</v>
      </c>
      <c r="Z10" s="680" t="s">
        <v>483</v>
      </c>
      <c r="AA10" s="680">
        <f>+U10*G10</f>
        <v>1480</v>
      </c>
      <c r="AB10" s="680">
        <f>+U10*H10</f>
        <v>3552</v>
      </c>
      <c r="AC10" s="680">
        <f>+U10*I10</f>
        <v>55944</v>
      </c>
      <c r="AD10" s="680">
        <f>+U10*J10</f>
        <v>139860</v>
      </c>
      <c r="AE10" s="680">
        <f>+U10*K10</f>
        <v>0</v>
      </c>
      <c r="AF10" s="680">
        <f>+U10*L10</f>
        <v>0</v>
      </c>
      <c r="AG10" s="680">
        <f>+U10*M10</f>
        <v>0</v>
      </c>
      <c r="AH10" s="680">
        <f>+U10*N10</f>
        <v>0</v>
      </c>
      <c r="AI10" s="681">
        <f>+U10*O10</f>
        <v>57424</v>
      </c>
      <c r="AJ10" s="681">
        <f>+U10*P10</f>
        <v>143412</v>
      </c>
    </row>
    <row r="11" spans="1:36" hidden="1">
      <c r="A11" s="680">
        <v>2212001014</v>
      </c>
      <c r="B11" s="680" t="s">
        <v>712</v>
      </c>
      <c r="C11" s="680" t="s">
        <v>491</v>
      </c>
      <c r="D11" s="680" t="s">
        <v>490</v>
      </c>
      <c r="E11" s="680" t="s">
        <v>489</v>
      </c>
      <c r="F11" s="680" t="s">
        <v>488</v>
      </c>
      <c r="G11" s="680">
        <v>20</v>
      </c>
      <c r="H11" s="680">
        <v>48</v>
      </c>
      <c r="I11" s="680">
        <v>45</v>
      </c>
      <c r="J11" s="680">
        <v>112</v>
      </c>
      <c r="K11" s="680">
        <v>0</v>
      </c>
      <c r="L11" s="680">
        <v>0</v>
      </c>
      <c r="M11" s="680">
        <v>0</v>
      </c>
      <c r="N11" s="680">
        <v>0</v>
      </c>
      <c r="O11" s="680">
        <f>+G11+I11+K11+M11</f>
        <v>65</v>
      </c>
      <c r="P11" s="680">
        <f>+H11+J11+L11+N11</f>
        <v>160</v>
      </c>
      <c r="Q11" s="680" t="s">
        <v>711</v>
      </c>
      <c r="R11" s="680" t="s">
        <v>711</v>
      </c>
      <c r="S11" s="680" t="s">
        <v>296</v>
      </c>
      <c r="T11" s="680" t="s">
        <v>484</v>
      </c>
      <c r="U11" s="681">
        <v>75</v>
      </c>
      <c r="V11" s="680">
        <v>82</v>
      </c>
      <c r="W11" s="680" t="s">
        <v>620</v>
      </c>
      <c r="X11" s="680" t="s">
        <v>485</v>
      </c>
      <c r="Y11" s="680" t="s">
        <v>484</v>
      </c>
      <c r="Z11" s="680" t="s">
        <v>483</v>
      </c>
      <c r="AA11" s="680">
        <f>+U11*G11</f>
        <v>1500</v>
      </c>
      <c r="AB11" s="680">
        <f>+U11*H11</f>
        <v>3600</v>
      </c>
      <c r="AC11" s="680">
        <f>+U11*I11</f>
        <v>3375</v>
      </c>
      <c r="AD11" s="680">
        <f>+U11*J11</f>
        <v>8400</v>
      </c>
      <c r="AE11" s="680">
        <f>+U11*K11</f>
        <v>0</v>
      </c>
      <c r="AF11" s="680">
        <f>+U11*L11</f>
        <v>0</v>
      </c>
      <c r="AG11" s="680">
        <f>+U11*M11</f>
        <v>0</v>
      </c>
      <c r="AH11" s="680">
        <f>+U11*N11</f>
        <v>0</v>
      </c>
      <c r="AI11" s="681">
        <f>+U11*O11</f>
        <v>4875</v>
      </c>
      <c r="AJ11" s="681">
        <f>+U11*P11</f>
        <v>12000</v>
      </c>
    </row>
    <row r="12" spans="1:36" hidden="1">
      <c r="A12" s="680">
        <v>2212001016</v>
      </c>
      <c r="B12" s="680" t="s">
        <v>710</v>
      </c>
      <c r="C12" s="680" t="s">
        <v>510</v>
      </c>
      <c r="D12" s="680" t="s">
        <v>509</v>
      </c>
      <c r="E12" s="680" t="s">
        <v>489</v>
      </c>
      <c r="F12" s="680" t="s">
        <v>488</v>
      </c>
      <c r="G12" s="680">
        <v>113</v>
      </c>
      <c r="H12" s="680">
        <v>282</v>
      </c>
      <c r="I12" s="680">
        <v>184</v>
      </c>
      <c r="J12" s="680">
        <v>459</v>
      </c>
      <c r="K12" s="680">
        <v>0</v>
      </c>
      <c r="L12" s="680">
        <v>0</v>
      </c>
      <c r="M12" s="680">
        <v>0</v>
      </c>
      <c r="N12" s="680">
        <v>0</v>
      </c>
      <c r="O12" s="680">
        <f>+G12+I12+K12+M12</f>
        <v>297</v>
      </c>
      <c r="P12" s="680">
        <f>+H12+J12+L12+N12</f>
        <v>741</v>
      </c>
      <c r="Q12" s="680" t="s">
        <v>707</v>
      </c>
      <c r="R12" s="680" t="s">
        <v>709</v>
      </c>
      <c r="S12" s="680" t="s">
        <v>296</v>
      </c>
      <c r="T12" s="680" t="s">
        <v>484</v>
      </c>
      <c r="U12" s="681">
        <v>40</v>
      </c>
      <c r="V12" s="680">
        <v>45.64</v>
      </c>
      <c r="W12" s="680" t="s">
        <v>611</v>
      </c>
      <c r="X12" s="680" t="s">
        <v>485</v>
      </c>
      <c r="Y12" s="680" t="s">
        <v>484</v>
      </c>
      <c r="Z12" s="680" t="s">
        <v>483</v>
      </c>
      <c r="AA12" s="680">
        <f>+U12*G12</f>
        <v>4520</v>
      </c>
      <c r="AB12" s="680">
        <f>+U12*H12</f>
        <v>11280</v>
      </c>
      <c r="AC12" s="680">
        <f>+U12*I12</f>
        <v>7360</v>
      </c>
      <c r="AD12" s="680">
        <f>+U12*J12</f>
        <v>18360</v>
      </c>
      <c r="AE12" s="680">
        <f>+U12*K12</f>
        <v>0</v>
      </c>
      <c r="AF12" s="680">
        <f>+U12*L12</f>
        <v>0</v>
      </c>
      <c r="AG12" s="680">
        <f>+U12*M12</f>
        <v>0</v>
      </c>
      <c r="AH12" s="680">
        <f>+U12*N12</f>
        <v>0</v>
      </c>
      <c r="AI12" s="681">
        <f>+U12*O12</f>
        <v>11880</v>
      </c>
      <c r="AJ12" s="681">
        <f>+U12*P12</f>
        <v>29640</v>
      </c>
    </row>
    <row r="13" spans="1:36" hidden="1">
      <c r="A13" s="680">
        <v>2212001018</v>
      </c>
      <c r="B13" s="680" t="s">
        <v>708</v>
      </c>
      <c r="C13" s="680" t="s">
        <v>491</v>
      </c>
      <c r="D13" s="680" t="s">
        <v>490</v>
      </c>
      <c r="E13" s="680" t="s">
        <v>489</v>
      </c>
      <c r="F13" s="680" t="s">
        <v>488</v>
      </c>
      <c r="G13" s="680">
        <v>22</v>
      </c>
      <c r="H13" s="680">
        <v>54</v>
      </c>
      <c r="I13" s="680">
        <v>65</v>
      </c>
      <c r="J13" s="680">
        <v>162</v>
      </c>
      <c r="K13" s="680">
        <v>0</v>
      </c>
      <c r="L13" s="680">
        <v>0</v>
      </c>
      <c r="M13" s="680">
        <v>0</v>
      </c>
      <c r="N13" s="680">
        <v>0</v>
      </c>
      <c r="O13" s="680">
        <f>+G13+I13+K13+M13</f>
        <v>87</v>
      </c>
      <c r="P13" s="680">
        <f>+H13+J13+L13+N13</f>
        <v>216</v>
      </c>
      <c r="Q13" s="680" t="s">
        <v>707</v>
      </c>
      <c r="R13" s="680" t="s">
        <v>707</v>
      </c>
      <c r="S13" s="680" t="s">
        <v>296</v>
      </c>
      <c r="T13" s="680" t="s">
        <v>484</v>
      </c>
      <c r="U13" s="681">
        <v>104</v>
      </c>
      <c r="V13" s="680">
        <v>114.1</v>
      </c>
      <c r="W13" s="680" t="s">
        <v>611</v>
      </c>
      <c r="X13" s="680" t="s">
        <v>485</v>
      </c>
      <c r="Y13" s="680" t="s">
        <v>484</v>
      </c>
      <c r="Z13" s="680" t="s">
        <v>483</v>
      </c>
      <c r="AA13" s="680">
        <f>+U13*G13</f>
        <v>2288</v>
      </c>
      <c r="AB13" s="680">
        <f>+U13*H13</f>
        <v>5616</v>
      </c>
      <c r="AC13" s="680">
        <f>+U13*I13</f>
        <v>6760</v>
      </c>
      <c r="AD13" s="680">
        <f>+U13*J13</f>
        <v>16848</v>
      </c>
      <c r="AE13" s="680">
        <f>+U13*K13</f>
        <v>0</v>
      </c>
      <c r="AF13" s="680">
        <f>+U13*L13</f>
        <v>0</v>
      </c>
      <c r="AG13" s="680">
        <f>+U13*M13</f>
        <v>0</v>
      </c>
      <c r="AH13" s="680">
        <f>+U13*N13</f>
        <v>0</v>
      </c>
      <c r="AI13" s="681">
        <f>+U13*O13</f>
        <v>9048</v>
      </c>
      <c r="AJ13" s="681">
        <f>+U13*P13</f>
        <v>22464</v>
      </c>
    </row>
    <row r="14" spans="1:36" hidden="1">
      <c r="A14" s="680">
        <v>2212001019</v>
      </c>
      <c r="B14" s="680" t="s">
        <v>706</v>
      </c>
      <c r="C14" s="680" t="s">
        <v>512</v>
      </c>
      <c r="D14" s="680" t="s">
        <v>511</v>
      </c>
      <c r="E14" s="680" t="s">
        <v>489</v>
      </c>
      <c r="F14" s="680" t="s">
        <v>488</v>
      </c>
      <c r="G14" s="680">
        <v>0</v>
      </c>
      <c r="H14" s="680">
        <v>0</v>
      </c>
      <c r="I14" s="680">
        <v>5</v>
      </c>
      <c r="J14" s="680">
        <v>12</v>
      </c>
      <c r="K14" s="680">
        <v>0</v>
      </c>
      <c r="L14" s="680">
        <v>0</v>
      </c>
      <c r="M14" s="680">
        <v>0</v>
      </c>
      <c r="N14" s="680">
        <v>0</v>
      </c>
      <c r="O14" s="680">
        <f>+G14+I14+K14+M14</f>
        <v>5</v>
      </c>
      <c r="P14" s="680">
        <f>+H14+J14+L14+N14</f>
        <v>12</v>
      </c>
      <c r="Q14" s="680" t="s">
        <v>705</v>
      </c>
      <c r="R14" s="680" t="s">
        <v>494</v>
      </c>
      <c r="S14" s="680" t="s">
        <v>313</v>
      </c>
      <c r="T14" s="680" t="s">
        <v>484</v>
      </c>
      <c r="U14" s="681">
        <v>120</v>
      </c>
      <c r="V14" s="680">
        <v>114.71</v>
      </c>
      <c r="W14" s="680" t="s">
        <v>507</v>
      </c>
      <c r="X14" s="680" t="s">
        <v>485</v>
      </c>
      <c r="Y14" s="680" t="s">
        <v>484</v>
      </c>
      <c r="Z14" s="680" t="s">
        <v>483</v>
      </c>
      <c r="AA14" s="680">
        <f>+U14*G14</f>
        <v>0</v>
      </c>
      <c r="AB14" s="680">
        <f>+U14*H14</f>
        <v>0</v>
      </c>
      <c r="AC14" s="680">
        <f>+U14*I14</f>
        <v>600</v>
      </c>
      <c r="AD14" s="680">
        <f>+U14*J14</f>
        <v>1440</v>
      </c>
      <c r="AE14" s="680">
        <f>+U14*K14</f>
        <v>0</v>
      </c>
      <c r="AF14" s="680">
        <f>+U14*L14</f>
        <v>0</v>
      </c>
      <c r="AG14" s="680">
        <f>+U14*M14</f>
        <v>0</v>
      </c>
      <c r="AH14" s="680">
        <f>+U14*N14</f>
        <v>0</v>
      </c>
      <c r="AI14" s="681">
        <f>+U14*O14</f>
        <v>600</v>
      </c>
      <c r="AJ14" s="681">
        <f>+U14*P14</f>
        <v>1440</v>
      </c>
    </row>
    <row r="15" spans="1:36" hidden="1">
      <c r="A15" s="680">
        <v>2212001020</v>
      </c>
      <c r="B15" s="680" t="s">
        <v>305</v>
      </c>
      <c r="C15" s="680" t="s">
        <v>491</v>
      </c>
      <c r="D15" s="680" t="s">
        <v>490</v>
      </c>
      <c r="E15" s="680" t="s">
        <v>489</v>
      </c>
      <c r="F15" s="680" t="s">
        <v>488</v>
      </c>
      <c r="G15" s="680">
        <v>8</v>
      </c>
      <c r="H15" s="680">
        <v>18</v>
      </c>
      <c r="I15" s="680">
        <v>11</v>
      </c>
      <c r="J15" s="680">
        <v>27</v>
      </c>
      <c r="K15" s="680">
        <v>6</v>
      </c>
      <c r="L15" s="680">
        <v>15</v>
      </c>
      <c r="M15" s="680">
        <v>0</v>
      </c>
      <c r="N15" s="680">
        <v>0</v>
      </c>
      <c r="O15" s="680">
        <f>+G15+I15+K15+M15</f>
        <v>25</v>
      </c>
      <c r="P15" s="680">
        <f>+H15+J15+L15+N15</f>
        <v>60</v>
      </c>
      <c r="Q15" s="680" t="s">
        <v>704</v>
      </c>
      <c r="R15" s="680" t="s">
        <v>704</v>
      </c>
      <c r="S15" s="680" t="s">
        <v>6</v>
      </c>
      <c r="T15" s="680" t="s">
        <v>484</v>
      </c>
      <c r="U15" s="681">
        <v>110</v>
      </c>
      <c r="V15" s="680">
        <v>116.25</v>
      </c>
      <c r="W15" s="680" t="s">
        <v>507</v>
      </c>
      <c r="X15" s="680" t="s">
        <v>485</v>
      </c>
      <c r="Y15" s="680" t="s">
        <v>484</v>
      </c>
      <c r="Z15" s="680" t="s">
        <v>483</v>
      </c>
      <c r="AA15" s="680">
        <f>+U15*G15</f>
        <v>880</v>
      </c>
      <c r="AB15" s="680">
        <f>+U15*H15</f>
        <v>1980</v>
      </c>
      <c r="AC15" s="680">
        <f>+U15*I15</f>
        <v>1210</v>
      </c>
      <c r="AD15" s="680">
        <f>+U15*J15</f>
        <v>2970</v>
      </c>
      <c r="AE15" s="680">
        <f>+U15*K15</f>
        <v>660</v>
      </c>
      <c r="AF15" s="680">
        <f>+U15*L15</f>
        <v>1650</v>
      </c>
      <c r="AG15" s="680">
        <f>+U15*M15</f>
        <v>0</v>
      </c>
      <c r="AH15" s="680">
        <f>+U15*N15</f>
        <v>0</v>
      </c>
      <c r="AI15" s="681">
        <f>+U15*O15</f>
        <v>2750</v>
      </c>
      <c r="AJ15" s="681">
        <f>+U15*P15</f>
        <v>6600</v>
      </c>
    </row>
    <row r="16" spans="1:36" hidden="1">
      <c r="A16" s="680">
        <v>2212001021</v>
      </c>
      <c r="B16" s="680" t="s">
        <v>703</v>
      </c>
      <c r="C16" s="680" t="s">
        <v>510</v>
      </c>
      <c r="D16" s="680" t="s">
        <v>509</v>
      </c>
      <c r="E16" s="680" t="s">
        <v>489</v>
      </c>
      <c r="F16" s="680" t="s">
        <v>488</v>
      </c>
      <c r="G16" s="680">
        <v>0</v>
      </c>
      <c r="H16" s="680">
        <v>0</v>
      </c>
      <c r="I16" s="680">
        <v>54</v>
      </c>
      <c r="J16" s="680">
        <v>135</v>
      </c>
      <c r="K16" s="680">
        <v>0</v>
      </c>
      <c r="L16" s="680">
        <v>0</v>
      </c>
      <c r="M16" s="680">
        <v>0</v>
      </c>
      <c r="N16" s="680">
        <v>0</v>
      </c>
      <c r="O16" s="680">
        <f>+G16+I16+K16+M16</f>
        <v>54</v>
      </c>
      <c r="P16" s="680">
        <f>+H16+J16+L16+N16</f>
        <v>135</v>
      </c>
      <c r="Q16" s="680" t="s">
        <v>702</v>
      </c>
      <c r="R16" s="680" t="s">
        <v>702</v>
      </c>
      <c r="S16" s="680" t="s">
        <v>8</v>
      </c>
      <c r="T16" s="680" t="s">
        <v>484</v>
      </c>
      <c r="U16" s="681">
        <v>10</v>
      </c>
      <c r="V16" s="680">
        <v>10.94</v>
      </c>
      <c r="W16" s="680" t="s">
        <v>507</v>
      </c>
      <c r="X16" s="680" t="s">
        <v>485</v>
      </c>
      <c r="Y16" s="680" t="s">
        <v>484</v>
      </c>
      <c r="Z16" s="680" t="s">
        <v>483</v>
      </c>
      <c r="AA16" s="680">
        <f>+U16*G16</f>
        <v>0</v>
      </c>
      <c r="AB16" s="680">
        <f>+U16*H16</f>
        <v>0</v>
      </c>
      <c r="AC16" s="680">
        <f>+U16*I16</f>
        <v>540</v>
      </c>
      <c r="AD16" s="680">
        <f>+U16*J16</f>
        <v>1350</v>
      </c>
      <c r="AE16" s="680">
        <f>+U16*K16</f>
        <v>0</v>
      </c>
      <c r="AF16" s="680">
        <f>+U16*L16</f>
        <v>0</v>
      </c>
      <c r="AG16" s="680">
        <f>+U16*M16</f>
        <v>0</v>
      </c>
      <c r="AH16" s="680">
        <f>+U16*N16</f>
        <v>0</v>
      </c>
      <c r="AI16" s="681">
        <f>+U16*O16</f>
        <v>540</v>
      </c>
      <c r="AJ16" s="681">
        <f>+U16*P16</f>
        <v>1350</v>
      </c>
    </row>
    <row r="17" spans="1:36" hidden="1">
      <c r="A17" s="680">
        <v>2212001022</v>
      </c>
      <c r="B17" s="680" t="s">
        <v>306</v>
      </c>
      <c r="C17" s="680" t="s">
        <v>491</v>
      </c>
      <c r="D17" s="680" t="s">
        <v>490</v>
      </c>
      <c r="E17" s="680" t="s">
        <v>489</v>
      </c>
      <c r="F17" s="680" t="s">
        <v>488</v>
      </c>
      <c r="G17" s="680">
        <v>56</v>
      </c>
      <c r="H17" s="680">
        <v>138</v>
      </c>
      <c r="I17" s="680">
        <v>87</v>
      </c>
      <c r="J17" s="680">
        <v>216</v>
      </c>
      <c r="K17" s="680">
        <v>0</v>
      </c>
      <c r="L17" s="680">
        <v>0</v>
      </c>
      <c r="M17" s="680">
        <v>0</v>
      </c>
      <c r="N17" s="680">
        <v>0</v>
      </c>
      <c r="O17" s="680">
        <f>+G17+I17+K17+M17</f>
        <v>143</v>
      </c>
      <c r="P17" s="680">
        <f>+H17+J17+L17+N17</f>
        <v>354</v>
      </c>
      <c r="Q17" s="680" t="s">
        <v>657</v>
      </c>
      <c r="R17" s="680" t="s">
        <v>657</v>
      </c>
      <c r="S17" s="680" t="s">
        <v>307</v>
      </c>
      <c r="T17" s="680" t="s">
        <v>484</v>
      </c>
      <c r="U17" s="681">
        <v>240</v>
      </c>
      <c r="V17" s="680">
        <v>260.8</v>
      </c>
      <c r="W17" s="680" t="s">
        <v>486</v>
      </c>
      <c r="X17" s="680" t="s">
        <v>485</v>
      </c>
      <c r="Y17" s="680" t="s">
        <v>484</v>
      </c>
      <c r="Z17" s="680" t="s">
        <v>483</v>
      </c>
      <c r="AA17" s="680">
        <f>+U17*G17</f>
        <v>13440</v>
      </c>
      <c r="AB17" s="680">
        <f>+U17*H17</f>
        <v>33120</v>
      </c>
      <c r="AC17" s="680">
        <f>+U17*I17</f>
        <v>20880</v>
      </c>
      <c r="AD17" s="680">
        <f>+U17*J17</f>
        <v>51840</v>
      </c>
      <c r="AE17" s="680">
        <f>+U17*K17</f>
        <v>0</v>
      </c>
      <c r="AF17" s="680">
        <f>+U17*L17</f>
        <v>0</v>
      </c>
      <c r="AG17" s="680">
        <f>+U17*M17</f>
        <v>0</v>
      </c>
      <c r="AH17" s="680">
        <f>+U17*N17</f>
        <v>0</v>
      </c>
      <c r="AI17" s="681">
        <f>+U17*O17</f>
        <v>34320</v>
      </c>
      <c r="AJ17" s="681">
        <f>+U17*P17</f>
        <v>84960</v>
      </c>
    </row>
    <row r="18" spans="1:36" hidden="1">
      <c r="A18" s="680">
        <v>2212001026</v>
      </c>
      <c r="B18" s="680" t="s">
        <v>309</v>
      </c>
      <c r="C18" s="680" t="s">
        <v>512</v>
      </c>
      <c r="D18" s="680" t="s">
        <v>511</v>
      </c>
      <c r="E18" s="680" t="s">
        <v>489</v>
      </c>
      <c r="F18" s="680" t="s">
        <v>488</v>
      </c>
      <c r="G18" s="680">
        <v>209</v>
      </c>
      <c r="H18" s="680">
        <v>522</v>
      </c>
      <c r="I18" s="680">
        <v>65</v>
      </c>
      <c r="J18" s="680">
        <v>162</v>
      </c>
      <c r="K18" s="680">
        <v>0</v>
      </c>
      <c r="L18" s="680">
        <v>0</v>
      </c>
      <c r="M18" s="680">
        <v>0</v>
      </c>
      <c r="N18" s="680">
        <v>0</v>
      </c>
      <c r="O18" s="680">
        <f>+G18+I18+K18+M18</f>
        <v>274</v>
      </c>
      <c r="P18" s="680">
        <f>+H18+J18+L18+N18</f>
        <v>684</v>
      </c>
      <c r="Q18" s="680" t="s">
        <v>495</v>
      </c>
      <c r="R18" s="680" t="s">
        <v>494</v>
      </c>
      <c r="S18" s="680" t="s">
        <v>6</v>
      </c>
      <c r="T18" s="680" t="s">
        <v>484</v>
      </c>
      <c r="U18" s="681">
        <v>35</v>
      </c>
      <c r="V18" s="680">
        <v>36.36</v>
      </c>
      <c r="W18" s="680" t="s">
        <v>513</v>
      </c>
      <c r="X18" s="680" t="s">
        <v>485</v>
      </c>
      <c r="Y18" s="680" t="s">
        <v>484</v>
      </c>
      <c r="Z18" s="680" t="s">
        <v>483</v>
      </c>
      <c r="AA18" s="680">
        <f>+U18*G18</f>
        <v>7315</v>
      </c>
      <c r="AB18" s="680">
        <f>+U18*H18</f>
        <v>18270</v>
      </c>
      <c r="AC18" s="680">
        <f>+U18*I18</f>
        <v>2275</v>
      </c>
      <c r="AD18" s="680">
        <f>+U18*J18</f>
        <v>5670</v>
      </c>
      <c r="AE18" s="680">
        <f>+U18*K18</f>
        <v>0</v>
      </c>
      <c r="AF18" s="680">
        <f>+U18*L18</f>
        <v>0</v>
      </c>
      <c r="AG18" s="680">
        <f>+U18*M18</f>
        <v>0</v>
      </c>
      <c r="AH18" s="680">
        <f>+U18*N18</f>
        <v>0</v>
      </c>
      <c r="AI18" s="681">
        <f>+U18*O18</f>
        <v>9590</v>
      </c>
      <c r="AJ18" s="681">
        <f>+U18*P18</f>
        <v>23940</v>
      </c>
    </row>
    <row r="19" spans="1:36" hidden="1">
      <c r="A19" s="680">
        <v>2212001027</v>
      </c>
      <c r="B19" s="680" t="s">
        <v>310</v>
      </c>
      <c r="C19" s="680" t="s">
        <v>491</v>
      </c>
      <c r="D19" s="680" t="s">
        <v>490</v>
      </c>
      <c r="E19" s="680" t="s">
        <v>489</v>
      </c>
      <c r="F19" s="680" t="s">
        <v>488</v>
      </c>
      <c r="G19" s="680">
        <v>44</v>
      </c>
      <c r="H19" s="680">
        <v>108</v>
      </c>
      <c r="I19" s="680">
        <v>67</v>
      </c>
      <c r="J19" s="680">
        <v>167</v>
      </c>
      <c r="K19" s="680">
        <v>15</v>
      </c>
      <c r="L19" s="680">
        <v>37</v>
      </c>
      <c r="M19" s="680">
        <v>0</v>
      </c>
      <c r="N19" s="680">
        <v>0</v>
      </c>
      <c r="O19" s="680">
        <f>+G19+I19+K19+M19</f>
        <v>126</v>
      </c>
      <c r="P19" s="680">
        <f>+H19+J19+L19+N19</f>
        <v>312</v>
      </c>
      <c r="Q19" s="680" t="s">
        <v>701</v>
      </c>
      <c r="R19" s="680" t="s">
        <v>701</v>
      </c>
      <c r="S19" s="680" t="s">
        <v>171</v>
      </c>
      <c r="T19" s="680" t="s">
        <v>484</v>
      </c>
      <c r="U19" s="681">
        <v>104</v>
      </c>
      <c r="V19" s="680">
        <v>104.19</v>
      </c>
      <c r="W19" s="680" t="s">
        <v>507</v>
      </c>
      <c r="X19" s="680" t="s">
        <v>485</v>
      </c>
      <c r="Y19" s="680" t="s">
        <v>484</v>
      </c>
      <c r="Z19" s="680" t="s">
        <v>483</v>
      </c>
      <c r="AA19" s="680">
        <f>+U19*G19</f>
        <v>4576</v>
      </c>
      <c r="AB19" s="680">
        <f>+U19*H19</f>
        <v>11232</v>
      </c>
      <c r="AC19" s="680">
        <f>+U19*I19</f>
        <v>6968</v>
      </c>
      <c r="AD19" s="680">
        <f>+U19*J19</f>
        <v>17368</v>
      </c>
      <c r="AE19" s="680">
        <f>+U19*K19</f>
        <v>1560</v>
      </c>
      <c r="AF19" s="680">
        <f>+U19*L19</f>
        <v>3848</v>
      </c>
      <c r="AG19" s="680">
        <f>+U19*M19</f>
        <v>0</v>
      </c>
      <c r="AH19" s="680">
        <f>+U19*N19</f>
        <v>0</v>
      </c>
      <c r="AI19" s="681">
        <f>+U19*O19</f>
        <v>13104</v>
      </c>
      <c r="AJ19" s="681">
        <f>+U19*P19</f>
        <v>32448</v>
      </c>
    </row>
    <row r="20" spans="1:36" hidden="1">
      <c r="A20" s="680">
        <v>2212001028</v>
      </c>
      <c r="B20" s="680" t="s">
        <v>700</v>
      </c>
      <c r="C20" s="680" t="s">
        <v>491</v>
      </c>
      <c r="D20" s="680" t="s">
        <v>490</v>
      </c>
      <c r="E20" s="680" t="s">
        <v>489</v>
      </c>
      <c r="F20" s="680" t="s">
        <v>488</v>
      </c>
      <c r="G20" s="680">
        <v>408</v>
      </c>
      <c r="H20" s="680">
        <v>1020</v>
      </c>
      <c r="I20" s="680">
        <v>408</v>
      </c>
      <c r="J20" s="680">
        <v>1020</v>
      </c>
      <c r="K20" s="680">
        <v>0</v>
      </c>
      <c r="L20" s="680">
        <v>0</v>
      </c>
      <c r="M20" s="680">
        <v>0</v>
      </c>
      <c r="N20" s="680">
        <v>0</v>
      </c>
      <c r="O20" s="680">
        <f>+G20+I20+K20+M20</f>
        <v>816</v>
      </c>
      <c r="P20" s="680">
        <f>+H20+J20+L20+N20</f>
        <v>2040</v>
      </c>
      <c r="Q20" s="680" t="s">
        <v>699</v>
      </c>
      <c r="R20" s="680" t="s">
        <v>699</v>
      </c>
      <c r="S20" s="680" t="s">
        <v>296</v>
      </c>
      <c r="T20" s="680" t="s">
        <v>484</v>
      </c>
      <c r="U20" s="681">
        <v>50</v>
      </c>
      <c r="V20" s="680">
        <v>55.76</v>
      </c>
      <c r="W20" s="680" t="s">
        <v>611</v>
      </c>
      <c r="X20" s="680" t="s">
        <v>485</v>
      </c>
      <c r="Y20" s="680" t="s">
        <v>484</v>
      </c>
      <c r="Z20" s="680" t="s">
        <v>483</v>
      </c>
      <c r="AA20" s="680">
        <f>+U20*G20</f>
        <v>20400</v>
      </c>
      <c r="AB20" s="680">
        <f>+U20*H20</f>
        <v>51000</v>
      </c>
      <c r="AC20" s="680">
        <f>+U20*I20</f>
        <v>20400</v>
      </c>
      <c r="AD20" s="680">
        <f>+U20*J20</f>
        <v>51000</v>
      </c>
      <c r="AE20" s="680">
        <f>+U20*K20</f>
        <v>0</v>
      </c>
      <c r="AF20" s="680">
        <f>+U20*L20</f>
        <v>0</v>
      </c>
      <c r="AG20" s="680">
        <f>+U20*M20</f>
        <v>0</v>
      </c>
      <c r="AH20" s="680">
        <f>+U20*N20</f>
        <v>0</v>
      </c>
      <c r="AI20" s="681">
        <f>+U20*O20</f>
        <v>40800</v>
      </c>
      <c r="AJ20" s="681">
        <f>+U20*P20</f>
        <v>102000</v>
      </c>
    </row>
    <row r="21" spans="1:36" hidden="1">
      <c r="A21" s="680">
        <v>2212001029</v>
      </c>
      <c r="B21" s="680" t="s">
        <v>312</v>
      </c>
      <c r="C21" s="680" t="s">
        <v>512</v>
      </c>
      <c r="D21" s="680" t="s">
        <v>511</v>
      </c>
      <c r="E21" s="680" t="s">
        <v>489</v>
      </c>
      <c r="F21" s="680" t="s">
        <v>488</v>
      </c>
      <c r="G21" s="680">
        <v>8</v>
      </c>
      <c r="H21" s="680">
        <v>18</v>
      </c>
      <c r="I21" s="680">
        <v>0</v>
      </c>
      <c r="J21" s="680">
        <v>0</v>
      </c>
      <c r="K21" s="680">
        <v>0</v>
      </c>
      <c r="L21" s="680">
        <v>0</v>
      </c>
      <c r="M21" s="680">
        <v>0</v>
      </c>
      <c r="N21" s="680">
        <v>0</v>
      </c>
      <c r="O21" s="680">
        <f>+G21+I21+K21+M21</f>
        <v>8</v>
      </c>
      <c r="P21" s="680">
        <f>+H21+J21+L21+N21</f>
        <v>18</v>
      </c>
      <c r="Q21" s="680" t="s">
        <v>698</v>
      </c>
      <c r="R21" s="680" t="s">
        <v>494</v>
      </c>
      <c r="S21" s="680" t="s">
        <v>313</v>
      </c>
      <c r="T21" s="680" t="s">
        <v>484</v>
      </c>
      <c r="U21" s="681">
        <v>250</v>
      </c>
      <c r="V21" s="680">
        <v>239.07</v>
      </c>
      <c r="W21" s="680" t="s">
        <v>620</v>
      </c>
      <c r="X21" s="680" t="s">
        <v>485</v>
      </c>
      <c r="Y21" s="680" t="s">
        <v>484</v>
      </c>
      <c r="Z21" s="680" t="s">
        <v>483</v>
      </c>
      <c r="AA21" s="680">
        <f>+U21*G21</f>
        <v>2000</v>
      </c>
      <c r="AB21" s="680">
        <f>+U21*H21</f>
        <v>4500</v>
      </c>
      <c r="AC21" s="680">
        <f>+U21*I21</f>
        <v>0</v>
      </c>
      <c r="AD21" s="680">
        <f>+U21*J21</f>
        <v>0</v>
      </c>
      <c r="AE21" s="680">
        <f>+U21*K21</f>
        <v>0</v>
      </c>
      <c r="AF21" s="680">
        <f>+U21*L21</f>
        <v>0</v>
      </c>
      <c r="AG21" s="680">
        <f>+U21*M21</f>
        <v>0</v>
      </c>
      <c r="AH21" s="680">
        <f>+U21*N21</f>
        <v>0</v>
      </c>
      <c r="AI21" s="681">
        <f>+U21*O21</f>
        <v>2000</v>
      </c>
      <c r="AJ21" s="681">
        <f>+U21*P21</f>
        <v>4500</v>
      </c>
    </row>
    <row r="22" spans="1:36" hidden="1">
      <c r="A22" s="680">
        <v>2212001030</v>
      </c>
      <c r="B22" s="680" t="s">
        <v>314</v>
      </c>
      <c r="C22" s="680" t="s">
        <v>510</v>
      </c>
      <c r="D22" s="680" t="s">
        <v>509</v>
      </c>
      <c r="E22" s="680" t="s">
        <v>489</v>
      </c>
      <c r="F22" s="680" t="s">
        <v>488</v>
      </c>
      <c r="G22" s="680">
        <v>8</v>
      </c>
      <c r="H22" s="680">
        <v>18</v>
      </c>
      <c r="I22" s="680">
        <v>0</v>
      </c>
      <c r="J22" s="680">
        <v>0</v>
      </c>
      <c r="K22" s="680">
        <v>0</v>
      </c>
      <c r="L22" s="680">
        <v>0</v>
      </c>
      <c r="M22" s="680">
        <v>0</v>
      </c>
      <c r="N22" s="680">
        <v>0</v>
      </c>
      <c r="O22" s="680">
        <f>+G22+I22+K22+M22</f>
        <v>8</v>
      </c>
      <c r="P22" s="680">
        <f>+H22+J22+L22+N22</f>
        <v>18</v>
      </c>
      <c r="Q22" s="680" t="s">
        <v>698</v>
      </c>
      <c r="R22" s="680" t="s">
        <v>698</v>
      </c>
      <c r="S22" s="680" t="s">
        <v>86</v>
      </c>
      <c r="T22" s="680" t="s">
        <v>484</v>
      </c>
      <c r="U22" s="681">
        <v>75</v>
      </c>
      <c r="V22" s="680">
        <v>81.5</v>
      </c>
      <c r="W22" s="680" t="s">
        <v>507</v>
      </c>
      <c r="X22" s="680" t="s">
        <v>485</v>
      </c>
      <c r="Y22" s="680" t="s">
        <v>484</v>
      </c>
      <c r="Z22" s="680" t="s">
        <v>483</v>
      </c>
      <c r="AA22" s="680">
        <f>+U22*G22</f>
        <v>600</v>
      </c>
      <c r="AB22" s="680">
        <f>+U22*H22</f>
        <v>1350</v>
      </c>
      <c r="AC22" s="680">
        <f>+U22*I22</f>
        <v>0</v>
      </c>
      <c r="AD22" s="680">
        <f>+U22*J22</f>
        <v>0</v>
      </c>
      <c r="AE22" s="680">
        <f>+U22*K22</f>
        <v>0</v>
      </c>
      <c r="AF22" s="680">
        <f>+U22*L22</f>
        <v>0</v>
      </c>
      <c r="AG22" s="680">
        <f>+U22*M22</f>
        <v>0</v>
      </c>
      <c r="AH22" s="680">
        <f>+U22*N22</f>
        <v>0</v>
      </c>
      <c r="AI22" s="681">
        <f>+U22*O22</f>
        <v>600</v>
      </c>
      <c r="AJ22" s="681">
        <f>+U22*P22</f>
        <v>1350</v>
      </c>
    </row>
    <row r="23" spans="1:36" hidden="1">
      <c r="A23" s="680">
        <v>2212001031</v>
      </c>
      <c r="B23" s="680" t="s">
        <v>315</v>
      </c>
      <c r="C23" s="680" t="s">
        <v>491</v>
      </c>
      <c r="D23" s="680" t="s">
        <v>490</v>
      </c>
      <c r="E23" s="680" t="s">
        <v>489</v>
      </c>
      <c r="F23" s="680" t="s">
        <v>488</v>
      </c>
      <c r="G23" s="680">
        <v>17</v>
      </c>
      <c r="H23" s="680">
        <v>42</v>
      </c>
      <c r="I23" s="680">
        <v>61</v>
      </c>
      <c r="J23" s="680">
        <v>151</v>
      </c>
      <c r="K23" s="680">
        <v>0</v>
      </c>
      <c r="L23" s="680">
        <v>0</v>
      </c>
      <c r="M23" s="680">
        <v>0</v>
      </c>
      <c r="N23" s="680">
        <v>0</v>
      </c>
      <c r="O23" s="680">
        <f>+G23+I23+K23+M23</f>
        <v>78</v>
      </c>
      <c r="P23" s="680">
        <f>+H23+J23+L23+N23</f>
        <v>193</v>
      </c>
      <c r="Q23" s="680" t="s">
        <v>694</v>
      </c>
      <c r="R23" s="680" t="s">
        <v>694</v>
      </c>
      <c r="S23" s="680" t="s">
        <v>6</v>
      </c>
      <c r="T23" s="680" t="s">
        <v>484</v>
      </c>
      <c r="U23" s="681">
        <v>122</v>
      </c>
      <c r="V23" s="680">
        <v>135.41999999999999</v>
      </c>
      <c r="W23" s="680" t="s">
        <v>661</v>
      </c>
      <c r="X23" s="680" t="s">
        <v>485</v>
      </c>
      <c r="Y23" s="680" t="s">
        <v>484</v>
      </c>
      <c r="Z23" s="680" t="s">
        <v>483</v>
      </c>
      <c r="AA23" s="680">
        <f>+U23*G23</f>
        <v>2074</v>
      </c>
      <c r="AB23" s="680">
        <f>+U23*H23</f>
        <v>5124</v>
      </c>
      <c r="AC23" s="680">
        <f>+U23*I23</f>
        <v>7442</v>
      </c>
      <c r="AD23" s="680">
        <f>+U23*J23</f>
        <v>18422</v>
      </c>
      <c r="AE23" s="680">
        <f>+U23*K23</f>
        <v>0</v>
      </c>
      <c r="AF23" s="680">
        <f>+U23*L23</f>
        <v>0</v>
      </c>
      <c r="AG23" s="680">
        <f>+U23*M23</f>
        <v>0</v>
      </c>
      <c r="AH23" s="680">
        <f>+U23*N23</f>
        <v>0</v>
      </c>
      <c r="AI23" s="681">
        <f>+U23*O23</f>
        <v>9516</v>
      </c>
      <c r="AJ23" s="681">
        <f>+U23*P23</f>
        <v>23546</v>
      </c>
    </row>
    <row r="24" spans="1:36" hidden="1">
      <c r="A24" s="680">
        <v>2212001034</v>
      </c>
      <c r="B24" s="680" t="s">
        <v>318</v>
      </c>
      <c r="C24" s="680" t="s">
        <v>491</v>
      </c>
      <c r="D24" s="680" t="s">
        <v>490</v>
      </c>
      <c r="E24" s="680" t="s">
        <v>489</v>
      </c>
      <c r="F24" s="680" t="s">
        <v>488</v>
      </c>
      <c r="G24" s="680">
        <v>121</v>
      </c>
      <c r="H24" s="680">
        <v>301</v>
      </c>
      <c r="I24" s="680">
        <v>80</v>
      </c>
      <c r="J24" s="680">
        <v>200</v>
      </c>
      <c r="K24" s="680">
        <v>47</v>
      </c>
      <c r="L24" s="680">
        <v>117</v>
      </c>
      <c r="M24" s="680">
        <v>0</v>
      </c>
      <c r="N24" s="680">
        <v>0</v>
      </c>
      <c r="O24" s="680">
        <f>+G24+I24+K24+M24</f>
        <v>248</v>
      </c>
      <c r="P24" s="680">
        <f>+H24+J24+L24+N24</f>
        <v>618</v>
      </c>
      <c r="Q24" s="680" t="s">
        <v>610</v>
      </c>
      <c r="R24" s="680" t="s">
        <v>610</v>
      </c>
      <c r="S24" s="680" t="s">
        <v>6</v>
      </c>
      <c r="T24" s="680" t="s">
        <v>484</v>
      </c>
      <c r="U24" s="681">
        <v>75</v>
      </c>
      <c r="V24" s="680">
        <v>83.68</v>
      </c>
      <c r="W24" s="680" t="s">
        <v>620</v>
      </c>
      <c r="X24" s="680" t="s">
        <v>485</v>
      </c>
      <c r="Y24" s="680" t="s">
        <v>484</v>
      </c>
      <c r="Z24" s="680" t="s">
        <v>483</v>
      </c>
      <c r="AA24" s="680">
        <f>+U24*G24</f>
        <v>9075</v>
      </c>
      <c r="AB24" s="680">
        <f>+U24*H24</f>
        <v>22575</v>
      </c>
      <c r="AC24" s="680">
        <f>+U24*I24</f>
        <v>6000</v>
      </c>
      <c r="AD24" s="680">
        <f>+U24*J24</f>
        <v>15000</v>
      </c>
      <c r="AE24" s="680">
        <f>+U24*K24</f>
        <v>3525</v>
      </c>
      <c r="AF24" s="680">
        <f>+U24*L24</f>
        <v>8775</v>
      </c>
      <c r="AG24" s="680">
        <f>+U24*M24</f>
        <v>0</v>
      </c>
      <c r="AH24" s="680">
        <f>+U24*N24</f>
        <v>0</v>
      </c>
      <c r="AI24" s="681">
        <f>+U24*O24</f>
        <v>18600</v>
      </c>
      <c r="AJ24" s="681">
        <f>+U24*P24</f>
        <v>46350</v>
      </c>
    </row>
    <row r="25" spans="1:36" hidden="1">
      <c r="A25" s="680">
        <v>2212001035</v>
      </c>
      <c r="B25" s="680" t="s">
        <v>697</v>
      </c>
      <c r="C25" s="680" t="s">
        <v>512</v>
      </c>
      <c r="D25" s="680" t="s">
        <v>511</v>
      </c>
      <c r="E25" s="680" t="s">
        <v>489</v>
      </c>
      <c r="F25" s="680" t="s">
        <v>488</v>
      </c>
      <c r="G25" s="680">
        <v>75</v>
      </c>
      <c r="H25" s="680">
        <v>186</v>
      </c>
      <c r="I25" s="680">
        <v>24</v>
      </c>
      <c r="J25" s="680">
        <v>60</v>
      </c>
      <c r="K25" s="680">
        <v>0</v>
      </c>
      <c r="L25" s="680">
        <v>0</v>
      </c>
      <c r="M25" s="680">
        <v>0</v>
      </c>
      <c r="N25" s="680">
        <v>0</v>
      </c>
      <c r="O25" s="680">
        <f>+G25+I25+K25+M25</f>
        <v>99</v>
      </c>
      <c r="P25" s="680">
        <f>+H25+J25+L25+N25</f>
        <v>246</v>
      </c>
      <c r="Q25" s="680" t="s">
        <v>696</v>
      </c>
      <c r="R25" s="680" t="s">
        <v>494</v>
      </c>
      <c r="S25" s="680" t="s">
        <v>313</v>
      </c>
      <c r="T25" s="680" t="s">
        <v>484</v>
      </c>
      <c r="U25" s="681">
        <v>250</v>
      </c>
      <c r="V25" s="680">
        <v>247.76</v>
      </c>
      <c r="W25" s="680" t="s">
        <v>620</v>
      </c>
      <c r="X25" s="680" t="s">
        <v>485</v>
      </c>
      <c r="Y25" s="680" t="s">
        <v>484</v>
      </c>
      <c r="Z25" s="680" t="s">
        <v>483</v>
      </c>
      <c r="AA25" s="680">
        <f>+U25*G25</f>
        <v>18750</v>
      </c>
      <c r="AB25" s="680">
        <f>+U25*H25</f>
        <v>46500</v>
      </c>
      <c r="AC25" s="680">
        <f>+U25*I25</f>
        <v>6000</v>
      </c>
      <c r="AD25" s="680">
        <f>+U25*J25</f>
        <v>15000</v>
      </c>
      <c r="AE25" s="680">
        <f>+U25*K25</f>
        <v>0</v>
      </c>
      <c r="AF25" s="680">
        <f>+U25*L25</f>
        <v>0</v>
      </c>
      <c r="AG25" s="680">
        <f>+U25*M25</f>
        <v>0</v>
      </c>
      <c r="AH25" s="680">
        <f>+U25*N25</f>
        <v>0</v>
      </c>
      <c r="AI25" s="681">
        <f>+U25*O25</f>
        <v>24750</v>
      </c>
      <c r="AJ25" s="681">
        <f>+U25*P25</f>
        <v>61500</v>
      </c>
    </row>
    <row r="26" spans="1:36" hidden="1">
      <c r="A26" s="680">
        <v>2212001036</v>
      </c>
      <c r="B26" s="680" t="s">
        <v>695</v>
      </c>
      <c r="C26" s="680" t="s">
        <v>491</v>
      </c>
      <c r="D26" s="680" t="s">
        <v>490</v>
      </c>
      <c r="E26" s="680" t="s">
        <v>489</v>
      </c>
      <c r="F26" s="680" t="s">
        <v>488</v>
      </c>
      <c r="G26" s="680">
        <v>0</v>
      </c>
      <c r="H26" s="680">
        <v>0</v>
      </c>
      <c r="I26" s="680">
        <v>45</v>
      </c>
      <c r="J26" s="680">
        <v>112</v>
      </c>
      <c r="K26" s="680">
        <v>0</v>
      </c>
      <c r="L26" s="680">
        <v>0</v>
      </c>
      <c r="M26" s="680">
        <v>0</v>
      </c>
      <c r="N26" s="680">
        <v>0</v>
      </c>
      <c r="O26" s="680">
        <f>+G26+I26+K26+M26</f>
        <v>45</v>
      </c>
      <c r="P26" s="680">
        <f>+H26+J26+L26+N26</f>
        <v>112</v>
      </c>
      <c r="Q26" s="680" t="s">
        <v>694</v>
      </c>
      <c r="R26" s="680" t="s">
        <v>694</v>
      </c>
      <c r="S26" s="680" t="s">
        <v>6</v>
      </c>
      <c r="T26" s="680" t="s">
        <v>484</v>
      </c>
      <c r="U26" s="681">
        <v>120</v>
      </c>
      <c r="V26" s="680">
        <v>132.16999999999999</v>
      </c>
      <c r="W26" s="680" t="s">
        <v>507</v>
      </c>
      <c r="X26" s="680" t="s">
        <v>485</v>
      </c>
      <c r="Y26" s="680" t="s">
        <v>484</v>
      </c>
      <c r="Z26" s="680" t="s">
        <v>483</v>
      </c>
      <c r="AA26" s="680">
        <f>+U26*G26</f>
        <v>0</v>
      </c>
      <c r="AB26" s="680">
        <f>+U26*H26</f>
        <v>0</v>
      </c>
      <c r="AC26" s="680">
        <f>+U26*I26</f>
        <v>5400</v>
      </c>
      <c r="AD26" s="680">
        <f>+U26*J26</f>
        <v>13440</v>
      </c>
      <c r="AE26" s="680">
        <f>+U26*K26</f>
        <v>0</v>
      </c>
      <c r="AF26" s="680">
        <f>+U26*L26</f>
        <v>0</v>
      </c>
      <c r="AG26" s="680">
        <f>+U26*M26</f>
        <v>0</v>
      </c>
      <c r="AH26" s="680">
        <f>+U26*N26</f>
        <v>0</v>
      </c>
      <c r="AI26" s="681">
        <f>+U26*O26</f>
        <v>5400</v>
      </c>
      <c r="AJ26" s="681">
        <f>+U26*P26</f>
        <v>13440</v>
      </c>
    </row>
    <row r="27" spans="1:36" hidden="1">
      <c r="A27" s="680">
        <v>2212001037</v>
      </c>
      <c r="B27" s="680" t="s">
        <v>321</v>
      </c>
      <c r="C27" s="680" t="s">
        <v>510</v>
      </c>
      <c r="D27" s="680" t="s">
        <v>509</v>
      </c>
      <c r="E27" s="680" t="s">
        <v>489</v>
      </c>
      <c r="F27" s="680" t="s">
        <v>488</v>
      </c>
      <c r="G27" s="680">
        <v>15</v>
      </c>
      <c r="H27" s="680">
        <v>36</v>
      </c>
      <c r="I27" s="680">
        <v>0</v>
      </c>
      <c r="J27" s="680">
        <v>0</v>
      </c>
      <c r="K27" s="680">
        <v>0</v>
      </c>
      <c r="L27" s="680">
        <v>0</v>
      </c>
      <c r="M27" s="680">
        <v>0</v>
      </c>
      <c r="N27" s="680">
        <v>0</v>
      </c>
      <c r="O27" s="680">
        <f>+G27+I27+K27+M27</f>
        <v>15</v>
      </c>
      <c r="P27" s="680">
        <f>+H27+J27+L27+N27</f>
        <v>36</v>
      </c>
      <c r="Q27" s="680" t="s">
        <v>693</v>
      </c>
      <c r="R27" s="680" t="s">
        <v>693</v>
      </c>
      <c r="S27" s="680" t="s">
        <v>6</v>
      </c>
      <c r="T27" s="680" t="s">
        <v>484</v>
      </c>
      <c r="U27" s="681">
        <v>240</v>
      </c>
      <c r="V27" s="680">
        <v>256.62</v>
      </c>
      <c r="W27" s="680" t="s">
        <v>661</v>
      </c>
      <c r="X27" s="680" t="s">
        <v>485</v>
      </c>
      <c r="Y27" s="680" t="s">
        <v>484</v>
      </c>
      <c r="Z27" s="680" t="s">
        <v>483</v>
      </c>
      <c r="AA27" s="680">
        <f>+U27*G27</f>
        <v>3600</v>
      </c>
      <c r="AB27" s="680">
        <f>+U27*H27</f>
        <v>8640</v>
      </c>
      <c r="AC27" s="680">
        <f>+U27*I27</f>
        <v>0</v>
      </c>
      <c r="AD27" s="680">
        <f>+U27*J27</f>
        <v>0</v>
      </c>
      <c r="AE27" s="680">
        <f>+U27*K27</f>
        <v>0</v>
      </c>
      <c r="AF27" s="680">
        <f>+U27*L27</f>
        <v>0</v>
      </c>
      <c r="AG27" s="680">
        <f>+U27*M27</f>
        <v>0</v>
      </c>
      <c r="AH27" s="680">
        <f>+U27*N27</f>
        <v>0</v>
      </c>
      <c r="AI27" s="681">
        <f>+U27*O27</f>
        <v>3600</v>
      </c>
      <c r="AJ27" s="681">
        <f>+U27*P27</f>
        <v>8640</v>
      </c>
    </row>
    <row r="28" spans="1:36" hidden="1">
      <c r="A28" s="680">
        <v>2212001038</v>
      </c>
      <c r="B28" s="680" t="s">
        <v>692</v>
      </c>
      <c r="C28" s="680" t="s">
        <v>491</v>
      </c>
      <c r="D28" s="680" t="s">
        <v>490</v>
      </c>
      <c r="E28" s="680" t="s">
        <v>489</v>
      </c>
      <c r="F28" s="680" t="s">
        <v>488</v>
      </c>
      <c r="G28" s="680">
        <v>5</v>
      </c>
      <c r="H28" s="680">
        <v>12</v>
      </c>
      <c r="I28" s="680">
        <v>67</v>
      </c>
      <c r="J28" s="680">
        <v>167</v>
      </c>
      <c r="K28" s="680">
        <v>0</v>
      </c>
      <c r="L28" s="680">
        <v>0</v>
      </c>
      <c r="M28" s="680">
        <v>0</v>
      </c>
      <c r="N28" s="680">
        <v>0</v>
      </c>
      <c r="O28" s="680">
        <f>+G28+I28+K28+M28</f>
        <v>72</v>
      </c>
      <c r="P28" s="680">
        <f>+H28+J28+L28+N28</f>
        <v>179</v>
      </c>
      <c r="Q28" s="680" t="s">
        <v>691</v>
      </c>
      <c r="R28" s="680" t="s">
        <v>691</v>
      </c>
      <c r="S28" s="680" t="s">
        <v>86</v>
      </c>
      <c r="T28" s="680" t="s">
        <v>484</v>
      </c>
      <c r="U28" s="681">
        <v>33.5</v>
      </c>
      <c r="V28" s="680">
        <v>36.08</v>
      </c>
      <c r="W28" s="680" t="s">
        <v>620</v>
      </c>
      <c r="X28" s="680" t="s">
        <v>485</v>
      </c>
      <c r="Y28" s="680" t="s">
        <v>484</v>
      </c>
      <c r="Z28" s="680" t="s">
        <v>483</v>
      </c>
      <c r="AA28" s="680">
        <f>+U28*G28</f>
        <v>167.5</v>
      </c>
      <c r="AB28" s="680">
        <f>+U28*H28</f>
        <v>402</v>
      </c>
      <c r="AC28" s="680">
        <f>+U28*I28</f>
        <v>2244.5</v>
      </c>
      <c r="AD28" s="680">
        <f>+U28*J28</f>
        <v>5594.5</v>
      </c>
      <c r="AE28" s="680">
        <f>+U28*K28</f>
        <v>0</v>
      </c>
      <c r="AF28" s="680">
        <f>+U28*L28</f>
        <v>0</v>
      </c>
      <c r="AG28" s="680">
        <f>+U28*M28</f>
        <v>0</v>
      </c>
      <c r="AH28" s="680">
        <f>+U28*N28</f>
        <v>0</v>
      </c>
      <c r="AI28" s="681">
        <f>+U28*O28</f>
        <v>2412</v>
      </c>
      <c r="AJ28" s="681">
        <f>+U28*P28</f>
        <v>5996.5</v>
      </c>
    </row>
    <row r="29" spans="1:36" hidden="1">
      <c r="A29" s="680">
        <v>2212001040</v>
      </c>
      <c r="B29" s="680" t="s">
        <v>323</v>
      </c>
      <c r="C29" s="680" t="s">
        <v>503</v>
      </c>
      <c r="D29" s="680" t="s">
        <v>502</v>
      </c>
      <c r="E29" s="680" t="s">
        <v>489</v>
      </c>
      <c r="F29" s="680" t="s">
        <v>488</v>
      </c>
      <c r="G29" s="680">
        <v>5</v>
      </c>
      <c r="H29" s="680">
        <v>12</v>
      </c>
      <c r="I29" s="680">
        <v>6</v>
      </c>
      <c r="J29" s="680">
        <v>13</v>
      </c>
      <c r="K29" s="680">
        <v>0</v>
      </c>
      <c r="L29" s="680">
        <v>0</v>
      </c>
      <c r="M29" s="680">
        <v>0</v>
      </c>
      <c r="N29" s="680">
        <v>0</v>
      </c>
      <c r="O29" s="680">
        <f>+G29+I29+K29+M29</f>
        <v>11</v>
      </c>
      <c r="P29" s="680">
        <f>+H29+J29+L29+N29</f>
        <v>25</v>
      </c>
      <c r="Q29" s="680" t="s">
        <v>690</v>
      </c>
      <c r="R29" s="680" t="s">
        <v>690</v>
      </c>
      <c r="S29" s="680" t="s">
        <v>6</v>
      </c>
      <c r="T29" s="680" t="s">
        <v>484</v>
      </c>
      <c r="U29" s="681">
        <v>24</v>
      </c>
      <c r="V29" s="680">
        <v>27.17</v>
      </c>
      <c r="W29" s="680" t="s">
        <v>507</v>
      </c>
      <c r="X29" s="680" t="s">
        <v>485</v>
      </c>
      <c r="Y29" s="680" t="s">
        <v>484</v>
      </c>
      <c r="Z29" s="680" t="s">
        <v>483</v>
      </c>
      <c r="AA29" s="680">
        <f>+U29*G29</f>
        <v>120</v>
      </c>
      <c r="AB29" s="680">
        <f>+U29*H29</f>
        <v>288</v>
      </c>
      <c r="AC29" s="680">
        <f>+U29*I29</f>
        <v>144</v>
      </c>
      <c r="AD29" s="680">
        <f>+U29*J29</f>
        <v>312</v>
      </c>
      <c r="AE29" s="680">
        <f>+U29*K29</f>
        <v>0</v>
      </c>
      <c r="AF29" s="680">
        <f>+U29*L29</f>
        <v>0</v>
      </c>
      <c r="AG29" s="680">
        <f>+U29*M29</f>
        <v>0</v>
      </c>
      <c r="AH29" s="680">
        <f>+U29*N29</f>
        <v>0</v>
      </c>
      <c r="AI29" s="681">
        <f>+U29*O29</f>
        <v>264</v>
      </c>
      <c r="AJ29" s="681">
        <f>+U29*P29</f>
        <v>600</v>
      </c>
    </row>
    <row r="30" spans="1:36">
      <c r="A30" s="680">
        <v>2212001041</v>
      </c>
      <c r="B30" s="680" t="s">
        <v>324</v>
      </c>
      <c r="C30" s="680" t="s">
        <v>519</v>
      </c>
      <c r="D30" s="680" t="s">
        <v>518</v>
      </c>
      <c r="E30" s="680" t="s">
        <v>489</v>
      </c>
      <c r="F30" s="680" t="s">
        <v>488</v>
      </c>
      <c r="G30" s="680">
        <v>99</v>
      </c>
      <c r="H30" s="680">
        <v>246</v>
      </c>
      <c r="I30" s="680">
        <v>160</v>
      </c>
      <c r="J30" s="680">
        <v>400</v>
      </c>
      <c r="K30" s="680">
        <v>0</v>
      </c>
      <c r="L30" s="680">
        <v>0</v>
      </c>
      <c r="M30" s="680">
        <v>0</v>
      </c>
      <c r="N30" s="680">
        <v>0</v>
      </c>
      <c r="O30" s="680">
        <f>+G30+I30+K30+M30</f>
        <v>259</v>
      </c>
      <c r="P30" s="680">
        <f>+H30+J30+L30+N30</f>
        <v>646</v>
      </c>
      <c r="Q30" s="680" t="s">
        <v>689</v>
      </c>
      <c r="R30" s="680" t="s">
        <v>689</v>
      </c>
      <c r="S30" s="680" t="s">
        <v>6</v>
      </c>
      <c r="T30" s="680" t="s">
        <v>484</v>
      </c>
      <c r="U30" s="681">
        <v>40</v>
      </c>
      <c r="V30" s="680">
        <v>42.38</v>
      </c>
      <c r="W30" s="680" t="s">
        <v>620</v>
      </c>
      <c r="X30" s="680" t="s">
        <v>485</v>
      </c>
      <c r="Y30" s="680" t="s">
        <v>484</v>
      </c>
      <c r="Z30" s="680" t="s">
        <v>483</v>
      </c>
      <c r="AA30" s="680">
        <f>+U30*G30</f>
        <v>3960</v>
      </c>
      <c r="AB30" s="680">
        <f>+U30*H30</f>
        <v>9840</v>
      </c>
      <c r="AC30" s="680">
        <f>+U30*I30</f>
        <v>6400</v>
      </c>
      <c r="AD30" s="680">
        <f>+U30*J30</f>
        <v>16000</v>
      </c>
      <c r="AE30" s="680">
        <f>+U30*K30</f>
        <v>0</v>
      </c>
      <c r="AF30" s="680">
        <f>+U30*L30</f>
        <v>0</v>
      </c>
      <c r="AG30" s="680">
        <f>+U30*M30</f>
        <v>0</v>
      </c>
      <c r="AH30" s="680">
        <f>+U30*N30</f>
        <v>0</v>
      </c>
      <c r="AI30" s="681">
        <f>+U30*O30</f>
        <v>10360</v>
      </c>
      <c r="AJ30" s="681">
        <f>+U30*P30</f>
        <v>25840</v>
      </c>
    </row>
    <row r="31" spans="1:36" hidden="1">
      <c r="A31" s="680">
        <v>2212001042</v>
      </c>
      <c r="B31" s="680" t="s">
        <v>688</v>
      </c>
      <c r="C31" s="680" t="s">
        <v>491</v>
      </c>
      <c r="D31" s="680" t="s">
        <v>490</v>
      </c>
      <c r="E31" s="680" t="s">
        <v>489</v>
      </c>
      <c r="F31" s="680" t="s">
        <v>488</v>
      </c>
      <c r="G31" s="680">
        <v>0</v>
      </c>
      <c r="H31" s="680">
        <v>0</v>
      </c>
      <c r="I31" s="680">
        <v>8</v>
      </c>
      <c r="J31" s="680">
        <v>18</v>
      </c>
      <c r="K31" s="680">
        <v>0</v>
      </c>
      <c r="L31" s="680">
        <v>0</v>
      </c>
      <c r="M31" s="680">
        <v>0</v>
      </c>
      <c r="N31" s="680">
        <v>0</v>
      </c>
      <c r="O31" s="680">
        <f>+G31+I31+K31+M31</f>
        <v>8</v>
      </c>
      <c r="P31" s="680">
        <f>+H31+J31+L31+N31</f>
        <v>18</v>
      </c>
      <c r="Q31" s="680" t="s">
        <v>655</v>
      </c>
      <c r="R31" s="680" t="s">
        <v>655</v>
      </c>
      <c r="S31" s="680" t="s">
        <v>313</v>
      </c>
      <c r="T31" s="680" t="s">
        <v>484</v>
      </c>
      <c r="U31" s="681">
        <v>680</v>
      </c>
      <c r="V31" s="680">
        <v>742.09</v>
      </c>
      <c r="W31" s="680" t="s">
        <v>620</v>
      </c>
      <c r="X31" s="680" t="s">
        <v>485</v>
      </c>
      <c r="Y31" s="680" t="s">
        <v>484</v>
      </c>
      <c r="Z31" s="680" t="s">
        <v>483</v>
      </c>
      <c r="AA31" s="680">
        <f>+U31*G31</f>
        <v>0</v>
      </c>
      <c r="AB31" s="680">
        <f>+U31*H31</f>
        <v>0</v>
      </c>
      <c r="AC31" s="680">
        <f>+U31*I31</f>
        <v>5440</v>
      </c>
      <c r="AD31" s="680">
        <f>+U31*J31</f>
        <v>12240</v>
      </c>
      <c r="AE31" s="680">
        <f>+U31*K31</f>
        <v>0</v>
      </c>
      <c r="AF31" s="680">
        <f>+U31*L31</f>
        <v>0</v>
      </c>
      <c r="AG31" s="680">
        <f>+U31*M31</f>
        <v>0</v>
      </c>
      <c r="AH31" s="680">
        <f>+U31*N31</f>
        <v>0</v>
      </c>
      <c r="AI31" s="681">
        <f>+U31*O31</f>
        <v>5440</v>
      </c>
      <c r="AJ31" s="681">
        <f>+U31*P31</f>
        <v>12240</v>
      </c>
    </row>
    <row r="32" spans="1:36" hidden="1">
      <c r="A32" s="680">
        <v>2212001044</v>
      </c>
      <c r="B32" s="680" t="s">
        <v>326</v>
      </c>
      <c r="C32" s="680" t="s">
        <v>491</v>
      </c>
      <c r="D32" s="680" t="s">
        <v>490</v>
      </c>
      <c r="E32" s="680" t="s">
        <v>489</v>
      </c>
      <c r="F32" s="680" t="s">
        <v>488</v>
      </c>
      <c r="G32" s="680">
        <v>8040</v>
      </c>
      <c r="H32" s="680">
        <v>20100</v>
      </c>
      <c r="I32" s="680">
        <v>1728</v>
      </c>
      <c r="J32" s="680">
        <v>4320</v>
      </c>
      <c r="K32" s="680">
        <v>130</v>
      </c>
      <c r="L32" s="680">
        <v>325</v>
      </c>
      <c r="M32" s="680">
        <v>0</v>
      </c>
      <c r="N32" s="680">
        <v>0</v>
      </c>
      <c r="O32" s="680">
        <f>+G32+I32+K32+M32</f>
        <v>9898</v>
      </c>
      <c r="P32" s="680">
        <f>+H32+J32+L32+N32</f>
        <v>24745</v>
      </c>
      <c r="Q32" s="680" t="s">
        <v>581</v>
      </c>
      <c r="R32" s="680" t="s">
        <v>581</v>
      </c>
      <c r="S32" s="680" t="s">
        <v>8</v>
      </c>
      <c r="T32" s="680" t="s">
        <v>484</v>
      </c>
      <c r="U32" s="681">
        <v>6.1</v>
      </c>
      <c r="V32" s="680">
        <v>7.13</v>
      </c>
      <c r="W32" s="680" t="s">
        <v>486</v>
      </c>
      <c r="X32" s="680" t="s">
        <v>485</v>
      </c>
      <c r="Y32" s="680" t="s">
        <v>484</v>
      </c>
      <c r="Z32" s="680" t="s">
        <v>483</v>
      </c>
      <c r="AA32" s="680">
        <f>+U32*G32</f>
        <v>49044</v>
      </c>
      <c r="AB32" s="680">
        <f>+U32*H32</f>
        <v>122610</v>
      </c>
      <c r="AC32" s="680">
        <f>+U32*I32</f>
        <v>10540.8</v>
      </c>
      <c r="AD32" s="680">
        <f>+U32*J32</f>
        <v>26352</v>
      </c>
      <c r="AE32" s="680">
        <f>+U32*K32</f>
        <v>793</v>
      </c>
      <c r="AF32" s="680">
        <f>+U32*L32</f>
        <v>1982.4999999999998</v>
      </c>
      <c r="AG32" s="680">
        <f>+U32*M32</f>
        <v>0</v>
      </c>
      <c r="AH32" s="680">
        <f>+U32*N32</f>
        <v>0</v>
      </c>
      <c r="AI32" s="681">
        <f>+U32*O32</f>
        <v>60377.799999999996</v>
      </c>
      <c r="AJ32" s="681">
        <f>+U32*P32</f>
        <v>150944.5</v>
      </c>
    </row>
    <row r="33" spans="1:36" hidden="1">
      <c r="A33" s="680">
        <v>2212001045</v>
      </c>
      <c r="B33" s="680" t="s">
        <v>687</v>
      </c>
      <c r="C33" s="680" t="s">
        <v>503</v>
      </c>
      <c r="D33" s="680" t="s">
        <v>502</v>
      </c>
      <c r="E33" s="680" t="s">
        <v>489</v>
      </c>
      <c r="F33" s="680" t="s">
        <v>488</v>
      </c>
      <c r="G33" s="680">
        <v>137</v>
      </c>
      <c r="H33" s="680">
        <v>342</v>
      </c>
      <c r="I33" s="680">
        <v>6</v>
      </c>
      <c r="J33" s="680">
        <v>13</v>
      </c>
      <c r="K33" s="680">
        <v>0</v>
      </c>
      <c r="L33" s="680">
        <v>0</v>
      </c>
      <c r="M33" s="680">
        <v>0</v>
      </c>
      <c r="N33" s="680">
        <v>0</v>
      </c>
      <c r="O33" s="680">
        <f>+G33+I33+K33+M33</f>
        <v>143</v>
      </c>
      <c r="P33" s="680">
        <f>+H33+J33+L33+N33</f>
        <v>355</v>
      </c>
      <c r="Q33" s="680" t="s">
        <v>648</v>
      </c>
      <c r="R33" s="680" t="s">
        <v>648</v>
      </c>
      <c r="S33" s="680" t="s">
        <v>296</v>
      </c>
      <c r="T33" s="680" t="s">
        <v>484</v>
      </c>
      <c r="U33" s="681">
        <v>24</v>
      </c>
      <c r="V33" s="680">
        <v>27.34</v>
      </c>
      <c r="W33" s="680" t="s">
        <v>507</v>
      </c>
      <c r="X33" s="680" t="s">
        <v>485</v>
      </c>
      <c r="Y33" s="680" t="s">
        <v>484</v>
      </c>
      <c r="Z33" s="680" t="s">
        <v>483</v>
      </c>
      <c r="AA33" s="680">
        <f>+U33*G33</f>
        <v>3288</v>
      </c>
      <c r="AB33" s="680">
        <f>+U33*H33</f>
        <v>8208</v>
      </c>
      <c r="AC33" s="680">
        <f>+U33*I33</f>
        <v>144</v>
      </c>
      <c r="AD33" s="680">
        <f>+U33*J33</f>
        <v>312</v>
      </c>
      <c r="AE33" s="680">
        <f>+U33*K33</f>
        <v>0</v>
      </c>
      <c r="AF33" s="680">
        <f>+U33*L33</f>
        <v>0</v>
      </c>
      <c r="AG33" s="680">
        <f>+U33*M33</f>
        <v>0</v>
      </c>
      <c r="AH33" s="680">
        <f>+U33*N33</f>
        <v>0</v>
      </c>
      <c r="AI33" s="681">
        <f>+U33*O33</f>
        <v>3432</v>
      </c>
      <c r="AJ33" s="681">
        <f>+U33*P33</f>
        <v>8520</v>
      </c>
    </row>
    <row r="34" spans="1:36" hidden="1">
      <c r="A34" s="680">
        <v>2212001046</v>
      </c>
      <c r="B34" s="680" t="s">
        <v>328</v>
      </c>
      <c r="C34" s="680" t="s">
        <v>510</v>
      </c>
      <c r="D34" s="680" t="s">
        <v>509</v>
      </c>
      <c r="E34" s="680" t="s">
        <v>489</v>
      </c>
      <c r="F34" s="680" t="s">
        <v>488</v>
      </c>
      <c r="G34" s="680">
        <v>111</v>
      </c>
      <c r="H34" s="680">
        <v>276</v>
      </c>
      <c r="I34" s="680">
        <v>65</v>
      </c>
      <c r="J34" s="680">
        <v>162</v>
      </c>
      <c r="K34" s="680">
        <v>0</v>
      </c>
      <c r="L34" s="680">
        <v>0</v>
      </c>
      <c r="M34" s="680">
        <v>0</v>
      </c>
      <c r="N34" s="680">
        <v>0</v>
      </c>
      <c r="O34" s="680">
        <f>+G34+I34+K34+M34</f>
        <v>176</v>
      </c>
      <c r="P34" s="680">
        <f>+H34+J34+L34+N34</f>
        <v>438</v>
      </c>
      <c r="Q34" s="680" t="s">
        <v>686</v>
      </c>
      <c r="R34" s="680" t="s">
        <v>686</v>
      </c>
      <c r="S34" s="680" t="s">
        <v>267</v>
      </c>
      <c r="T34" s="680" t="s">
        <v>484</v>
      </c>
      <c r="U34" s="681">
        <v>320</v>
      </c>
      <c r="V34" s="680">
        <v>336.87</v>
      </c>
      <c r="W34" s="680" t="s">
        <v>634</v>
      </c>
      <c r="X34" s="680" t="s">
        <v>485</v>
      </c>
      <c r="Y34" s="680" t="s">
        <v>484</v>
      </c>
      <c r="Z34" s="680" t="s">
        <v>483</v>
      </c>
      <c r="AA34" s="680">
        <f>+U34*G34</f>
        <v>35520</v>
      </c>
      <c r="AB34" s="680">
        <f>+U34*H34</f>
        <v>88320</v>
      </c>
      <c r="AC34" s="680">
        <f>+U34*I34</f>
        <v>20800</v>
      </c>
      <c r="AD34" s="680">
        <f>+U34*J34</f>
        <v>51840</v>
      </c>
      <c r="AE34" s="680">
        <f>+U34*K34</f>
        <v>0</v>
      </c>
      <c r="AF34" s="680">
        <f>+U34*L34</f>
        <v>0</v>
      </c>
      <c r="AG34" s="680">
        <f>+U34*M34</f>
        <v>0</v>
      </c>
      <c r="AH34" s="680">
        <f>+U34*N34</f>
        <v>0</v>
      </c>
      <c r="AI34" s="681">
        <f>+U34*O34</f>
        <v>56320</v>
      </c>
      <c r="AJ34" s="681">
        <f>+U34*P34</f>
        <v>140160</v>
      </c>
    </row>
    <row r="35" spans="1:36" hidden="1">
      <c r="A35" s="680">
        <v>2212001047</v>
      </c>
      <c r="B35" s="680" t="s">
        <v>685</v>
      </c>
      <c r="C35" s="680" t="s">
        <v>510</v>
      </c>
      <c r="D35" s="680" t="s">
        <v>509</v>
      </c>
      <c r="E35" s="680" t="s">
        <v>489</v>
      </c>
      <c r="F35" s="680" t="s">
        <v>488</v>
      </c>
      <c r="G35" s="680">
        <v>3000</v>
      </c>
      <c r="H35" s="680">
        <v>7500</v>
      </c>
      <c r="I35" s="680">
        <v>3360</v>
      </c>
      <c r="J35" s="680">
        <v>8400</v>
      </c>
      <c r="K35" s="680">
        <v>0</v>
      </c>
      <c r="L35" s="680">
        <v>0</v>
      </c>
      <c r="M35" s="680">
        <v>0</v>
      </c>
      <c r="N35" s="680">
        <v>0</v>
      </c>
      <c r="O35" s="680">
        <f>+G35+I35+K35+M35</f>
        <v>6360</v>
      </c>
      <c r="P35" s="680">
        <f>+H35+J35+L35+N35</f>
        <v>15900</v>
      </c>
      <c r="Q35" s="680" t="s">
        <v>659</v>
      </c>
      <c r="R35" s="680" t="s">
        <v>659</v>
      </c>
      <c r="S35" s="680" t="s">
        <v>8</v>
      </c>
      <c r="T35" s="680" t="s">
        <v>684</v>
      </c>
      <c r="U35" s="681">
        <v>2</v>
      </c>
      <c r="V35" s="680">
        <v>2.1800000000000002</v>
      </c>
      <c r="W35" s="680" t="s">
        <v>661</v>
      </c>
      <c r="X35" s="680" t="s">
        <v>485</v>
      </c>
      <c r="Y35" s="680" t="s">
        <v>484</v>
      </c>
      <c r="Z35" s="680" t="s">
        <v>483</v>
      </c>
      <c r="AA35" s="680">
        <f>+U35*G35</f>
        <v>6000</v>
      </c>
      <c r="AB35" s="680">
        <f>+U35*H35</f>
        <v>15000</v>
      </c>
      <c r="AC35" s="680">
        <f>+U35*I35</f>
        <v>6720</v>
      </c>
      <c r="AD35" s="680">
        <f>+U35*J35</f>
        <v>16800</v>
      </c>
      <c r="AE35" s="680">
        <f>+U35*K35</f>
        <v>0</v>
      </c>
      <c r="AF35" s="680">
        <f>+U35*L35</f>
        <v>0</v>
      </c>
      <c r="AG35" s="680">
        <f>+U35*M35</f>
        <v>0</v>
      </c>
      <c r="AH35" s="680">
        <f>+U35*N35</f>
        <v>0</v>
      </c>
      <c r="AI35" s="681">
        <f>+U35*O35</f>
        <v>12720</v>
      </c>
      <c r="AJ35" s="681">
        <f>+U35*P35</f>
        <v>31800</v>
      </c>
    </row>
    <row r="36" spans="1:36" hidden="1">
      <c r="A36" s="680">
        <v>2212001048</v>
      </c>
      <c r="B36" s="680" t="s">
        <v>683</v>
      </c>
      <c r="C36" s="680" t="s">
        <v>510</v>
      </c>
      <c r="D36" s="680" t="s">
        <v>509</v>
      </c>
      <c r="E36" s="680" t="s">
        <v>489</v>
      </c>
      <c r="F36" s="680" t="s">
        <v>488</v>
      </c>
      <c r="G36" s="680">
        <v>0</v>
      </c>
      <c r="H36" s="680">
        <v>0</v>
      </c>
      <c r="I36" s="680">
        <v>29</v>
      </c>
      <c r="J36" s="680">
        <v>72</v>
      </c>
      <c r="K36" s="680">
        <v>0</v>
      </c>
      <c r="L36" s="680">
        <v>0</v>
      </c>
      <c r="M36" s="680">
        <v>0</v>
      </c>
      <c r="N36" s="680">
        <v>0</v>
      </c>
      <c r="O36" s="680">
        <f>+G36+I36+K36+M36</f>
        <v>29</v>
      </c>
      <c r="P36" s="680">
        <f>+H36+J36+L36+N36</f>
        <v>72</v>
      </c>
      <c r="Q36" s="680" t="s">
        <v>682</v>
      </c>
      <c r="R36" s="680" t="s">
        <v>682</v>
      </c>
      <c r="S36" s="680" t="s">
        <v>267</v>
      </c>
      <c r="T36" s="680" t="s">
        <v>484</v>
      </c>
      <c r="U36" s="681">
        <v>77</v>
      </c>
      <c r="V36" s="680">
        <v>83.42</v>
      </c>
      <c r="W36" s="680" t="s">
        <v>507</v>
      </c>
      <c r="X36" s="680" t="s">
        <v>485</v>
      </c>
      <c r="Y36" s="680" t="s">
        <v>484</v>
      </c>
      <c r="Z36" s="680" t="s">
        <v>483</v>
      </c>
      <c r="AA36" s="680">
        <f>+U36*G36</f>
        <v>0</v>
      </c>
      <c r="AB36" s="680">
        <f>+U36*H36</f>
        <v>0</v>
      </c>
      <c r="AC36" s="680">
        <f>+U36*I36</f>
        <v>2233</v>
      </c>
      <c r="AD36" s="680">
        <f>+U36*J36</f>
        <v>5544</v>
      </c>
      <c r="AE36" s="680">
        <f>+U36*K36</f>
        <v>0</v>
      </c>
      <c r="AF36" s="680">
        <f>+U36*L36</f>
        <v>0</v>
      </c>
      <c r="AG36" s="680">
        <f>+U36*M36</f>
        <v>0</v>
      </c>
      <c r="AH36" s="680">
        <f>+U36*N36</f>
        <v>0</v>
      </c>
      <c r="AI36" s="681">
        <f>+U36*O36</f>
        <v>2233</v>
      </c>
      <c r="AJ36" s="681">
        <f>+U36*P36</f>
        <v>5544</v>
      </c>
    </row>
    <row r="37" spans="1:36" hidden="1">
      <c r="A37" s="680">
        <v>2212001049</v>
      </c>
      <c r="B37" s="680" t="s">
        <v>330</v>
      </c>
      <c r="C37" s="680" t="s">
        <v>491</v>
      </c>
      <c r="D37" s="680" t="s">
        <v>490</v>
      </c>
      <c r="E37" s="680" t="s">
        <v>489</v>
      </c>
      <c r="F37" s="680" t="s">
        <v>488</v>
      </c>
      <c r="G37" s="680">
        <v>34</v>
      </c>
      <c r="H37" s="680">
        <v>84</v>
      </c>
      <c r="I37" s="680">
        <v>18</v>
      </c>
      <c r="J37" s="680">
        <v>43</v>
      </c>
      <c r="K37" s="680">
        <v>0</v>
      </c>
      <c r="L37" s="680">
        <v>0</v>
      </c>
      <c r="M37" s="680">
        <v>0</v>
      </c>
      <c r="N37" s="680">
        <v>0</v>
      </c>
      <c r="O37" s="680">
        <f>+G37+I37+K37+M37</f>
        <v>52</v>
      </c>
      <c r="P37" s="680">
        <f>+H37+J37+L37+N37</f>
        <v>127</v>
      </c>
      <c r="Q37" s="680" t="s">
        <v>681</v>
      </c>
      <c r="R37" s="680" t="s">
        <v>681</v>
      </c>
      <c r="S37" s="680" t="s">
        <v>296</v>
      </c>
      <c r="T37" s="680" t="s">
        <v>484</v>
      </c>
      <c r="U37" s="681">
        <v>265</v>
      </c>
      <c r="V37" s="680">
        <v>290.62</v>
      </c>
      <c r="W37" s="680" t="s">
        <v>611</v>
      </c>
      <c r="X37" s="680" t="s">
        <v>485</v>
      </c>
      <c r="Y37" s="680" t="s">
        <v>484</v>
      </c>
      <c r="Z37" s="680" t="s">
        <v>483</v>
      </c>
      <c r="AA37" s="680">
        <f>+U37*G37</f>
        <v>9010</v>
      </c>
      <c r="AB37" s="680">
        <f>+U37*H37</f>
        <v>22260</v>
      </c>
      <c r="AC37" s="680">
        <f>+U37*I37</f>
        <v>4770</v>
      </c>
      <c r="AD37" s="680">
        <f>+U37*J37</f>
        <v>11395</v>
      </c>
      <c r="AE37" s="680">
        <f>+U37*K37</f>
        <v>0</v>
      </c>
      <c r="AF37" s="680">
        <f>+U37*L37</f>
        <v>0</v>
      </c>
      <c r="AG37" s="680">
        <f>+U37*M37</f>
        <v>0</v>
      </c>
      <c r="AH37" s="680">
        <f>+U37*N37</f>
        <v>0</v>
      </c>
      <c r="AI37" s="681">
        <f>+U37*O37</f>
        <v>13780</v>
      </c>
      <c r="AJ37" s="681">
        <f>+U37*P37</f>
        <v>33655</v>
      </c>
    </row>
    <row r="38" spans="1:36" hidden="1">
      <c r="A38" s="680">
        <v>2212001050</v>
      </c>
      <c r="B38" s="680" t="s">
        <v>331</v>
      </c>
      <c r="C38" s="680" t="s">
        <v>510</v>
      </c>
      <c r="D38" s="680" t="s">
        <v>509</v>
      </c>
      <c r="E38" s="680" t="s">
        <v>489</v>
      </c>
      <c r="F38" s="680" t="s">
        <v>488</v>
      </c>
      <c r="G38" s="680">
        <v>15</v>
      </c>
      <c r="H38" s="680">
        <v>36</v>
      </c>
      <c r="I38" s="680">
        <v>0</v>
      </c>
      <c r="J38" s="680">
        <v>0</v>
      </c>
      <c r="K38" s="680">
        <v>0</v>
      </c>
      <c r="L38" s="680">
        <v>0</v>
      </c>
      <c r="M38" s="680">
        <v>0</v>
      </c>
      <c r="N38" s="680">
        <v>0</v>
      </c>
      <c r="O38" s="680">
        <f>+G38+I38+K38+M38</f>
        <v>15</v>
      </c>
      <c r="P38" s="680">
        <f>+H38+J38+L38+N38</f>
        <v>36</v>
      </c>
      <c r="Q38" s="680" t="s">
        <v>627</v>
      </c>
      <c r="R38" s="680" t="s">
        <v>627</v>
      </c>
      <c r="S38" s="680" t="s">
        <v>267</v>
      </c>
      <c r="T38" s="680" t="s">
        <v>680</v>
      </c>
      <c r="U38" s="681">
        <v>140</v>
      </c>
      <c r="V38" s="680">
        <v>153.07</v>
      </c>
      <c r="W38" s="680" t="s">
        <v>507</v>
      </c>
      <c r="X38" s="680" t="s">
        <v>485</v>
      </c>
      <c r="Y38" s="680" t="s">
        <v>484</v>
      </c>
      <c r="Z38" s="680" t="s">
        <v>483</v>
      </c>
      <c r="AA38" s="680">
        <f>+U38*G38</f>
        <v>2100</v>
      </c>
      <c r="AB38" s="680">
        <f>+U38*H38</f>
        <v>5040</v>
      </c>
      <c r="AC38" s="680">
        <f>+U38*I38</f>
        <v>0</v>
      </c>
      <c r="AD38" s="680">
        <f>+U38*J38</f>
        <v>0</v>
      </c>
      <c r="AE38" s="680">
        <f>+U38*K38</f>
        <v>0</v>
      </c>
      <c r="AF38" s="680">
        <f>+U38*L38</f>
        <v>0</v>
      </c>
      <c r="AG38" s="680">
        <f>+U38*M38</f>
        <v>0</v>
      </c>
      <c r="AH38" s="680">
        <f>+U38*N38</f>
        <v>0</v>
      </c>
      <c r="AI38" s="681">
        <f>+U38*O38</f>
        <v>2100</v>
      </c>
      <c r="AJ38" s="681">
        <f>+U38*P38</f>
        <v>5040</v>
      </c>
    </row>
    <row r="39" spans="1:36" hidden="1">
      <c r="A39" s="680">
        <v>2212001051</v>
      </c>
      <c r="B39" s="680" t="s">
        <v>332</v>
      </c>
      <c r="C39" s="680" t="s">
        <v>503</v>
      </c>
      <c r="D39" s="680" t="s">
        <v>502</v>
      </c>
      <c r="E39" s="680" t="s">
        <v>489</v>
      </c>
      <c r="F39" s="680" t="s">
        <v>488</v>
      </c>
      <c r="G39" s="680">
        <v>27</v>
      </c>
      <c r="H39" s="680">
        <v>66</v>
      </c>
      <c r="I39" s="680">
        <v>65</v>
      </c>
      <c r="J39" s="680">
        <v>162</v>
      </c>
      <c r="K39" s="680">
        <v>0</v>
      </c>
      <c r="L39" s="680">
        <v>0</v>
      </c>
      <c r="M39" s="680">
        <v>0</v>
      </c>
      <c r="N39" s="680">
        <v>0</v>
      </c>
      <c r="O39" s="680">
        <f>+G39+I39+K39+M39</f>
        <v>92</v>
      </c>
      <c r="P39" s="680">
        <f>+H39+J39+L39+N39</f>
        <v>228</v>
      </c>
      <c r="Q39" s="680" t="s">
        <v>627</v>
      </c>
      <c r="R39" s="680" t="s">
        <v>627</v>
      </c>
      <c r="S39" s="680" t="s">
        <v>423</v>
      </c>
      <c r="T39" s="680" t="s">
        <v>484</v>
      </c>
      <c r="U39" s="681">
        <v>29</v>
      </c>
      <c r="V39" s="680">
        <v>32.6</v>
      </c>
      <c r="W39" s="680" t="s">
        <v>634</v>
      </c>
      <c r="X39" s="680" t="s">
        <v>485</v>
      </c>
      <c r="Y39" s="680" t="s">
        <v>484</v>
      </c>
      <c r="Z39" s="680" t="s">
        <v>483</v>
      </c>
      <c r="AA39" s="680">
        <f>+U39*G39</f>
        <v>783</v>
      </c>
      <c r="AB39" s="680">
        <f>+U39*H39</f>
        <v>1914</v>
      </c>
      <c r="AC39" s="680">
        <f>+U39*I39</f>
        <v>1885</v>
      </c>
      <c r="AD39" s="680">
        <f>+U39*J39</f>
        <v>4698</v>
      </c>
      <c r="AE39" s="680">
        <f>+U39*K39</f>
        <v>0</v>
      </c>
      <c r="AF39" s="680">
        <f>+U39*L39</f>
        <v>0</v>
      </c>
      <c r="AG39" s="680">
        <f>+U39*M39</f>
        <v>0</v>
      </c>
      <c r="AH39" s="680">
        <f>+U39*N39</f>
        <v>0</v>
      </c>
      <c r="AI39" s="681">
        <f>+U39*O39</f>
        <v>2668</v>
      </c>
      <c r="AJ39" s="681">
        <f>+U39*P39</f>
        <v>6612</v>
      </c>
    </row>
    <row r="40" spans="1:36" hidden="1">
      <c r="A40" s="680">
        <v>2212001053</v>
      </c>
      <c r="B40" s="680" t="s">
        <v>679</v>
      </c>
      <c r="C40" s="680" t="s">
        <v>491</v>
      </c>
      <c r="D40" s="680" t="s">
        <v>490</v>
      </c>
      <c r="E40" s="680" t="s">
        <v>489</v>
      </c>
      <c r="F40" s="680" t="s">
        <v>488</v>
      </c>
      <c r="G40" s="680">
        <v>15</v>
      </c>
      <c r="H40" s="680">
        <v>36</v>
      </c>
      <c r="I40" s="680">
        <v>0</v>
      </c>
      <c r="J40" s="680">
        <v>0</v>
      </c>
      <c r="K40" s="680">
        <v>0</v>
      </c>
      <c r="L40" s="680">
        <v>0</v>
      </c>
      <c r="M40" s="680">
        <v>0</v>
      </c>
      <c r="N40" s="680">
        <v>0</v>
      </c>
      <c r="O40" s="680">
        <f>+G40+I40+K40+M40</f>
        <v>15</v>
      </c>
      <c r="P40" s="680">
        <f>+H40+J40+L40+N40</f>
        <v>36</v>
      </c>
      <c r="Q40" s="680" t="s">
        <v>644</v>
      </c>
      <c r="R40" s="680" t="s">
        <v>644</v>
      </c>
      <c r="S40" s="680" t="s">
        <v>313</v>
      </c>
      <c r="T40" s="680" t="s">
        <v>484</v>
      </c>
      <c r="U40" s="681">
        <v>147.85</v>
      </c>
      <c r="V40" s="680">
        <v>163</v>
      </c>
      <c r="W40" s="680" t="s">
        <v>643</v>
      </c>
      <c r="X40" s="680" t="s">
        <v>485</v>
      </c>
      <c r="Y40" s="680" t="s">
        <v>484</v>
      </c>
      <c r="Z40" s="680" t="s">
        <v>483</v>
      </c>
      <c r="AA40" s="680">
        <f>+U40*G40</f>
        <v>2217.75</v>
      </c>
      <c r="AB40" s="680">
        <f>+U40*H40</f>
        <v>5322.5999999999995</v>
      </c>
      <c r="AC40" s="680">
        <f>+U40*I40</f>
        <v>0</v>
      </c>
      <c r="AD40" s="680">
        <f>+U40*J40</f>
        <v>0</v>
      </c>
      <c r="AE40" s="680">
        <f>+U40*K40</f>
        <v>0</v>
      </c>
      <c r="AF40" s="680">
        <f>+U40*L40</f>
        <v>0</v>
      </c>
      <c r="AG40" s="680">
        <f>+U40*M40</f>
        <v>0</v>
      </c>
      <c r="AH40" s="680">
        <f>+U40*N40</f>
        <v>0</v>
      </c>
      <c r="AI40" s="681">
        <f>+U40*O40</f>
        <v>2217.75</v>
      </c>
      <c r="AJ40" s="681">
        <f>+U40*P40</f>
        <v>5322.5999999999995</v>
      </c>
    </row>
    <row r="41" spans="1:36" hidden="1">
      <c r="A41" s="680">
        <v>2212001054</v>
      </c>
      <c r="B41" s="680" t="s">
        <v>678</v>
      </c>
      <c r="C41" s="680" t="s">
        <v>491</v>
      </c>
      <c r="D41" s="680" t="s">
        <v>490</v>
      </c>
      <c r="E41" s="680" t="s">
        <v>489</v>
      </c>
      <c r="F41" s="680" t="s">
        <v>488</v>
      </c>
      <c r="G41" s="680">
        <v>51</v>
      </c>
      <c r="H41" s="680">
        <v>126</v>
      </c>
      <c r="I41" s="680">
        <v>65</v>
      </c>
      <c r="J41" s="680">
        <v>162</v>
      </c>
      <c r="K41" s="680">
        <v>0</v>
      </c>
      <c r="L41" s="680">
        <v>0</v>
      </c>
      <c r="M41" s="680">
        <v>0</v>
      </c>
      <c r="N41" s="680">
        <v>0</v>
      </c>
      <c r="O41" s="680">
        <f>+G41+I41+K41+M41</f>
        <v>116</v>
      </c>
      <c r="P41" s="680">
        <f>+H41+J41+L41+N41</f>
        <v>288</v>
      </c>
      <c r="Q41" s="680" t="s">
        <v>644</v>
      </c>
      <c r="R41" s="680" t="s">
        <v>644</v>
      </c>
      <c r="S41" s="680" t="s">
        <v>313</v>
      </c>
      <c r="T41" s="680" t="s">
        <v>484</v>
      </c>
      <c r="U41" s="681">
        <v>147.85</v>
      </c>
      <c r="V41" s="680">
        <v>162.5</v>
      </c>
      <c r="W41" s="680" t="s">
        <v>643</v>
      </c>
      <c r="X41" s="680" t="s">
        <v>485</v>
      </c>
      <c r="Y41" s="680" t="s">
        <v>484</v>
      </c>
      <c r="Z41" s="680" t="s">
        <v>483</v>
      </c>
      <c r="AA41" s="680">
        <f>+U41*G41</f>
        <v>7540.3499999999995</v>
      </c>
      <c r="AB41" s="680">
        <f>+U41*H41</f>
        <v>18629.099999999999</v>
      </c>
      <c r="AC41" s="680">
        <f>+U41*I41</f>
        <v>9610.25</v>
      </c>
      <c r="AD41" s="680">
        <f>+U41*J41</f>
        <v>23951.7</v>
      </c>
      <c r="AE41" s="680">
        <f>+U41*K41</f>
        <v>0</v>
      </c>
      <c r="AF41" s="680">
        <f>+U41*L41</f>
        <v>0</v>
      </c>
      <c r="AG41" s="680">
        <f>+U41*M41</f>
        <v>0</v>
      </c>
      <c r="AH41" s="680">
        <f>+U41*N41</f>
        <v>0</v>
      </c>
      <c r="AI41" s="681">
        <f>+U41*O41</f>
        <v>17150.599999999999</v>
      </c>
      <c r="AJ41" s="681">
        <f>+U41*P41</f>
        <v>42580.799999999996</v>
      </c>
    </row>
    <row r="42" spans="1:36" hidden="1">
      <c r="A42" s="680">
        <v>2212001055</v>
      </c>
      <c r="B42" s="680" t="s">
        <v>677</v>
      </c>
      <c r="C42" s="680" t="s">
        <v>491</v>
      </c>
      <c r="D42" s="680" t="s">
        <v>490</v>
      </c>
      <c r="E42" s="680" t="s">
        <v>489</v>
      </c>
      <c r="F42" s="680" t="s">
        <v>488</v>
      </c>
      <c r="G42" s="680">
        <v>48</v>
      </c>
      <c r="H42" s="680">
        <v>120</v>
      </c>
      <c r="I42" s="680">
        <v>13</v>
      </c>
      <c r="J42" s="680">
        <v>32</v>
      </c>
      <c r="K42" s="680">
        <v>0</v>
      </c>
      <c r="L42" s="680">
        <v>0</v>
      </c>
      <c r="M42" s="680">
        <v>0</v>
      </c>
      <c r="N42" s="680">
        <v>0</v>
      </c>
      <c r="O42" s="680">
        <f>+G42+I42+K42+M42</f>
        <v>61</v>
      </c>
      <c r="P42" s="680">
        <f>+H42+J42+L42+N42</f>
        <v>152</v>
      </c>
      <c r="Q42" s="680" t="s">
        <v>644</v>
      </c>
      <c r="R42" s="680" t="s">
        <v>644</v>
      </c>
      <c r="S42" s="680" t="s">
        <v>313</v>
      </c>
      <c r="T42" s="680" t="s">
        <v>484</v>
      </c>
      <c r="U42" s="681">
        <v>147.85</v>
      </c>
      <c r="V42" s="680">
        <v>164.5</v>
      </c>
      <c r="W42" s="680" t="s">
        <v>643</v>
      </c>
      <c r="X42" s="680" t="s">
        <v>485</v>
      </c>
      <c r="Y42" s="680" t="s">
        <v>484</v>
      </c>
      <c r="Z42" s="680" t="s">
        <v>483</v>
      </c>
      <c r="AA42" s="680">
        <f>+U42*G42</f>
        <v>7096.7999999999993</v>
      </c>
      <c r="AB42" s="680">
        <f>+U42*H42</f>
        <v>17742</v>
      </c>
      <c r="AC42" s="680">
        <f>+U42*I42</f>
        <v>1922.05</v>
      </c>
      <c r="AD42" s="680">
        <f>+U42*J42</f>
        <v>4731.2</v>
      </c>
      <c r="AE42" s="680">
        <f>+U42*K42</f>
        <v>0</v>
      </c>
      <c r="AF42" s="680">
        <f>+U42*L42</f>
        <v>0</v>
      </c>
      <c r="AG42" s="680">
        <f>+U42*M42</f>
        <v>0</v>
      </c>
      <c r="AH42" s="680">
        <f>+U42*N42</f>
        <v>0</v>
      </c>
      <c r="AI42" s="681">
        <f>+U42*O42</f>
        <v>9018.85</v>
      </c>
      <c r="AJ42" s="681">
        <f>+U42*P42</f>
        <v>22473.200000000001</v>
      </c>
    </row>
    <row r="43" spans="1:36" hidden="1">
      <c r="A43" s="680">
        <v>2212001058</v>
      </c>
      <c r="B43" s="680" t="s">
        <v>676</v>
      </c>
      <c r="C43" s="680" t="s">
        <v>491</v>
      </c>
      <c r="D43" s="680" t="s">
        <v>490</v>
      </c>
      <c r="E43" s="680" t="s">
        <v>489</v>
      </c>
      <c r="F43" s="680" t="s">
        <v>488</v>
      </c>
      <c r="G43" s="680">
        <v>5</v>
      </c>
      <c r="H43" s="680">
        <v>12</v>
      </c>
      <c r="I43" s="680">
        <v>408</v>
      </c>
      <c r="J43" s="680">
        <v>1020</v>
      </c>
      <c r="K43" s="680">
        <v>0</v>
      </c>
      <c r="L43" s="680">
        <v>0</v>
      </c>
      <c r="M43" s="680">
        <v>0</v>
      </c>
      <c r="N43" s="680">
        <v>0</v>
      </c>
      <c r="O43" s="680">
        <f>+G43+I43+K43+M43</f>
        <v>413</v>
      </c>
      <c r="P43" s="680">
        <f>+H43+J43+L43+N43</f>
        <v>1032</v>
      </c>
      <c r="Q43" s="680" t="s">
        <v>675</v>
      </c>
      <c r="R43" s="680" t="s">
        <v>675</v>
      </c>
      <c r="S43" s="680" t="s">
        <v>296</v>
      </c>
      <c r="T43" s="680" t="s">
        <v>484</v>
      </c>
      <c r="U43" s="681">
        <v>60</v>
      </c>
      <c r="V43" s="680">
        <v>66.7</v>
      </c>
      <c r="W43" s="680" t="s">
        <v>611</v>
      </c>
      <c r="X43" s="680" t="s">
        <v>485</v>
      </c>
      <c r="Y43" s="680" t="s">
        <v>484</v>
      </c>
      <c r="Z43" s="680" t="s">
        <v>483</v>
      </c>
      <c r="AA43" s="680">
        <f>+U43*G43</f>
        <v>300</v>
      </c>
      <c r="AB43" s="680">
        <f>+U43*H43</f>
        <v>720</v>
      </c>
      <c r="AC43" s="680">
        <f>+U43*I43</f>
        <v>24480</v>
      </c>
      <c r="AD43" s="680">
        <f>+U43*J43</f>
        <v>61200</v>
      </c>
      <c r="AE43" s="680">
        <f>+U43*K43</f>
        <v>0</v>
      </c>
      <c r="AF43" s="680">
        <f>+U43*L43</f>
        <v>0</v>
      </c>
      <c r="AG43" s="680">
        <f>+U43*M43</f>
        <v>0</v>
      </c>
      <c r="AH43" s="680">
        <f>+U43*N43</f>
        <v>0</v>
      </c>
      <c r="AI43" s="681">
        <f>+U43*O43</f>
        <v>24780</v>
      </c>
      <c r="AJ43" s="681">
        <f>+U43*P43</f>
        <v>61920</v>
      </c>
    </row>
    <row r="44" spans="1:36" hidden="1">
      <c r="A44" s="680">
        <v>2212001062</v>
      </c>
      <c r="B44" s="680" t="s">
        <v>339</v>
      </c>
      <c r="C44" s="680" t="s">
        <v>510</v>
      </c>
      <c r="D44" s="680" t="s">
        <v>509</v>
      </c>
      <c r="E44" s="680" t="s">
        <v>489</v>
      </c>
      <c r="F44" s="680" t="s">
        <v>488</v>
      </c>
      <c r="G44" s="680">
        <v>574</v>
      </c>
      <c r="H44" s="680">
        <v>1434</v>
      </c>
      <c r="I44" s="680">
        <v>0</v>
      </c>
      <c r="J44" s="680">
        <v>0</v>
      </c>
      <c r="K44" s="680">
        <v>0</v>
      </c>
      <c r="L44" s="680">
        <v>0</v>
      </c>
      <c r="M44" s="680">
        <v>0</v>
      </c>
      <c r="N44" s="680">
        <v>0</v>
      </c>
      <c r="O44" s="680">
        <f>+G44+I44+K44+M44</f>
        <v>574</v>
      </c>
      <c r="P44" s="680">
        <f>+H44+J44+L44+N44</f>
        <v>1434</v>
      </c>
      <c r="Q44" s="680" t="s">
        <v>674</v>
      </c>
      <c r="R44" s="680" t="s">
        <v>674</v>
      </c>
      <c r="S44" s="680" t="s">
        <v>6</v>
      </c>
      <c r="T44" s="680" t="s">
        <v>484</v>
      </c>
      <c r="U44" s="681">
        <v>12</v>
      </c>
      <c r="V44" s="680">
        <v>14.13</v>
      </c>
      <c r="W44" s="680" t="s">
        <v>507</v>
      </c>
      <c r="X44" s="680" t="s">
        <v>485</v>
      </c>
      <c r="Y44" s="680" t="s">
        <v>484</v>
      </c>
      <c r="Z44" s="680" t="s">
        <v>483</v>
      </c>
      <c r="AA44" s="680">
        <f>+U44*G44</f>
        <v>6888</v>
      </c>
      <c r="AB44" s="680">
        <f>+U44*H44</f>
        <v>17208</v>
      </c>
      <c r="AC44" s="680">
        <f>+U44*I44</f>
        <v>0</v>
      </c>
      <c r="AD44" s="680">
        <f>+U44*J44</f>
        <v>0</v>
      </c>
      <c r="AE44" s="680">
        <f>+U44*K44</f>
        <v>0</v>
      </c>
      <c r="AF44" s="680">
        <f>+U44*L44</f>
        <v>0</v>
      </c>
      <c r="AG44" s="680">
        <f>+U44*M44</f>
        <v>0</v>
      </c>
      <c r="AH44" s="680">
        <f>+U44*N44</f>
        <v>0</v>
      </c>
      <c r="AI44" s="681">
        <f>+U44*O44</f>
        <v>6888</v>
      </c>
      <c r="AJ44" s="681">
        <f>+U44*P44</f>
        <v>17208</v>
      </c>
    </row>
    <row r="45" spans="1:36" hidden="1">
      <c r="A45" s="680">
        <v>2212001063</v>
      </c>
      <c r="B45" s="680" t="s">
        <v>340</v>
      </c>
      <c r="C45" s="680" t="s">
        <v>491</v>
      </c>
      <c r="D45" s="680" t="s">
        <v>490</v>
      </c>
      <c r="E45" s="680" t="s">
        <v>489</v>
      </c>
      <c r="F45" s="680" t="s">
        <v>488</v>
      </c>
      <c r="G45" s="680">
        <v>8</v>
      </c>
      <c r="H45" s="680">
        <v>18</v>
      </c>
      <c r="I45" s="680">
        <v>162</v>
      </c>
      <c r="J45" s="680">
        <v>405</v>
      </c>
      <c r="K45" s="680">
        <v>0</v>
      </c>
      <c r="L45" s="680">
        <v>0</v>
      </c>
      <c r="M45" s="680">
        <v>0</v>
      </c>
      <c r="N45" s="680">
        <v>0</v>
      </c>
      <c r="O45" s="680">
        <f>+G45+I45+K45+M45</f>
        <v>170</v>
      </c>
      <c r="P45" s="680">
        <f>+H45+J45+L45+N45</f>
        <v>423</v>
      </c>
      <c r="Q45" s="680" t="s">
        <v>673</v>
      </c>
      <c r="R45" s="680" t="s">
        <v>673</v>
      </c>
      <c r="S45" s="680" t="s">
        <v>6</v>
      </c>
      <c r="T45" s="680" t="s">
        <v>484</v>
      </c>
      <c r="U45" s="681">
        <v>14</v>
      </c>
      <c r="V45" s="680">
        <v>14.09</v>
      </c>
      <c r="W45" s="680" t="s">
        <v>513</v>
      </c>
      <c r="X45" s="680" t="s">
        <v>485</v>
      </c>
      <c r="Y45" s="680" t="s">
        <v>484</v>
      </c>
      <c r="Z45" s="680" t="s">
        <v>483</v>
      </c>
      <c r="AA45" s="680">
        <f>+U45*G45</f>
        <v>112</v>
      </c>
      <c r="AB45" s="680">
        <f>+U45*H45</f>
        <v>252</v>
      </c>
      <c r="AC45" s="680">
        <f>+U45*I45</f>
        <v>2268</v>
      </c>
      <c r="AD45" s="680">
        <f>+U45*J45</f>
        <v>5670</v>
      </c>
      <c r="AE45" s="680">
        <f>+U45*K45</f>
        <v>0</v>
      </c>
      <c r="AF45" s="680">
        <f>+U45*L45</f>
        <v>0</v>
      </c>
      <c r="AG45" s="680">
        <f>+U45*M45</f>
        <v>0</v>
      </c>
      <c r="AH45" s="680">
        <f>+U45*N45</f>
        <v>0</v>
      </c>
      <c r="AI45" s="681">
        <f>+U45*O45</f>
        <v>2380</v>
      </c>
      <c r="AJ45" s="681">
        <f>+U45*P45</f>
        <v>5922</v>
      </c>
    </row>
    <row r="46" spans="1:36" hidden="1">
      <c r="A46" s="680">
        <v>2212001064</v>
      </c>
      <c r="B46" s="680" t="s">
        <v>672</v>
      </c>
      <c r="C46" s="680" t="s">
        <v>510</v>
      </c>
      <c r="D46" s="680" t="s">
        <v>509</v>
      </c>
      <c r="E46" s="680" t="s">
        <v>489</v>
      </c>
      <c r="F46" s="680" t="s">
        <v>488</v>
      </c>
      <c r="G46" s="680">
        <v>0</v>
      </c>
      <c r="H46" s="680">
        <v>0</v>
      </c>
      <c r="I46" s="680">
        <v>44</v>
      </c>
      <c r="J46" s="680">
        <v>108</v>
      </c>
      <c r="K46" s="680">
        <v>0</v>
      </c>
      <c r="L46" s="680">
        <v>0</v>
      </c>
      <c r="M46" s="680">
        <v>0</v>
      </c>
      <c r="N46" s="680">
        <v>0</v>
      </c>
      <c r="O46" s="680">
        <f>+G46+I46+K46+M46</f>
        <v>44</v>
      </c>
      <c r="P46" s="680">
        <f>+H46+J46+L46+N46</f>
        <v>108</v>
      </c>
      <c r="Q46" s="680" t="s">
        <v>671</v>
      </c>
      <c r="R46" s="680" t="s">
        <v>671</v>
      </c>
      <c r="S46" s="680" t="s">
        <v>171</v>
      </c>
      <c r="T46" s="680" t="s">
        <v>484</v>
      </c>
      <c r="U46" s="681">
        <v>29</v>
      </c>
      <c r="V46" s="680">
        <v>32.9</v>
      </c>
      <c r="W46" s="680" t="s">
        <v>507</v>
      </c>
      <c r="X46" s="680" t="s">
        <v>485</v>
      </c>
      <c r="Y46" s="680" t="s">
        <v>484</v>
      </c>
      <c r="Z46" s="680" t="s">
        <v>483</v>
      </c>
      <c r="AA46" s="680">
        <f>+U46*G46</f>
        <v>0</v>
      </c>
      <c r="AB46" s="680">
        <f>+U46*H46</f>
        <v>0</v>
      </c>
      <c r="AC46" s="680">
        <f>+U46*I46</f>
        <v>1276</v>
      </c>
      <c r="AD46" s="680">
        <f>+U46*J46</f>
        <v>3132</v>
      </c>
      <c r="AE46" s="680">
        <f>+U46*K46</f>
        <v>0</v>
      </c>
      <c r="AF46" s="680">
        <f>+U46*L46</f>
        <v>0</v>
      </c>
      <c r="AG46" s="680">
        <f>+U46*M46</f>
        <v>0</v>
      </c>
      <c r="AH46" s="680">
        <f>+U46*N46</f>
        <v>0</v>
      </c>
      <c r="AI46" s="681">
        <f>+U46*O46</f>
        <v>1276</v>
      </c>
      <c r="AJ46" s="681">
        <f>+U46*P46</f>
        <v>3132</v>
      </c>
    </row>
    <row r="47" spans="1:36" hidden="1">
      <c r="A47" s="680">
        <v>2212001065</v>
      </c>
      <c r="B47" s="680" t="s">
        <v>670</v>
      </c>
      <c r="C47" s="680" t="s">
        <v>491</v>
      </c>
      <c r="D47" s="680" t="s">
        <v>490</v>
      </c>
      <c r="E47" s="680" t="s">
        <v>489</v>
      </c>
      <c r="F47" s="680" t="s">
        <v>488</v>
      </c>
      <c r="G47" s="680">
        <v>2285</v>
      </c>
      <c r="H47" s="680">
        <v>5712</v>
      </c>
      <c r="I47" s="680">
        <v>180</v>
      </c>
      <c r="J47" s="680">
        <v>450</v>
      </c>
      <c r="K47" s="680">
        <v>0</v>
      </c>
      <c r="L47" s="680">
        <v>0</v>
      </c>
      <c r="M47" s="680">
        <v>0</v>
      </c>
      <c r="N47" s="680">
        <v>0</v>
      </c>
      <c r="O47" s="680">
        <f>+G47+I47+K47+M47</f>
        <v>2465</v>
      </c>
      <c r="P47" s="680">
        <f>+H47+J47+L47+N47</f>
        <v>6162</v>
      </c>
      <c r="Q47" s="680" t="s">
        <v>659</v>
      </c>
      <c r="R47" s="680" t="s">
        <v>659</v>
      </c>
      <c r="S47" s="680" t="s">
        <v>8</v>
      </c>
      <c r="T47" s="680" t="s">
        <v>484</v>
      </c>
      <c r="U47" s="681">
        <v>1.8</v>
      </c>
      <c r="V47" s="680">
        <v>1.76</v>
      </c>
      <c r="W47" s="680" t="s">
        <v>507</v>
      </c>
      <c r="X47" s="680" t="s">
        <v>485</v>
      </c>
      <c r="Y47" s="680" t="s">
        <v>484</v>
      </c>
      <c r="Z47" s="680" t="s">
        <v>483</v>
      </c>
      <c r="AA47" s="680">
        <f>+U47*G47</f>
        <v>4113</v>
      </c>
      <c r="AB47" s="680">
        <f>+U47*H47</f>
        <v>10281.6</v>
      </c>
      <c r="AC47" s="680">
        <f>+U47*I47</f>
        <v>324</v>
      </c>
      <c r="AD47" s="680">
        <f>+U47*J47</f>
        <v>810</v>
      </c>
      <c r="AE47" s="680">
        <f>+U47*K47</f>
        <v>0</v>
      </c>
      <c r="AF47" s="680">
        <f>+U47*L47</f>
        <v>0</v>
      </c>
      <c r="AG47" s="680">
        <f>+U47*M47</f>
        <v>0</v>
      </c>
      <c r="AH47" s="680">
        <f>+U47*N47</f>
        <v>0</v>
      </c>
      <c r="AI47" s="681">
        <f>+U47*O47</f>
        <v>4437</v>
      </c>
      <c r="AJ47" s="681">
        <f>+U47*P47</f>
        <v>11091.6</v>
      </c>
    </row>
    <row r="48" spans="1:36" hidden="1">
      <c r="A48" s="680">
        <v>2212001066</v>
      </c>
      <c r="B48" s="680" t="s">
        <v>342</v>
      </c>
      <c r="C48" s="680" t="s">
        <v>510</v>
      </c>
      <c r="D48" s="680" t="s">
        <v>509</v>
      </c>
      <c r="E48" s="680" t="s">
        <v>489</v>
      </c>
      <c r="F48" s="680" t="s">
        <v>488</v>
      </c>
      <c r="G48" s="680">
        <v>6</v>
      </c>
      <c r="H48" s="680">
        <v>15</v>
      </c>
      <c r="I48" s="680">
        <v>4</v>
      </c>
      <c r="J48" s="680">
        <v>11</v>
      </c>
      <c r="O48" s="680">
        <f>+G48+I48+K48+M48</f>
        <v>10</v>
      </c>
      <c r="P48" s="680">
        <f>+H48+J48+L48+N48</f>
        <v>26</v>
      </c>
      <c r="Q48" s="680" t="s">
        <v>669</v>
      </c>
      <c r="R48" s="680" t="s">
        <v>669</v>
      </c>
      <c r="S48" s="680" t="s">
        <v>171</v>
      </c>
      <c r="T48" s="680" t="s">
        <v>484</v>
      </c>
      <c r="U48" s="681">
        <v>44</v>
      </c>
      <c r="V48" s="680">
        <v>48.9</v>
      </c>
      <c r="W48" s="680" t="s">
        <v>634</v>
      </c>
      <c r="X48" s="680" t="s">
        <v>485</v>
      </c>
      <c r="Y48" s="680" t="s">
        <v>484</v>
      </c>
      <c r="Z48" s="680" t="s">
        <v>483</v>
      </c>
      <c r="AA48" s="680">
        <f>+U48*G48</f>
        <v>264</v>
      </c>
      <c r="AB48" s="680">
        <f>+U48*H48</f>
        <v>660</v>
      </c>
      <c r="AC48" s="680">
        <f>+U48*I48</f>
        <v>176</v>
      </c>
      <c r="AD48" s="680">
        <f>+U48*J48</f>
        <v>484</v>
      </c>
      <c r="AE48" s="680">
        <f>+U48*K48</f>
        <v>0</v>
      </c>
      <c r="AF48" s="680">
        <f>+U48*L48</f>
        <v>0</v>
      </c>
      <c r="AG48" s="680">
        <f>+U48*M48</f>
        <v>0</v>
      </c>
      <c r="AH48" s="680">
        <f>+U48*N48</f>
        <v>0</v>
      </c>
      <c r="AI48" s="681">
        <f>+U48*O48</f>
        <v>440</v>
      </c>
      <c r="AJ48" s="681">
        <f>+U48*P48</f>
        <v>1144</v>
      </c>
    </row>
    <row r="49" spans="1:36">
      <c r="A49" s="680">
        <v>2212001066</v>
      </c>
      <c r="B49" s="680" t="s">
        <v>342</v>
      </c>
      <c r="C49" s="680" t="s">
        <v>519</v>
      </c>
      <c r="D49" s="680" t="s">
        <v>518</v>
      </c>
      <c r="E49" s="680" t="s">
        <v>489</v>
      </c>
      <c r="F49" s="680" t="s">
        <v>488</v>
      </c>
      <c r="G49" s="680">
        <v>6</v>
      </c>
      <c r="H49" s="680">
        <v>15</v>
      </c>
      <c r="I49" s="680">
        <v>4</v>
      </c>
      <c r="J49" s="680">
        <v>11</v>
      </c>
      <c r="O49" s="680">
        <f>+G49+I49+K49+M49</f>
        <v>10</v>
      </c>
      <c r="P49" s="680">
        <f>+H49+J49+L49+N49</f>
        <v>26</v>
      </c>
      <c r="Q49" s="680" t="s">
        <v>668</v>
      </c>
      <c r="R49" s="680" t="s">
        <v>668</v>
      </c>
      <c r="S49" s="680" t="s">
        <v>171</v>
      </c>
      <c r="T49" s="680" t="s">
        <v>484</v>
      </c>
      <c r="U49" s="681">
        <v>44</v>
      </c>
      <c r="V49" s="680">
        <v>48.9</v>
      </c>
      <c r="W49" s="680" t="s">
        <v>634</v>
      </c>
      <c r="X49" s="680" t="s">
        <v>485</v>
      </c>
      <c r="Y49" s="680" t="s">
        <v>484</v>
      </c>
      <c r="Z49" s="680" t="s">
        <v>483</v>
      </c>
      <c r="AA49" s="680">
        <f>+U49*G49</f>
        <v>264</v>
      </c>
      <c r="AB49" s="680">
        <f>+U49*H49</f>
        <v>660</v>
      </c>
      <c r="AC49" s="680">
        <f>+U49*I49</f>
        <v>176</v>
      </c>
      <c r="AD49" s="680">
        <f>+U49*J49</f>
        <v>484</v>
      </c>
      <c r="AE49" s="680">
        <f>+U49*K49</f>
        <v>0</v>
      </c>
      <c r="AF49" s="680">
        <f>+U49*L49</f>
        <v>0</v>
      </c>
      <c r="AG49" s="680">
        <f>+U49*M49</f>
        <v>0</v>
      </c>
      <c r="AH49" s="680">
        <f>+U49*N49</f>
        <v>0</v>
      </c>
      <c r="AI49" s="681">
        <f>+U49*O49</f>
        <v>440</v>
      </c>
      <c r="AJ49" s="681">
        <f>+U49*P49</f>
        <v>1144</v>
      </c>
    </row>
    <row r="50" spans="1:36" hidden="1">
      <c r="A50" s="680">
        <v>2212001067</v>
      </c>
      <c r="B50" s="680" t="s">
        <v>343</v>
      </c>
      <c r="C50" s="680" t="s">
        <v>491</v>
      </c>
      <c r="D50" s="680" t="s">
        <v>490</v>
      </c>
      <c r="E50" s="680" t="s">
        <v>489</v>
      </c>
      <c r="F50" s="680" t="s">
        <v>488</v>
      </c>
      <c r="G50" s="680">
        <v>8</v>
      </c>
      <c r="H50" s="680">
        <v>18</v>
      </c>
      <c r="I50" s="680">
        <v>5</v>
      </c>
      <c r="J50" s="680">
        <v>12</v>
      </c>
      <c r="K50" s="680">
        <v>0</v>
      </c>
      <c r="L50" s="680">
        <v>0</v>
      </c>
      <c r="M50" s="680">
        <v>0</v>
      </c>
      <c r="N50" s="680">
        <v>0</v>
      </c>
      <c r="O50" s="680">
        <f>+G50+I50+K50+M50</f>
        <v>13</v>
      </c>
      <c r="P50" s="680">
        <f>+H50+J50+L50+N50</f>
        <v>30</v>
      </c>
      <c r="Q50" s="680" t="s">
        <v>667</v>
      </c>
      <c r="R50" s="680" t="s">
        <v>667</v>
      </c>
      <c r="S50" s="680" t="s">
        <v>267</v>
      </c>
      <c r="T50" s="680" t="s">
        <v>484</v>
      </c>
      <c r="U50" s="681">
        <v>183</v>
      </c>
      <c r="V50" s="680">
        <v>201.04</v>
      </c>
      <c r="W50" s="680" t="s">
        <v>507</v>
      </c>
      <c r="X50" s="680" t="s">
        <v>485</v>
      </c>
      <c r="Y50" s="680" t="s">
        <v>484</v>
      </c>
      <c r="Z50" s="680" t="s">
        <v>483</v>
      </c>
      <c r="AA50" s="680">
        <f>+U50*G50</f>
        <v>1464</v>
      </c>
      <c r="AB50" s="680">
        <f>+U50*H50</f>
        <v>3294</v>
      </c>
      <c r="AC50" s="680">
        <f>+U50*I50</f>
        <v>915</v>
      </c>
      <c r="AD50" s="680">
        <f>+U50*J50</f>
        <v>2196</v>
      </c>
      <c r="AE50" s="680">
        <f>+U50*K50</f>
        <v>0</v>
      </c>
      <c r="AF50" s="680">
        <f>+U50*L50</f>
        <v>0</v>
      </c>
      <c r="AG50" s="680">
        <f>+U50*M50</f>
        <v>0</v>
      </c>
      <c r="AH50" s="680">
        <f>+U50*N50</f>
        <v>0</v>
      </c>
      <c r="AI50" s="681">
        <f>+U50*O50</f>
        <v>2379</v>
      </c>
      <c r="AJ50" s="681">
        <f>+U50*P50</f>
        <v>5490</v>
      </c>
    </row>
    <row r="51" spans="1:36">
      <c r="A51" s="680">
        <v>2212001071</v>
      </c>
      <c r="B51" s="680" t="s">
        <v>349</v>
      </c>
      <c r="C51" s="680" t="s">
        <v>519</v>
      </c>
      <c r="D51" s="680" t="s">
        <v>518</v>
      </c>
      <c r="E51" s="680" t="s">
        <v>489</v>
      </c>
      <c r="F51" s="680" t="s">
        <v>488</v>
      </c>
      <c r="G51" s="680">
        <v>42</v>
      </c>
      <c r="H51" s="680">
        <v>104</v>
      </c>
      <c r="I51" s="680">
        <v>7</v>
      </c>
      <c r="J51" s="680">
        <v>16</v>
      </c>
      <c r="K51" s="680">
        <v>4</v>
      </c>
      <c r="L51" s="680">
        <v>9</v>
      </c>
      <c r="M51" s="680">
        <v>0</v>
      </c>
      <c r="N51" s="680">
        <v>0</v>
      </c>
      <c r="O51" s="680">
        <f>+G51+I51+K51+M51</f>
        <v>53</v>
      </c>
      <c r="P51" s="680">
        <f>+H51+J51+L51+N51</f>
        <v>129</v>
      </c>
      <c r="Q51" s="680" t="s">
        <v>666</v>
      </c>
      <c r="R51" s="680" t="s">
        <v>666</v>
      </c>
      <c r="S51" s="680" t="s">
        <v>171</v>
      </c>
      <c r="T51" s="680" t="s">
        <v>484</v>
      </c>
      <c r="U51" s="681">
        <v>42</v>
      </c>
      <c r="V51" s="680">
        <v>46.19</v>
      </c>
      <c r="W51" s="680" t="s">
        <v>513</v>
      </c>
      <c r="X51" s="680" t="s">
        <v>485</v>
      </c>
      <c r="Y51" s="680" t="s">
        <v>484</v>
      </c>
      <c r="Z51" s="680" t="s">
        <v>483</v>
      </c>
      <c r="AA51" s="680">
        <f>+U51*G51</f>
        <v>1764</v>
      </c>
      <c r="AB51" s="680">
        <f>+U51*H51</f>
        <v>4368</v>
      </c>
      <c r="AC51" s="680">
        <f>+U51*I51</f>
        <v>294</v>
      </c>
      <c r="AD51" s="680">
        <f>+U51*J51</f>
        <v>672</v>
      </c>
      <c r="AE51" s="680">
        <f>+U51*K51</f>
        <v>168</v>
      </c>
      <c r="AF51" s="680">
        <f>+U51*L51</f>
        <v>378</v>
      </c>
      <c r="AG51" s="680">
        <f>+U51*M51</f>
        <v>0</v>
      </c>
      <c r="AH51" s="680">
        <f>+U51*N51</f>
        <v>0</v>
      </c>
      <c r="AI51" s="681">
        <f>+U51*O51</f>
        <v>2226</v>
      </c>
      <c r="AJ51" s="681">
        <f>+U51*P51</f>
        <v>5418</v>
      </c>
    </row>
    <row r="52" spans="1:36" hidden="1">
      <c r="A52" s="680">
        <v>2212001072</v>
      </c>
      <c r="B52" s="680" t="s">
        <v>350</v>
      </c>
      <c r="C52" s="680" t="s">
        <v>491</v>
      </c>
      <c r="D52" s="680" t="s">
        <v>490</v>
      </c>
      <c r="E52" s="680" t="s">
        <v>489</v>
      </c>
      <c r="F52" s="680" t="s">
        <v>488</v>
      </c>
      <c r="G52" s="680">
        <v>293</v>
      </c>
      <c r="H52" s="680">
        <v>732</v>
      </c>
      <c r="I52" s="680">
        <v>60</v>
      </c>
      <c r="J52" s="680">
        <v>150</v>
      </c>
      <c r="K52" s="680">
        <v>840</v>
      </c>
      <c r="L52" s="680">
        <v>2100</v>
      </c>
      <c r="M52" s="680">
        <v>0</v>
      </c>
      <c r="N52" s="680">
        <v>0</v>
      </c>
      <c r="O52" s="680">
        <f>+G52+I52+K52+M52</f>
        <v>1193</v>
      </c>
      <c r="P52" s="680">
        <f>+H52+J52+L52+N52</f>
        <v>2982</v>
      </c>
      <c r="Q52" s="680" t="s">
        <v>665</v>
      </c>
      <c r="R52" s="680" t="s">
        <v>665</v>
      </c>
      <c r="S52" s="680" t="s">
        <v>307</v>
      </c>
      <c r="T52" s="680" t="s">
        <v>484</v>
      </c>
      <c r="U52" s="681">
        <v>48.5</v>
      </c>
      <c r="V52" s="680">
        <v>53.25</v>
      </c>
      <c r="W52" s="680" t="s">
        <v>634</v>
      </c>
      <c r="X52" s="680" t="s">
        <v>485</v>
      </c>
      <c r="Y52" s="680" t="s">
        <v>484</v>
      </c>
      <c r="Z52" s="680" t="s">
        <v>483</v>
      </c>
      <c r="AA52" s="680">
        <f>+U52*G52</f>
        <v>14210.5</v>
      </c>
      <c r="AB52" s="680">
        <f>+U52*H52</f>
        <v>35502</v>
      </c>
      <c r="AC52" s="680">
        <f>+U52*I52</f>
        <v>2910</v>
      </c>
      <c r="AD52" s="680">
        <f>+U52*J52</f>
        <v>7275</v>
      </c>
      <c r="AE52" s="680">
        <f>+U52*K52</f>
        <v>40740</v>
      </c>
      <c r="AF52" s="680">
        <f>+U52*L52</f>
        <v>101850</v>
      </c>
      <c r="AG52" s="680">
        <f>+U52*M52</f>
        <v>0</v>
      </c>
      <c r="AH52" s="680">
        <f>+U52*N52</f>
        <v>0</v>
      </c>
      <c r="AI52" s="681">
        <f>+U52*O52</f>
        <v>57860.5</v>
      </c>
      <c r="AJ52" s="681">
        <f>+U52*P52</f>
        <v>144627</v>
      </c>
    </row>
    <row r="53" spans="1:36" hidden="1">
      <c r="A53" s="680">
        <v>2212001073</v>
      </c>
      <c r="B53" s="680" t="s">
        <v>664</v>
      </c>
      <c r="C53" s="680" t="s">
        <v>510</v>
      </c>
      <c r="D53" s="680" t="s">
        <v>509</v>
      </c>
      <c r="E53" s="680" t="s">
        <v>489</v>
      </c>
      <c r="F53" s="680" t="s">
        <v>488</v>
      </c>
      <c r="G53" s="680">
        <v>0</v>
      </c>
      <c r="H53" s="680">
        <v>0</v>
      </c>
      <c r="I53" s="680">
        <v>180</v>
      </c>
      <c r="J53" s="680">
        <v>450</v>
      </c>
      <c r="K53" s="680">
        <v>0</v>
      </c>
      <c r="L53" s="680">
        <v>0</v>
      </c>
      <c r="M53" s="680">
        <v>0</v>
      </c>
      <c r="N53" s="680">
        <v>0</v>
      </c>
      <c r="O53" s="680">
        <f>+G53+I53+K53+M53</f>
        <v>180</v>
      </c>
      <c r="P53" s="680">
        <f>+H53+J53+L53+N53</f>
        <v>450</v>
      </c>
      <c r="Q53" s="680" t="s">
        <v>659</v>
      </c>
      <c r="R53" s="680" t="s">
        <v>659</v>
      </c>
      <c r="S53" s="680" t="s">
        <v>8</v>
      </c>
      <c r="T53" s="680" t="s">
        <v>484</v>
      </c>
      <c r="U53" s="681">
        <v>1.1000000000000001</v>
      </c>
      <c r="V53" s="680">
        <v>1.42</v>
      </c>
      <c r="W53" s="680" t="s">
        <v>634</v>
      </c>
      <c r="X53" s="680" t="s">
        <v>485</v>
      </c>
      <c r="Y53" s="680" t="s">
        <v>484</v>
      </c>
      <c r="Z53" s="680" t="s">
        <v>483</v>
      </c>
      <c r="AA53" s="680">
        <f>+U53*G53</f>
        <v>0</v>
      </c>
      <c r="AB53" s="680">
        <f>+U53*H53</f>
        <v>0</v>
      </c>
      <c r="AC53" s="680">
        <f>+U53*I53</f>
        <v>198.00000000000003</v>
      </c>
      <c r="AD53" s="680">
        <f>+U53*J53</f>
        <v>495.00000000000006</v>
      </c>
      <c r="AE53" s="680">
        <f>+U53*K53</f>
        <v>0</v>
      </c>
      <c r="AF53" s="680">
        <f>+U53*L53</f>
        <v>0</v>
      </c>
      <c r="AG53" s="680">
        <f>+U53*M53</f>
        <v>0</v>
      </c>
      <c r="AH53" s="680">
        <f>+U53*N53</f>
        <v>0</v>
      </c>
      <c r="AI53" s="681">
        <f>+U53*O53</f>
        <v>198.00000000000003</v>
      </c>
      <c r="AJ53" s="681">
        <f>+U53*P53</f>
        <v>495.00000000000006</v>
      </c>
    </row>
    <row r="54" spans="1:36" hidden="1">
      <c r="A54" s="680">
        <v>2212001075</v>
      </c>
      <c r="B54" s="680" t="s">
        <v>663</v>
      </c>
      <c r="C54" s="680" t="s">
        <v>491</v>
      </c>
      <c r="D54" s="680" t="s">
        <v>490</v>
      </c>
      <c r="E54" s="680" t="s">
        <v>489</v>
      </c>
      <c r="F54" s="680" t="s">
        <v>488</v>
      </c>
      <c r="G54" s="680">
        <v>25020</v>
      </c>
      <c r="H54" s="680">
        <v>62550</v>
      </c>
      <c r="I54" s="680">
        <v>960</v>
      </c>
      <c r="J54" s="680">
        <v>2400</v>
      </c>
      <c r="K54" s="680">
        <v>0</v>
      </c>
      <c r="L54" s="680">
        <v>0</v>
      </c>
      <c r="M54" s="680">
        <v>0</v>
      </c>
      <c r="N54" s="680">
        <v>0</v>
      </c>
      <c r="O54" s="680">
        <f>+G54+I54+K54+M54</f>
        <v>25980</v>
      </c>
      <c r="P54" s="680">
        <f>+H54+J54+L54+N54</f>
        <v>64950</v>
      </c>
      <c r="Q54" s="680" t="s">
        <v>662</v>
      </c>
      <c r="R54" s="680" t="s">
        <v>662</v>
      </c>
      <c r="S54" s="680" t="s">
        <v>8</v>
      </c>
      <c r="T54" s="680" t="s">
        <v>484</v>
      </c>
      <c r="U54" s="681">
        <v>6.62</v>
      </c>
      <c r="V54" s="680">
        <v>7.79</v>
      </c>
      <c r="W54" s="680" t="s">
        <v>661</v>
      </c>
      <c r="X54" s="680" t="s">
        <v>485</v>
      </c>
      <c r="Y54" s="680" t="s">
        <v>484</v>
      </c>
      <c r="Z54" s="680" t="s">
        <v>483</v>
      </c>
      <c r="AA54" s="680">
        <f>+U54*G54</f>
        <v>165632.4</v>
      </c>
      <c r="AB54" s="680">
        <f>+U54*H54</f>
        <v>414081</v>
      </c>
      <c r="AC54" s="680">
        <f>+U54*I54</f>
        <v>6355.2</v>
      </c>
      <c r="AD54" s="680">
        <f>+U54*J54</f>
        <v>15888</v>
      </c>
      <c r="AE54" s="680">
        <f>+U54*K54</f>
        <v>0</v>
      </c>
      <c r="AF54" s="680">
        <f>+U54*L54</f>
        <v>0</v>
      </c>
      <c r="AG54" s="680">
        <f>+U54*M54</f>
        <v>0</v>
      </c>
      <c r="AH54" s="680">
        <f>+U54*N54</f>
        <v>0</v>
      </c>
      <c r="AI54" s="681">
        <f>+U54*O54</f>
        <v>171987.6</v>
      </c>
      <c r="AJ54" s="681">
        <f>+U54*P54</f>
        <v>429969</v>
      </c>
    </row>
    <row r="55" spans="1:36" hidden="1">
      <c r="A55" s="680">
        <v>2212001085</v>
      </c>
      <c r="B55" s="680" t="s">
        <v>660</v>
      </c>
      <c r="C55" s="680" t="s">
        <v>491</v>
      </c>
      <c r="D55" s="680" t="s">
        <v>490</v>
      </c>
      <c r="E55" s="680" t="s">
        <v>489</v>
      </c>
      <c r="F55" s="680" t="s">
        <v>488</v>
      </c>
      <c r="G55" s="680">
        <v>240</v>
      </c>
      <c r="H55" s="680">
        <v>600</v>
      </c>
      <c r="I55" s="680">
        <v>180</v>
      </c>
      <c r="J55" s="680">
        <v>450</v>
      </c>
      <c r="K55" s="680">
        <v>0</v>
      </c>
      <c r="L55" s="680">
        <v>0</v>
      </c>
      <c r="M55" s="680">
        <v>0</v>
      </c>
      <c r="N55" s="680">
        <v>0</v>
      </c>
      <c r="O55" s="680">
        <f>+G55+I55+K55+M55</f>
        <v>420</v>
      </c>
      <c r="P55" s="680">
        <f>+H55+J55+L55+N55</f>
        <v>1050</v>
      </c>
      <c r="Q55" s="680" t="s">
        <v>659</v>
      </c>
      <c r="R55" s="680" t="s">
        <v>659</v>
      </c>
      <c r="S55" s="680" t="s">
        <v>658</v>
      </c>
      <c r="T55" s="680" t="s">
        <v>484</v>
      </c>
      <c r="U55" s="681">
        <v>1.5</v>
      </c>
      <c r="V55" s="680">
        <v>1.64</v>
      </c>
      <c r="W55" s="680" t="s">
        <v>507</v>
      </c>
      <c r="X55" s="680" t="s">
        <v>485</v>
      </c>
      <c r="Y55" s="680" t="s">
        <v>484</v>
      </c>
      <c r="Z55" s="680" t="s">
        <v>483</v>
      </c>
      <c r="AA55" s="680">
        <f>+U55*G55</f>
        <v>360</v>
      </c>
      <c r="AB55" s="680">
        <f>+U55*H55</f>
        <v>900</v>
      </c>
      <c r="AC55" s="680">
        <f>+U55*I55</f>
        <v>270</v>
      </c>
      <c r="AD55" s="680">
        <f>+U55*J55</f>
        <v>675</v>
      </c>
      <c r="AE55" s="680">
        <f>+U55*K55</f>
        <v>0</v>
      </c>
      <c r="AF55" s="680">
        <f>+U55*L55</f>
        <v>0</v>
      </c>
      <c r="AG55" s="680">
        <f>+U55*M55</f>
        <v>0</v>
      </c>
      <c r="AH55" s="680">
        <f>+U55*N55</f>
        <v>0</v>
      </c>
      <c r="AI55" s="681">
        <f>+U55*O55</f>
        <v>630</v>
      </c>
      <c r="AJ55" s="681">
        <f>+U55*P55</f>
        <v>1575</v>
      </c>
    </row>
    <row r="56" spans="1:36" hidden="1">
      <c r="A56" s="680">
        <v>2212001086</v>
      </c>
      <c r="B56" s="680" t="s">
        <v>355</v>
      </c>
      <c r="C56" s="680" t="s">
        <v>491</v>
      </c>
      <c r="D56" s="680" t="s">
        <v>490</v>
      </c>
      <c r="E56" s="680" t="s">
        <v>489</v>
      </c>
      <c r="F56" s="680" t="s">
        <v>488</v>
      </c>
      <c r="G56" s="680">
        <v>24</v>
      </c>
      <c r="H56" s="680">
        <v>60</v>
      </c>
      <c r="I56" s="680">
        <v>87</v>
      </c>
      <c r="J56" s="680">
        <v>216</v>
      </c>
      <c r="K56" s="680">
        <v>0</v>
      </c>
      <c r="L56" s="680">
        <v>0</v>
      </c>
      <c r="M56" s="680">
        <v>0</v>
      </c>
      <c r="N56" s="680">
        <v>0</v>
      </c>
      <c r="O56" s="680">
        <f>+G56+I56+K56+M56</f>
        <v>111</v>
      </c>
      <c r="P56" s="680">
        <f>+H56+J56+L56+N56</f>
        <v>276</v>
      </c>
      <c r="Q56" s="680" t="s">
        <v>657</v>
      </c>
      <c r="R56" s="680" t="s">
        <v>657</v>
      </c>
      <c r="S56" s="680" t="s">
        <v>307</v>
      </c>
      <c r="T56" s="680" t="s">
        <v>484</v>
      </c>
      <c r="U56" s="681">
        <v>240</v>
      </c>
      <c r="V56" s="680">
        <v>260</v>
      </c>
      <c r="W56" s="680" t="s">
        <v>486</v>
      </c>
      <c r="X56" s="680" t="s">
        <v>485</v>
      </c>
      <c r="Y56" s="680" t="s">
        <v>484</v>
      </c>
      <c r="Z56" s="680" t="s">
        <v>483</v>
      </c>
      <c r="AA56" s="680">
        <f>+U56*G56</f>
        <v>5760</v>
      </c>
      <c r="AB56" s="680">
        <f>+U56*H56</f>
        <v>14400</v>
      </c>
      <c r="AC56" s="680">
        <f>+U56*I56</f>
        <v>20880</v>
      </c>
      <c r="AD56" s="680">
        <f>+U56*J56</f>
        <v>51840</v>
      </c>
      <c r="AE56" s="680">
        <f>+U56*K56</f>
        <v>0</v>
      </c>
      <c r="AF56" s="680">
        <f>+U56*L56</f>
        <v>0</v>
      </c>
      <c r="AG56" s="680">
        <f>+U56*M56</f>
        <v>0</v>
      </c>
      <c r="AH56" s="680">
        <f>+U56*N56</f>
        <v>0</v>
      </c>
      <c r="AI56" s="681">
        <f>+U56*O56</f>
        <v>26640</v>
      </c>
      <c r="AJ56" s="681">
        <f>+U56*P56</f>
        <v>66240</v>
      </c>
    </row>
    <row r="57" spans="1:36" hidden="1">
      <c r="A57" s="680">
        <v>2212001087</v>
      </c>
      <c r="B57" s="680" t="s">
        <v>656</v>
      </c>
      <c r="C57" s="680" t="s">
        <v>491</v>
      </c>
      <c r="D57" s="680" t="s">
        <v>490</v>
      </c>
      <c r="E57" s="680" t="s">
        <v>489</v>
      </c>
      <c r="F57" s="680" t="s">
        <v>488</v>
      </c>
      <c r="G57" s="680">
        <v>29</v>
      </c>
      <c r="H57" s="680">
        <v>72</v>
      </c>
      <c r="I57" s="680">
        <v>7</v>
      </c>
      <c r="J57" s="680">
        <v>16</v>
      </c>
      <c r="K57" s="680">
        <v>0</v>
      </c>
      <c r="L57" s="680">
        <v>0</v>
      </c>
      <c r="M57" s="680">
        <v>0</v>
      </c>
      <c r="N57" s="680">
        <v>0</v>
      </c>
      <c r="O57" s="680">
        <f>+G57+I57+K57+M57</f>
        <v>36</v>
      </c>
      <c r="P57" s="680">
        <f>+H57+J57+L57+N57</f>
        <v>88</v>
      </c>
      <c r="Q57" s="680" t="s">
        <v>655</v>
      </c>
      <c r="R57" s="680" t="s">
        <v>655</v>
      </c>
      <c r="S57" s="680" t="s">
        <v>313</v>
      </c>
      <c r="T57" s="680" t="s">
        <v>484</v>
      </c>
      <c r="U57" s="681">
        <v>912</v>
      </c>
      <c r="V57" s="680">
        <v>1006.74</v>
      </c>
      <c r="W57" s="680" t="s">
        <v>620</v>
      </c>
      <c r="X57" s="680" t="s">
        <v>485</v>
      </c>
      <c r="Y57" s="680" t="s">
        <v>484</v>
      </c>
      <c r="Z57" s="680" t="s">
        <v>483</v>
      </c>
      <c r="AA57" s="680">
        <f>+U57*G57</f>
        <v>26448</v>
      </c>
      <c r="AB57" s="680">
        <f>+U57*H57</f>
        <v>65664</v>
      </c>
      <c r="AC57" s="680">
        <f>+U57*I57</f>
        <v>6384</v>
      </c>
      <c r="AD57" s="680">
        <f>+U57*J57</f>
        <v>14592</v>
      </c>
      <c r="AE57" s="680">
        <f>+U57*K57</f>
        <v>0</v>
      </c>
      <c r="AF57" s="680">
        <f>+U57*L57</f>
        <v>0</v>
      </c>
      <c r="AG57" s="680">
        <f>+U57*M57</f>
        <v>0</v>
      </c>
      <c r="AH57" s="680">
        <f>+U57*N57</f>
        <v>0</v>
      </c>
      <c r="AI57" s="681">
        <f>+U57*O57</f>
        <v>32832</v>
      </c>
      <c r="AJ57" s="681">
        <f>+U57*P57</f>
        <v>80256</v>
      </c>
    </row>
    <row r="58" spans="1:36" hidden="1">
      <c r="A58" s="680">
        <v>2212001100</v>
      </c>
      <c r="B58" s="680" t="s">
        <v>358</v>
      </c>
      <c r="C58" s="680" t="s">
        <v>491</v>
      </c>
      <c r="D58" s="680" t="s">
        <v>490</v>
      </c>
      <c r="E58" s="680" t="s">
        <v>489</v>
      </c>
      <c r="F58" s="680" t="s">
        <v>488</v>
      </c>
      <c r="G58" s="680">
        <v>39</v>
      </c>
      <c r="H58" s="680">
        <v>96</v>
      </c>
      <c r="I58" s="680">
        <v>8</v>
      </c>
      <c r="J58" s="680">
        <v>18</v>
      </c>
      <c r="K58" s="680">
        <v>0</v>
      </c>
      <c r="L58" s="680">
        <v>0</v>
      </c>
      <c r="M58" s="680">
        <v>0</v>
      </c>
      <c r="N58" s="680">
        <v>0</v>
      </c>
      <c r="O58" s="680">
        <f>+G58+I58+K58+M58</f>
        <v>47</v>
      </c>
      <c r="P58" s="680">
        <f>+H58+J58+L58+N58</f>
        <v>114</v>
      </c>
      <c r="Q58" s="680" t="s">
        <v>644</v>
      </c>
      <c r="R58" s="680" t="s">
        <v>644</v>
      </c>
      <c r="S58" s="680" t="s">
        <v>313</v>
      </c>
      <c r="T58" s="680" t="s">
        <v>484</v>
      </c>
      <c r="U58" s="681">
        <v>147.85</v>
      </c>
      <c r="V58" s="680">
        <v>164</v>
      </c>
      <c r="W58" s="680" t="s">
        <v>643</v>
      </c>
      <c r="X58" s="680" t="s">
        <v>485</v>
      </c>
      <c r="Y58" s="680" t="s">
        <v>484</v>
      </c>
      <c r="Z58" s="680" t="s">
        <v>483</v>
      </c>
      <c r="AA58" s="680">
        <f>+U58*G58</f>
        <v>5766.15</v>
      </c>
      <c r="AB58" s="680">
        <f>+U58*H58</f>
        <v>14193.599999999999</v>
      </c>
      <c r="AC58" s="680">
        <f>+U58*I58</f>
        <v>1182.8</v>
      </c>
      <c r="AD58" s="680">
        <f>+U58*J58</f>
        <v>2661.2999999999997</v>
      </c>
      <c r="AE58" s="680">
        <f>+U58*K58</f>
        <v>0</v>
      </c>
      <c r="AF58" s="680">
        <f>+U58*L58</f>
        <v>0</v>
      </c>
      <c r="AG58" s="680">
        <f>+U58*M58</f>
        <v>0</v>
      </c>
      <c r="AH58" s="680">
        <f>+U58*N58</f>
        <v>0</v>
      </c>
      <c r="AI58" s="681">
        <f>+U58*O58</f>
        <v>6948.95</v>
      </c>
      <c r="AJ58" s="681">
        <f>+U58*P58</f>
        <v>16854.899999999998</v>
      </c>
    </row>
    <row r="59" spans="1:36" hidden="1">
      <c r="A59" s="680">
        <v>2212001101</v>
      </c>
      <c r="B59" s="680" t="s">
        <v>359</v>
      </c>
      <c r="C59" s="680" t="s">
        <v>491</v>
      </c>
      <c r="D59" s="680" t="s">
        <v>490</v>
      </c>
      <c r="E59" s="680" t="s">
        <v>489</v>
      </c>
      <c r="F59" s="680" t="s">
        <v>488</v>
      </c>
      <c r="G59" s="680">
        <v>29</v>
      </c>
      <c r="H59" s="680">
        <v>72</v>
      </c>
      <c r="I59" s="680">
        <v>3</v>
      </c>
      <c r="J59" s="680">
        <v>6</v>
      </c>
      <c r="K59" s="680">
        <v>0</v>
      </c>
      <c r="L59" s="680">
        <v>0</v>
      </c>
      <c r="M59" s="680">
        <v>0</v>
      </c>
      <c r="N59" s="680">
        <v>0</v>
      </c>
      <c r="O59" s="680">
        <f>+G59+I59+K59+M59</f>
        <v>32</v>
      </c>
      <c r="P59" s="680">
        <f>+H59+J59+L59+N59</f>
        <v>78</v>
      </c>
      <c r="Q59" s="680" t="s">
        <v>644</v>
      </c>
      <c r="R59" s="680" t="s">
        <v>644</v>
      </c>
      <c r="S59" s="680" t="s">
        <v>313</v>
      </c>
      <c r="T59" s="680" t="s">
        <v>484</v>
      </c>
      <c r="U59" s="681">
        <v>147.85</v>
      </c>
      <c r="V59" s="680">
        <v>163</v>
      </c>
      <c r="W59" s="680" t="s">
        <v>643</v>
      </c>
      <c r="X59" s="680" t="s">
        <v>485</v>
      </c>
      <c r="Y59" s="680" t="s">
        <v>484</v>
      </c>
      <c r="Z59" s="680" t="s">
        <v>483</v>
      </c>
      <c r="AA59" s="680">
        <f>+U59*G59</f>
        <v>4287.6499999999996</v>
      </c>
      <c r="AB59" s="680">
        <f>+U59*H59</f>
        <v>10645.199999999999</v>
      </c>
      <c r="AC59" s="680">
        <f>+U59*I59</f>
        <v>443.54999999999995</v>
      </c>
      <c r="AD59" s="680">
        <f>+U59*J59</f>
        <v>887.09999999999991</v>
      </c>
      <c r="AE59" s="680">
        <f>+U59*K59</f>
        <v>0</v>
      </c>
      <c r="AF59" s="680">
        <f>+U59*L59</f>
        <v>0</v>
      </c>
      <c r="AG59" s="680">
        <f>+U59*M59</f>
        <v>0</v>
      </c>
      <c r="AH59" s="680">
        <f>+U59*N59</f>
        <v>0</v>
      </c>
      <c r="AI59" s="681">
        <f>+U59*O59</f>
        <v>4731.2</v>
      </c>
      <c r="AJ59" s="681">
        <f>+U59*P59</f>
        <v>11532.3</v>
      </c>
    </row>
    <row r="60" spans="1:36" hidden="1">
      <c r="A60" s="680">
        <v>2212001102</v>
      </c>
      <c r="B60" s="680" t="s">
        <v>654</v>
      </c>
      <c r="C60" s="680" t="s">
        <v>491</v>
      </c>
      <c r="D60" s="680" t="s">
        <v>490</v>
      </c>
      <c r="E60" s="680" t="s">
        <v>489</v>
      </c>
      <c r="F60" s="680" t="s">
        <v>488</v>
      </c>
      <c r="G60" s="680">
        <v>0</v>
      </c>
      <c r="H60" s="680">
        <v>0</v>
      </c>
      <c r="I60" s="680">
        <v>3</v>
      </c>
      <c r="J60" s="680">
        <v>6</v>
      </c>
      <c r="K60" s="680">
        <v>0</v>
      </c>
      <c r="L60" s="680">
        <v>0</v>
      </c>
      <c r="M60" s="680">
        <v>0</v>
      </c>
      <c r="N60" s="680">
        <v>0</v>
      </c>
      <c r="O60" s="680">
        <f>+G60+I60+K60+M60</f>
        <v>3</v>
      </c>
      <c r="P60" s="680">
        <f>+H60+J60+L60+N60</f>
        <v>6</v>
      </c>
      <c r="Q60" s="680" t="s">
        <v>644</v>
      </c>
      <c r="R60" s="680" t="s">
        <v>644</v>
      </c>
      <c r="S60" s="680" t="s">
        <v>313</v>
      </c>
      <c r="T60" s="680" t="s">
        <v>484</v>
      </c>
      <c r="U60" s="681">
        <v>147.85</v>
      </c>
      <c r="V60" s="680">
        <v>163</v>
      </c>
      <c r="W60" s="680" t="s">
        <v>643</v>
      </c>
      <c r="X60" s="680" t="s">
        <v>485</v>
      </c>
      <c r="Y60" s="680" t="s">
        <v>484</v>
      </c>
      <c r="Z60" s="680" t="s">
        <v>483</v>
      </c>
      <c r="AA60" s="680">
        <f>+U60*G60</f>
        <v>0</v>
      </c>
      <c r="AB60" s="680">
        <f>+U60*H60</f>
        <v>0</v>
      </c>
      <c r="AC60" s="680">
        <f>+U60*I60</f>
        <v>443.54999999999995</v>
      </c>
      <c r="AD60" s="680">
        <f>+U60*J60</f>
        <v>887.09999999999991</v>
      </c>
      <c r="AE60" s="680">
        <f>+U60*K60</f>
        <v>0</v>
      </c>
      <c r="AF60" s="680">
        <f>+U60*L60</f>
        <v>0</v>
      </c>
      <c r="AG60" s="680">
        <f>+U60*M60</f>
        <v>0</v>
      </c>
      <c r="AH60" s="680">
        <f>+U60*N60</f>
        <v>0</v>
      </c>
      <c r="AI60" s="681">
        <f>+U60*O60</f>
        <v>443.54999999999995</v>
      </c>
      <c r="AJ60" s="681">
        <f>+U60*P60</f>
        <v>887.09999999999991</v>
      </c>
    </row>
    <row r="61" spans="1:36" hidden="1">
      <c r="A61" s="680">
        <v>2212001103</v>
      </c>
      <c r="B61" s="680" t="s">
        <v>653</v>
      </c>
      <c r="C61" s="680" t="s">
        <v>491</v>
      </c>
      <c r="D61" s="680" t="s">
        <v>490</v>
      </c>
      <c r="E61" s="680" t="s">
        <v>489</v>
      </c>
      <c r="F61" s="680" t="s">
        <v>488</v>
      </c>
      <c r="G61" s="680">
        <v>8</v>
      </c>
      <c r="H61" s="680">
        <v>18</v>
      </c>
      <c r="I61" s="680">
        <v>3</v>
      </c>
      <c r="J61" s="680">
        <v>6</v>
      </c>
      <c r="K61" s="680">
        <v>0</v>
      </c>
      <c r="L61" s="680">
        <v>0</v>
      </c>
      <c r="M61" s="680">
        <v>0</v>
      </c>
      <c r="N61" s="680">
        <v>0</v>
      </c>
      <c r="O61" s="680">
        <f>+G61+I61+K61+M61</f>
        <v>11</v>
      </c>
      <c r="P61" s="680">
        <f>+H61+J61+L61+N61</f>
        <v>24</v>
      </c>
      <c r="Q61" s="680" t="s">
        <v>644</v>
      </c>
      <c r="R61" s="680" t="s">
        <v>644</v>
      </c>
      <c r="S61" s="680" t="s">
        <v>313</v>
      </c>
      <c r="T61" s="680" t="s">
        <v>484</v>
      </c>
      <c r="U61" s="681">
        <v>147.85</v>
      </c>
      <c r="V61" s="680">
        <v>162.5</v>
      </c>
      <c r="W61" s="680" t="s">
        <v>643</v>
      </c>
      <c r="X61" s="680" t="s">
        <v>485</v>
      </c>
      <c r="Y61" s="680" t="s">
        <v>484</v>
      </c>
      <c r="Z61" s="680" t="s">
        <v>483</v>
      </c>
      <c r="AA61" s="680">
        <f>+U61*G61</f>
        <v>1182.8</v>
      </c>
      <c r="AB61" s="680">
        <f>+U61*H61</f>
        <v>2661.2999999999997</v>
      </c>
      <c r="AC61" s="680">
        <f>+U61*I61</f>
        <v>443.54999999999995</v>
      </c>
      <c r="AD61" s="680">
        <f>+U61*J61</f>
        <v>887.09999999999991</v>
      </c>
      <c r="AE61" s="680">
        <f>+U61*K61</f>
        <v>0</v>
      </c>
      <c r="AF61" s="680">
        <f>+U61*L61</f>
        <v>0</v>
      </c>
      <c r="AG61" s="680">
        <f>+U61*M61</f>
        <v>0</v>
      </c>
      <c r="AH61" s="680">
        <f>+U61*N61</f>
        <v>0</v>
      </c>
      <c r="AI61" s="681">
        <f>+U61*O61</f>
        <v>1626.35</v>
      </c>
      <c r="AJ61" s="681">
        <f>+U61*P61</f>
        <v>3548.3999999999996</v>
      </c>
    </row>
    <row r="62" spans="1:36" hidden="1">
      <c r="A62" s="680">
        <v>2212001106</v>
      </c>
      <c r="B62" s="680" t="s">
        <v>362</v>
      </c>
      <c r="C62" s="680" t="s">
        <v>491</v>
      </c>
      <c r="D62" s="680" t="s">
        <v>490</v>
      </c>
      <c r="E62" s="680" t="s">
        <v>489</v>
      </c>
      <c r="F62" s="680" t="s">
        <v>488</v>
      </c>
      <c r="G62" s="680">
        <v>387</v>
      </c>
      <c r="H62" s="680">
        <v>966</v>
      </c>
      <c r="I62" s="680">
        <v>648</v>
      </c>
      <c r="J62" s="680">
        <v>1620</v>
      </c>
      <c r="K62" s="680">
        <v>0</v>
      </c>
      <c r="L62" s="680">
        <v>0</v>
      </c>
      <c r="M62" s="680">
        <v>0</v>
      </c>
      <c r="N62" s="680">
        <v>0</v>
      </c>
      <c r="O62" s="680">
        <f>+G62+I62+K62+M62</f>
        <v>1035</v>
      </c>
      <c r="P62" s="680">
        <f>+H62+J62+L62+N62</f>
        <v>2586</v>
      </c>
      <c r="Q62" s="680" t="s">
        <v>652</v>
      </c>
      <c r="R62" s="680" t="s">
        <v>652</v>
      </c>
      <c r="S62" s="680" t="s">
        <v>171</v>
      </c>
      <c r="T62" s="680" t="s">
        <v>484</v>
      </c>
      <c r="U62" s="681">
        <v>48.5</v>
      </c>
      <c r="V62" s="680">
        <v>54.84</v>
      </c>
      <c r="W62" s="680" t="s">
        <v>507</v>
      </c>
      <c r="X62" s="680" t="s">
        <v>485</v>
      </c>
      <c r="Y62" s="680" t="s">
        <v>484</v>
      </c>
      <c r="Z62" s="680" t="s">
        <v>483</v>
      </c>
      <c r="AA62" s="680">
        <f>+U62*G62</f>
        <v>18769.5</v>
      </c>
      <c r="AB62" s="680">
        <f>+U62*H62</f>
        <v>46851</v>
      </c>
      <c r="AC62" s="680">
        <f>+U62*I62</f>
        <v>31428</v>
      </c>
      <c r="AD62" s="680">
        <f>+U62*J62</f>
        <v>78570</v>
      </c>
      <c r="AE62" s="680">
        <f>+U62*K62</f>
        <v>0</v>
      </c>
      <c r="AF62" s="680">
        <f>+U62*L62</f>
        <v>0</v>
      </c>
      <c r="AG62" s="680">
        <f>+U62*M62</f>
        <v>0</v>
      </c>
      <c r="AH62" s="680">
        <f>+U62*N62</f>
        <v>0</v>
      </c>
      <c r="AI62" s="681">
        <f>+U62*O62</f>
        <v>50197.5</v>
      </c>
      <c r="AJ62" s="681">
        <f>+U62*P62</f>
        <v>125421</v>
      </c>
    </row>
    <row r="63" spans="1:36" hidden="1">
      <c r="A63" s="680">
        <v>2212001109</v>
      </c>
      <c r="B63" s="680" t="s">
        <v>364</v>
      </c>
      <c r="C63" s="680" t="s">
        <v>512</v>
      </c>
      <c r="D63" s="680" t="s">
        <v>511</v>
      </c>
      <c r="E63" s="680" t="s">
        <v>489</v>
      </c>
      <c r="F63" s="680" t="s">
        <v>488</v>
      </c>
      <c r="G63" s="680">
        <v>53</v>
      </c>
      <c r="H63" s="680">
        <v>132</v>
      </c>
      <c r="I63" s="680">
        <v>9</v>
      </c>
      <c r="J63" s="680">
        <v>22</v>
      </c>
      <c r="K63" s="680">
        <v>0</v>
      </c>
      <c r="L63" s="680">
        <v>0</v>
      </c>
      <c r="M63" s="680">
        <v>0</v>
      </c>
      <c r="N63" s="680">
        <v>0</v>
      </c>
      <c r="O63" s="680">
        <f>+G63+I63+K63+M63</f>
        <v>62</v>
      </c>
      <c r="P63" s="680">
        <f>+H63+J63+L63+N63</f>
        <v>154</v>
      </c>
      <c r="Q63" s="680" t="s">
        <v>495</v>
      </c>
      <c r="R63" s="680" t="s">
        <v>494</v>
      </c>
      <c r="S63" s="680" t="s">
        <v>6</v>
      </c>
      <c r="T63" s="680" t="s">
        <v>484</v>
      </c>
      <c r="U63" s="681">
        <v>60</v>
      </c>
      <c r="V63" s="680">
        <v>65.599999999999994</v>
      </c>
      <c r="W63" s="680" t="s">
        <v>507</v>
      </c>
      <c r="X63" s="680" t="s">
        <v>485</v>
      </c>
      <c r="Y63" s="680" t="s">
        <v>484</v>
      </c>
      <c r="Z63" s="680" t="s">
        <v>483</v>
      </c>
      <c r="AA63" s="680">
        <f>+U63*G63</f>
        <v>3180</v>
      </c>
      <c r="AB63" s="680">
        <f>+U63*H63</f>
        <v>7920</v>
      </c>
      <c r="AC63" s="680">
        <f>+U63*I63</f>
        <v>540</v>
      </c>
      <c r="AD63" s="680">
        <f>+U63*J63</f>
        <v>1320</v>
      </c>
      <c r="AE63" s="680">
        <f>+U63*K63</f>
        <v>0</v>
      </c>
      <c r="AF63" s="680">
        <f>+U63*L63</f>
        <v>0</v>
      </c>
      <c r="AG63" s="680">
        <f>+U63*M63</f>
        <v>0</v>
      </c>
      <c r="AH63" s="680">
        <f>+U63*N63</f>
        <v>0</v>
      </c>
      <c r="AI63" s="681">
        <f>+U63*O63</f>
        <v>3720</v>
      </c>
      <c r="AJ63" s="681">
        <f>+U63*P63</f>
        <v>9240</v>
      </c>
    </row>
    <row r="64" spans="1:36" hidden="1">
      <c r="A64" s="680">
        <v>2212001114</v>
      </c>
      <c r="B64" s="680" t="s">
        <v>651</v>
      </c>
      <c r="C64" s="680" t="s">
        <v>512</v>
      </c>
      <c r="D64" s="680" t="s">
        <v>511</v>
      </c>
      <c r="E64" s="680" t="s">
        <v>489</v>
      </c>
      <c r="F64" s="680" t="s">
        <v>488</v>
      </c>
      <c r="G64" s="680">
        <v>29</v>
      </c>
      <c r="H64" s="680">
        <v>72</v>
      </c>
      <c r="I64" s="680">
        <v>4</v>
      </c>
      <c r="J64" s="680">
        <v>9</v>
      </c>
      <c r="K64" s="680">
        <v>0</v>
      </c>
      <c r="L64" s="680">
        <v>0</v>
      </c>
      <c r="M64" s="680">
        <v>0</v>
      </c>
      <c r="N64" s="680">
        <v>0</v>
      </c>
      <c r="O64" s="680">
        <f>+G64+I64+K64+M64</f>
        <v>33</v>
      </c>
      <c r="P64" s="680">
        <f>+H64+J64+L64+N64</f>
        <v>81</v>
      </c>
      <c r="Q64" s="680" t="s">
        <v>650</v>
      </c>
      <c r="R64" s="680" t="s">
        <v>494</v>
      </c>
      <c r="S64" s="680" t="s">
        <v>86</v>
      </c>
      <c r="T64" s="680" t="s">
        <v>484</v>
      </c>
      <c r="U64" s="681">
        <v>95</v>
      </c>
      <c r="V64" s="680">
        <v>97.8</v>
      </c>
      <c r="W64" s="680" t="s">
        <v>507</v>
      </c>
      <c r="X64" s="680" t="s">
        <v>485</v>
      </c>
      <c r="Y64" s="680" t="s">
        <v>484</v>
      </c>
      <c r="Z64" s="680" t="s">
        <v>483</v>
      </c>
      <c r="AA64" s="680">
        <f>+U64*G64</f>
        <v>2755</v>
      </c>
      <c r="AB64" s="680">
        <f>+U64*H64</f>
        <v>6840</v>
      </c>
      <c r="AC64" s="680">
        <f>+U64*I64</f>
        <v>380</v>
      </c>
      <c r="AD64" s="680">
        <f>+U64*J64</f>
        <v>855</v>
      </c>
      <c r="AE64" s="680">
        <f>+U64*K64</f>
        <v>0</v>
      </c>
      <c r="AF64" s="680">
        <f>+U64*L64</f>
        <v>0</v>
      </c>
      <c r="AG64" s="680">
        <f>+U64*M64</f>
        <v>0</v>
      </c>
      <c r="AH64" s="680">
        <f>+U64*N64</f>
        <v>0</v>
      </c>
      <c r="AI64" s="681">
        <f>+U64*O64</f>
        <v>3135</v>
      </c>
      <c r="AJ64" s="681">
        <f>+U64*P64</f>
        <v>7695</v>
      </c>
    </row>
    <row r="65" spans="1:36" hidden="1">
      <c r="A65" s="680">
        <v>2212001121</v>
      </c>
      <c r="B65" s="680" t="s">
        <v>367</v>
      </c>
      <c r="C65" s="680" t="s">
        <v>491</v>
      </c>
      <c r="D65" s="680" t="s">
        <v>490</v>
      </c>
      <c r="E65" s="680" t="s">
        <v>489</v>
      </c>
      <c r="F65" s="680" t="s">
        <v>488</v>
      </c>
      <c r="G65" s="680">
        <v>4000</v>
      </c>
      <c r="H65" s="680">
        <v>10000</v>
      </c>
      <c r="I65" s="680">
        <v>4800</v>
      </c>
      <c r="J65" s="680">
        <v>12000</v>
      </c>
      <c r="K65" s="680">
        <v>130</v>
      </c>
      <c r="L65" s="680">
        <v>325</v>
      </c>
      <c r="M65" s="680">
        <v>0</v>
      </c>
      <c r="N65" s="680">
        <v>0</v>
      </c>
      <c r="O65" s="680">
        <f>+G65+I65+K65+M65</f>
        <v>8930</v>
      </c>
      <c r="P65" s="680">
        <f>+H65+J65+L65+N65</f>
        <v>22325</v>
      </c>
      <c r="Q65" s="680" t="s">
        <v>649</v>
      </c>
      <c r="R65" s="680" t="s">
        <v>649</v>
      </c>
      <c r="S65" s="680" t="s">
        <v>8</v>
      </c>
      <c r="T65" s="680" t="s">
        <v>484</v>
      </c>
      <c r="U65" s="681">
        <v>7.8</v>
      </c>
      <c r="V65" s="680">
        <v>8.81</v>
      </c>
      <c r="W65" s="680" t="s">
        <v>486</v>
      </c>
      <c r="X65" s="680" t="s">
        <v>485</v>
      </c>
      <c r="Y65" s="680" t="s">
        <v>484</v>
      </c>
      <c r="Z65" s="680" t="s">
        <v>483</v>
      </c>
      <c r="AA65" s="680">
        <f>+U65*G65</f>
        <v>31200</v>
      </c>
      <c r="AB65" s="680">
        <f>+U65*H65</f>
        <v>78000</v>
      </c>
      <c r="AC65" s="680">
        <f>+U65*I65</f>
        <v>37440</v>
      </c>
      <c r="AD65" s="680">
        <f>+U65*J65</f>
        <v>93600</v>
      </c>
      <c r="AE65" s="680">
        <f>+U65*K65</f>
        <v>1014</v>
      </c>
      <c r="AF65" s="680">
        <f>+U65*L65</f>
        <v>2535</v>
      </c>
      <c r="AG65" s="680">
        <f>+U65*M65</f>
        <v>0</v>
      </c>
      <c r="AH65" s="680">
        <f>+U65*N65</f>
        <v>0</v>
      </c>
      <c r="AI65" s="681">
        <f>+U65*O65</f>
        <v>69654</v>
      </c>
      <c r="AJ65" s="681">
        <f>+U65*P65</f>
        <v>174135</v>
      </c>
    </row>
    <row r="66" spans="1:36" hidden="1">
      <c r="A66" s="680">
        <v>2212001123</v>
      </c>
      <c r="B66" s="680" t="s">
        <v>369</v>
      </c>
      <c r="C66" s="680" t="s">
        <v>510</v>
      </c>
      <c r="D66" s="680" t="s">
        <v>509</v>
      </c>
      <c r="E66" s="680" t="s">
        <v>489</v>
      </c>
      <c r="F66" s="680" t="s">
        <v>488</v>
      </c>
      <c r="G66" s="680">
        <v>89</v>
      </c>
      <c r="H66" s="680">
        <v>222</v>
      </c>
      <c r="I66" s="680">
        <v>0</v>
      </c>
      <c r="J66" s="680">
        <v>0</v>
      </c>
      <c r="K66" s="680">
        <v>0</v>
      </c>
      <c r="L66" s="680">
        <v>0</v>
      </c>
      <c r="M66" s="680">
        <v>0</v>
      </c>
      <c r="N66" s="680">
        <v>0</v>
      </c>
      <c r="O66" s="680">
        <f>+G66+I66+K66+M66</f>
        <v>89</v>
      </c>
      <c r="P66" s="680">
        <f>+H66+J66+L66+N66</f>
        <v>222</v>
      </c>
      <c r="Q66" s="680" t="s">
        <v>648</v>
      </c>
      <c r="R66" s="680" t="s">
        <v>648</v>
      </c>
      <c r="S66" s="680" t="s">
        <v>171</v>
      </c>
      <c r="T66" s="680" t="s">
        <v>484</v>
      </c>
      <c r="U66" s="681">
        <v>53</v>
      </c>
      <c r="V66" s="680">
        <v>60.32</v>
      </c>
      <c r="W66" s="680" t="s">
        <v>507</v>
      </c>
      <c r="X66" s="680" t="s">
        <v>485</v>
      </c>
      <c r="Y66" s="680" t="s">
        <v>484</v>
      </c>
      <c r="Z66" s="680" t="s">
        <v>483</v>
      </c>
      <c r="AA66" s="680">
        <f>+U66*G66</f>
        <v>4717</v>
      </c>
      <c r="AB66" s="680">
        <f>+U66*H66</f>
        <v>11766</v>
      </c>
      <c r="AC66" s="680">
        <f>+U66*I66</f>
        <v>0</v>
      </c>
      <c r="AD66" s="680">
        <f>+U66*J66</f>
        <v>0</v>
      </c>
      <c r="AE66" s="680">
        <f>+U66*K66</f>
        <v>0</v>
      </c>
      <c r="AF66" s="680">
        <f>+U66*L66</f>
        <v>0</v>
      </c>
      <c r="AG66" s="680">
        <f>+U66*M66</f>
        <v>0</v>
      </c>
      <c r="AH66" s="680">
        <f>+U66*N66</f>
        <v>0</v>
      </c>
      <c r="AI66" s="681">
        <f>+U66*O66</f>
        <v>4717</v>
      </c>
      <c r="AJ66" s="681">
        <f>+U66*P66</f>
        <v>11766</v>
      </c>
    </row>
    <row r="67" spans="1:36" hidden="1">
      <c r="A67" s="680">
        <v>2212001126</v>
      </c>
      <c r="B67" s="680" t="s">
        <v>647</v>
      </c>
      <c r="C67" s="680" t="s">
        <v>491</v>
      </c>
      <c r="D67" s="680" t="s">
        <v>490</v>
      </c>
      <c r="E67" s="680" t="s">
        <v>489</v>
      </c>
      <c r="F67" s="680" t="s">
        <v>488</v>
      </c>
      <c r="G67" s="680">
        <v>72</v>
      </c>
      <c r="H67" s="680">
        <v>180</v>
      </c>
      <c r="I67" s="680">
        <v>192</v>
      </c>
      <c r="J67" s="680">
        <v>480</v>
      </c>
      <c r="K67" s="680">
        <v>0</v>
      </c>
      <c r="L67" s="680">
        <v>0</v>
      </c>
      <c r="M67" s="680">
        <v>0</v>
      </c>
      <c r="N67" s="680">
        <v>0</v>
      </c>
      <c r="O67" s="680">
        <f>+G67+I67+K67+M67</f>
        <v>264</v>
      </c>
      <c r="P67" s="680">
        <f>+H67+J67+L67+N67</f>
        <v>660</v>
      </c>
      <c r="Q67" s="680" t="s">
        <v>646</v>
      </c>
      <c r="R67" s="680" t="s">
        <v>645</v>
      </c>
      <c r="S67" s="680" t="s">
        <v>8</v>
      </c>
      <c r="T67" s="680" t="s">
        <v>484</v>
      </c>
      <c r="U67" s="681">
        <v>4.5</v>
      </c>
      <c r="V67" s="680">
        <v>4.34</v>
      </c>
      <c r="W67" s="680" t="s">
        <v>507</v>
      </c>
      <c r="X67" s="680" t="s">
        <v>485</v>
      </c>
      <c r="Y67" s="680" t="s">
        <v>484</v>
      </c>
      <c r="Z67" s="680" t="s">
        <v>483</v>
      </c>
      <c r="AA67" s="680">
        <f>+U67*G67</f>
        <v>324</v>
      </c>
      <c r="AB67" s="680">
        <f>+U67*H67</f>
        <v>810</v>
      </c>
      <c r="AC67" s="680">
        <f>+U67*I67</f>
        <v>864</v>
      </c>
      <c r="AD67" s="680">
        <f>+U67*J67</f>
        <v>2160</v>
      </c>
      <c r="AE67" s="680">
        <f>+U67*K67</f>
        <v>0</v>
      </c>
      <c r="AF67" s="680">
        <f>+U67*L67</f>
        <v>0</v>
      </c>
      <c r="AG67" s="680">
        <f>+U67*M67</f>
        <v>0</v>
      </c>
      <c r="AH67" s="680">
        <f>+U67*N67</f>
        <v>0</v>
      </c>
      <c r="AI67" s="681">
        <f>+U67*O67</f>
        <v>1188</v>
      </c>
      <c r="AJ67" s="681">
        <f>+U67*P67</f>
        <v>2970</v>
      </c>
    </row>
    <row r="68" spans="1:36" hidden="1">
      <c r="A68" s="680">
        <v>2212001129</v>
      </c>
      <c r="B68" s="680" t="s">
        <v>372</v>
      </c>
      <c r="C68" s="680" t="s">
        <v>491</v>
      </c>
      <c r="D68" s="680" t="s">
        <v>490</v>
      </c>
      <c r="E68" s="680" t="s">
        <v>489</v>
      </c>
      <c r="F68" s="680" t="s">
        <v>488</v>
      </c>
      <c r="G68" s="680">
        <v>20</v>
      </c>
      <c r="H68" s="680">
        <v>48</v>
      </c>
      <c r="I68" s="680">
        <v>70</v>
      </c>
      <c r="J68" s="680">
        <v>175</v>
      </c>
      <c r="K68" s="680">
        <v>0</v>
      </c>
      <c r="L68" s="680">
        <v>0</v>
      </c>
      <c r="M68" s="680">
        <v>0</v>
      </c>
      <c r="N68" s="680">
        <v>0</v>
      </c>
      <c r="O68" s="680">
        <f>+G68+I68+K68+M68</f>
        <v>90</v>
      </c>
      <c r="P68" s="680">
        <f>+H68+J68+L68+N68</f>
        <v>223</v>
      </c>
      <c r="Q68" s="680" t="s">
        <v>644</v>
      </c>
      <c r="R68" s="680" t="s">
        <v>644</v>
      </c>
      <c r="S68" s="680" t="s">
        <v>313</v>
      </c>
      <c r="T68" s="680" t="s">
        <v>484</v>
      </c>
      <c r="U68" s="681">
        <v>147.85</v>
      </c>
      <c r="V68" s="680">
        <v>162.5</v>
      </c>
      <c r="W68" s="680" t="s">
        <v>643</v>
      </c>
      <c r="X68" s="680" t="s">
        <v>485</v>
      </c>
      <c r="Y68" s="680" t="s">
        <v>484</v>
      </c>
      <c r="Z68" s="680" t="s">
        <v>483</v>
      </c>
      <c r="AA68" s="680">
        <f>+U68*G68</f>
        <v>2957</v>
      </c>
      <c r="AB68" s="680">
        <f>+U68*H68</f>
        <v>7096.7999999999993</v>
      </c>
      <c r="AC68" s="680">
        <f>+U68*I68</f>
        <v>10349.5</v>
      </c>
      <c r="AD68" s="680">
        <f>+U68*J68</f>
        <v>25873.75</v>
      </c>
      <c r="AE68" s="680">
        <f>+U68*K68</f>
        <v>0</v>
      </c>
      <c r="AF68" s="680">
        <f>+U68*L68</f>
        <v>0</v>
      </c>
      <c r="AG68" s="680">
        <f>+U68*M68</f>
        <v>0</v>
      </c>
      <c r="AH68" s="680">
        <f>+U68*N68</f>
        <v>0</v>
      </c>
      <c r="AI68" s="681">
        <f>+U68*O68</f>
        <v>13306.5</v>
      </c>
      <c r="AJ68" s="681">
        <f>+U68*P68</f>
        <v>32970.549999999996</v>
      </c>
    </row>
    <row r="69" spans="1:36" hidden="1">
      <c r="A69" s="680">
        <v>2212001130</v>
      </c>
      <c r="B69" s="680" t="s">
        <v>642</v>
      </c>
      <c r="C69" s="680" t="s">
        <v>510</v>
      </c>
      <c r="D69" s="680" t="s">
        <v>509</v>
      </c>
      <c r="E69" s="680" t="s">
        <v>489</v>
      </c>
      <c r="F69" s="680" t="s">
        <v>488</v>
      </c>
      <c r="G69" s="680">
        <v>53</v>
      </c>
      <c r="H69" s="680">
        <v>132</v>
      </c>
      <c r="I69" s="680">
        <v>240</v>
      </c>
      <c r="J69" s="680">
        <v>600</v>
      </c>
      <c r="K69" s="680">
        <v>0</v>
      </c>
      <c r="L69" s="680">
        <v>0</v>
      </c>
      <c r="M69" s="680">
        <v>0</v>
      </c>
      <c r="N69" s="680">
        <v>0</v>
      </c>
      <c r="O69" s="680">
        <f>+G69+I69+K69+M69</f>
        <v>293</v>
      </c>
      <c r="P69" s="680">
        <f>+H69+J69+L69+N69</f>
        <v>732</v>
      </c>
      <c r="Q69" s="680" t="s">
        <v>641</v>
      </c>
      <c r="R69" s="680" t="s">
        <v>641</v>
      </c>
      <c r="S69" s="680" t="s">
        <v>171</v>
      </c>
      <c r="T69" s="680" t="s">
        <v>484</v>
      </c>
      <c r="U69" s="681">
        <v>33</v>
      </c>
      <c r="V69" s="680">
        <v>36.19</v>
      </c>
      <c r="W69" s="680" t="s">
        <v>507</v>
      </c>
      <c r="X69" s="680" t="s">
        <v>485</v>
      </c>
      <c r="Y69" s="680" t="s">
        <v>484</v>
      </c>
      <c r="Z69" s="680" t="s">
        <v>483</v>
      </c>
      <c r="AA69" s="680">
        <f>+U69*G69</f>
        <v>1749</v>
      </c>
      <c r="AB69" s="680">
        <f>+U69*H69</f>
        <v>4356</v>
      </c>
      <c r="AC69" s="680">
        <f>+U69*I69</f>
        <v>7920</v>
      </c>
      <c r="AD69" s="680">
        <f>+U69*J69</f>
        <v>19800</v>
      </c>
      <c r="AE69" s="680">
        <f>+U69*K69</f>
        <v>0</v>
      </c>
      <c r="AF69" s="680">
        <f>+U69*L69</f>
        <v>0</v>
      </c>
      <c r="AG69" s="680">
        <f>+U69*M69</f>
        <v>0</v>
      </c>
      <c r="AH69" s="680">
        <f>+U69*N69</f>
        <v>0</v>
      </c>
      <c r="AI69" s="681">
        <f>+U69*O69</f>
        <v>9669</v>
      </c>
      <c r="AJ69" s="681">
        <f>+U69*P69</f>
        <v>24156</v>
      </c>
    </row>
    <row r="70" spans="1:36" hidden="1">
      <c r="A70" s="680">
        <v>2212001133</v>
      </c>
      <c r="B70" s="680" t="s">
        <v>374</v>
      </c>
      <c r="C70" s="680" t="s">
        <v>491</v>
      </c>
      <c r="D70" s="680" t="s">
        <v>490</v>
      </c>
      <c r="E70" s="680" t="s">
        <v>489</v>
      </c>
      <c r="F70" s="680" t="s">
        <v>488</v>
      </c>
      <c r="G70" s="680">
        <v>5</v>
      </c>
      <c r="H70" s="680">
        <v>12</v>
      </c>
      <c r="I70" s="680">
        <v>0</v>
      </c>
      <c r="J70" s="680">
        <v>0</v>
      </c>
      <c r="K70" s="680">
        <v>0</v>
      </c>
      <c r="L70" s="680">
        <v>0</v>
      </c>
      <c r="M70" s="680">
        <v>0</v>
      </c>
      <c r="N70" s="680">
        <v>0</v>
      </c>
      <c r="O70" s="680">
        <f>+G70+I70+K70+M70</f>
        <v>5</v>
      </c>
      <c r="P70" s="680">
        <f>+H70+J70+L70+N70</f>
        <v>12</v>
      </c>
      <c r="Q70" s="680" t="s">
        <v>640</v>
      </c>
      <c r="R70" s="680" t="s">
        <v>640</v>
      </c>
      <c r="S70" s="680" t="s">
        <v>267</v>
      </c>
      <c r="T70" s="680" t="s">
        <v>484</v>
      </c>
      <c r="U70" s="681">
        <v>25</v>
      </c>
      <c r="V70" s="680">
        <v>27.17</v>
      </c>
      <c r="W70" s="680" t="s">
        <v>507</v>
      </c>
      <c r="X70" s="680" t="s">
        <v>485</v>
      </c>
      <c r="Y70" s="680" t="s">
        <v>484</v>
      </c>
      <c r="Z70" s="680" t="s">
        <v>483</v>
      </c>
      <c r="AA70" s="680">
        <f>+U70*G70</f>
        <v>125</v>
      </c>
      <c r="AB70" s="680">
        <f>+U70*H70</f>
        <v>300</v>
      </c>
      <c r="AC70" s="680">
        <f>+U70*I70</f>
        <v>0</v>
      </c>
      <c r="AD70" s="680">
        <f>+U70*J70</f>
        <v>0</v>
      </c>
      <c r="AE70" s="680">
        <f>+U70*K70</f>
        <v>0</v>
      </c>
      <c r="AF70" s="680">
        <f>+U70*L70</f>
        <v>0</v>
      </c>
      <c r="AG70" s="680">
        <f>+U70*M70</f>
        <v>0</v>
      </c>
      <c r="AH70" s="680">
        <f>+U70*N70</f>
        <v>0</v>
      </c>
      <c r="AI70" s="681">
        <f>+U70*O70</f>
        <v>125</v>
      </c>
      <c r="AJ70" s="681">
        <f>+U70*P70</f>
        <v>300</v>
      </c>
    </row>
    <row r="71" spans="1:36" hidden="1">
      <c r="A71" s="680">
        <v>2212001135</v>
      </c>
      <c r="B71" s="680" t="s">
        <v>639</v>
      </c>
      <c r="C71" s="680" t="s">
        <v>510</v>
      </c>
      <c r="D71" s="680" t="s">
        <v>509</v>
      </c>
      <c r="E71" s="680" t="s">
        <v>489</v>
      </c>
      <c r="F71" s="680" t="s">
        <v>488</v>
      </c>
      <c r="G71" s="680">
        <v>0</v>
      </c>
      <c r="H71" s="680">
        <v>0</v>
      </c>
      <c r="I71" s="680">
        <v>216</v>
      </c>
      <c r="J71" s="680">
        <v>540</v>
      </c>
      <c r="K71" s="680">
        <v>0</v>
      </c>
      <c r="L71" s="680">
        <v>0</v>
      </c>
      <c r="M71" s="680">
        <v>0</v>
      </c>
      <c r="N71" s="680">
        <v>0</v>
      </c>
      <c r="O71" s="680">
        <f>+G71+I71+K71+M71</f>
        <v>216</v>
      </c>
      <c r="P71" s="680">
        <f>+H71+J71+L71+N71</f>
        <v>540</v>
      </c>
      <c r="Q71" s="680" t="s">
        <v>637</v>
      </c>
      <c r="R71" s="680" t="s">
        <v>637</v>
      </c>
      <c r="S71" s="680" t="s">
        <v>267</v>
      </c>
      <c r="T71" s="680" t="s">
        <v>484</v>
      </c>
      <c r="U71" s="681">
        <v>15</v>
      </c>
      <c r="V71" s="680">
        <v>17.34</v>
      </c>
      <c r="W71" s="680" t="s">
        <v>507</v>
      </c>
      <c r="X71" s="680" t="s">
        <v>485</v>
      </c>
      <c r="Y71" s="680" t="s">
        <v>484</v>
      </c>
      <c r="Z71" s="680" t="s">
        <v>483</v>
      </c>
      <c r="AA71" s="680">
        <f>+U71*G71</f>
        <v>0</v>
      </c>
      <c r="AB71" s="680">
        <f>+U71*H71</f>
        <v>0</v>
      </c>
      <c r="AC71" s="680">
        <f>+U71*I71</f>
        <v>3240</v>
      </c>
      <c r="AD71" s="680">
        <f>+U71*J71</f>
        <v>8100</v>
      </c>
      <c r="AE71" s="680">
        <f>+U71*K71</f>
        <v>0</v>
      </c>
      <c r="AF71" s="680">
        <f>+U71*L71</f>
        <v>0</v>
      </c>
      <c r="AG71" s="680">
        <f>+U71*M71</f>
        <v>0</v>
      </c>
      <c r="AH71" s="680">
        <f>+U71*N71</f>
        <v>0</v>
      </c>
      <c r="AI71" s="681">
        <f>+U71*O71</f>
        <v>3240</v>
      </c>
      <c r="AJ71" s="681">
        <f>+U71*P71</f>
        <v>8100</v>
      </c>
    </row>
    <row r="72" spans="1:36" hidden="1">
      <c r="A72" s="680">
        <v>2212001136</v>
      </c>
      <c r="B72" s="680" t="s">
        <v>638</v>
      </c>
      <c r="C72" s="680" t="s">
        <v>510</v>
      </c>
      <c r="D72" s="680" t="s">
        <v>509</v>
      </c>
      <c r="E72" s="680" t="s">
        <v>489</v>
      </c>
      <c r="F72" s="680" t="s">
        <v>488</v>
      </c>
      <c r="G72" s="680">
        <v>0</v>
      </c>
      <c r="H72" s="680">
        <v>0</v>
      </c>
      <c r="I72" s="680">
        <v>216</v>
      </c>
      <c r="J72" s="680">
        <v>540</v>
      </c>
      <c r="K72" s="680">
        <v>0</v>
      </c>
      <c r="L72" s="680">
        <v>0</v>
      </c>
      <c r="M72" s="680">
        <v>0</v>
      </c>
      <c r="N72" s="680">
        <v>0</v>
      </c>
      <c r="O72" s="680">
        <f>+G72+I72+K72+M72</f>
        <v>216</v>
      </c>
      <c r="P72" s="680">
        <f>+H72+J72+L72+N72</f>
        <v>540</v>
      </c>
      <c r="Q72" s="680" t="s">
        <v>637</v>
      </c>
      <c r="R72" s="680" t="s">
        <v>637</v>
      </c>
      <c r="S72" s="680" t="s">
        <v>267</v>
      </c>
      <c r="T72" s="680" t="s">
        <v>484</v>
      </c>
      <c r="U72" s="681">
        <v>16.5</v>
      </c>
      <c r="V72" s="680">
        <v>18.21</v>
      </c>
      <c r="W72" s="680" t="s">
        <v>507</v>
      </c>
      <c r="X72" s="680" t="s">
        <v>485</v>
      </c>
      <c r="Y72" s="680" t="s">
        <v>484</v>
      </c>
      <c r="Z72" s="680" t="s">
        <v>483</v>
      </c>
      <c r="AA72" s="680">
        <f>+U72*G72</f>
        <v>0</v>
      </c>
      <c r="AB72" s="680">
        <f>+U72*H72</f>
        <v>0</v>
      </c>
      <c r="AC72" s="680">
        <f>+U72*I72</f>
        <v>3564</v>
      </c>
      <c r="AD72" s="680">
        <f>+U72*J72</f>
        <v>8910</v>
      </c>
      <c r="AE72" s="680">
        <f>+U72*K72</f>
        <v>0</v>
      </c>
      <c r="AF72" s="680">
        <f>+U72*L72</f>
        <v>0</v>
      </c>
      <c r="AG72" s="680">
        <f>+U72*M72</f>
        <v>0</v>
      </c>
      <c r="AH72" s="680">
        <f>+U72*N72</f>
        <v>0</v>
      </c>
      <c r="AI72" s="681">
        <f>+U72*O72</f>
        <v>3564</v>
      </c>
      <c r="AJ72" s="681">
        <f>+U72*P72</f>
        <v>8910</v>
      </c>
    </row>
    <row r="73" spans="1:36" hidden="1">
      <c r="A73" s="680">
        <v>2212001144</v>
      </c>
      <c r="B73" s="680" t="s">
        <v>636</v>
      </c>
      <c r="C73" s="680" t="s">
        <v>491</v>
      </c>
      <c r="D73" s="680" t="s">
        <v>490</v>
      </c>
      <c r="E73" s="680" t="s">
        <v>489</v>
      </c>
      <c r="F73" s="680" t="s">
        <v>488</v>
      </c>
      <c r="G73" s="680">
        <v>209</v>
      </c>
      <c r="H73" s="680">
        <v>522</v>
      </c>
      <c r="I73" s="680">
        <v>86</v>
      </c>
      <c r="J73" s="680">
        <v>214</v>
      </c>
      <c r="K73" s="680">
        <v>0</v>
      </c>
      <c r="L73" s="680">
        <v>0</v>
      </c>
      <c r="M73" s="680">
        <v>0</v>
      </c>
      <c r="N73" s="680">
        <v>0</v>
      </c>
      <c r="O73" s="680">
        <f>+G73+I73+K73+M73</f>
        <v>295</v>
      </c>
      <c r="P73" s="680">
        <f>+H73+J73+L73+N73</f>
        <v>736</v>
      </c>
      <c r="Q73" s="680" t="s">
        <v>635</v>
      </c>
      <c r="R73" s="680" t="s">
        <v>635</v>
      </c>
      <c r="S73" s="680" t="s">
        <v>171</v>
      </c>
      <c r="T73" s="680" t="s">
        <v>484</v>
      </c>
      <c r="U73" s="681">
        <v>48.8</v>
      </c>
      <c r="V73" s="680">
        <v>53.47</v>
      </c>
      <c r="W73" s="680" t="s">
        <v>634</v>
      </c>
      <c r="X73" s="680" t="s">
        <v>485</v>
      </c>
      <c r="Y73" s="680" t="s">
        <v>484</v>
      </c>
      <c r="Z73" s="680" t="s">
        <v>483</v>
      </c>
      <c r="AA73" s="680">
        <f>+U73*G73</f>
        <v>10199.199999999999</v>
      </c>
      <c r="AB73" s="680">
        <f>+U73*H73</f>
        <v>25473.599999999999</v>
      </c>
      <c r="AC73" s="680">
        <f>+U73*I73</f>
        <v>4196.8</v>
      </c>
      <c r="AD73" s="680">
        <f>+U73*J73</f>
        <v>10443.199999999999</v>
      </c>
      <c r="AE73" s="680">
        <f>+U73*K73</f>
        <v>0</v>
      </c>
      <c r="AF73" s="680">
        <f>+U73*L73</f>
        <v>0</v>
      </c>
      <c r="AG73" s="680">
        <f>+U73*M73</f>
        <v>0</v>
      </c>
      <c r="AH73" s="680">
        <f>+U73*N73</f>
        <v>0</v>
      </c>
      <c r="AI73" s="681">
        <f>+U73*O73</f>
        <v>14396</v>
      </c>
      <c r="AJ73" s="681">
        <f>+U73*P73</f>
        <v>35916.799999999996</v>
      </c>
    </row>
    <row r="74" spans="1:36" hidden="1">
      <c r="A74" s="680">
        <v>2212001151</v>
      </c>
      <c r="B74" s="680" t="s">
        <v>377</v>
      </c>
      <c r="C74" s="680" t="s">
        <v>503</v>
      </c>
      <c r="D74" s="680" t="s">
        <v>502</v>
      </c>
      <c r="E74" s="680" t="s">
        <v>489</v>
      </c>
      <c r="F74" s="680" t="s">
        <v>488</v>
      </c>
      <c r="G74" s="680">
        <v>15</v>
      </c>
      <c r="H74" s="680">
        <v>36</v>
      </c>
      <c r="I74" s="680">
        <v>0</v>
      </c>
      <c r="J74" s="680">
        <v>0</v>
      </c>
      <c r="K74" s="680">
        <v>0</v>
      </c>
      <c r="L74" s="680">
        <v>0</v>
      </c>
      <c r="M74" s="680">
        <v>0</v>
      </c>
      <c r="N74" s="680">
        <v>0</v>
      </c>
      <c r="O74" s="680">
        <f>+G74+I74+K74+M74</f>
        <v>15</v>
      </c>
      <c r="P74" s="680">
        <f>+H74+J74+L74+N74</f>
        <v>36</v>
      </c>
      <c r="Q74" s="680" t="s">
        <v>616</v>
      </c>
      <c r="R74" s="680" t="s">
        <v>616</v>
      </c>
      <c r="S74" s="680" t="s">
        <v>267</v>
      </c>
      <c r="T74" s="680" t="s">
        <v>633</v>
      </c>
      <c r="U74" s="681">
        <v>183</v>
      </c>
      <c r="V74" s="680">
        <v>188</v>
      </c>
      <c r="W74" s="680" t="s">
        <v>513</v>
      </c>
      <c r="X74" s="680" t="s">
        <v>485</v>
      </c>
      <c r="Y74" s="680" t="s">
        <v>484</v>
      </c>
      <c r="Z74" s="680" t="s">
        <v>483</v>
      </c>
      <c r="AA74" s="680">
        <f>+U74*G74</f>
        <v>2745</v>
      </c>
      <c r="AB74" s="680">
        <f>+U74*H74</f>
        <v>6588</v>
      </c>
      <c r="AC74" s="680">
        <f>+U74*I74</f>
        <v>0</v>
      </c>
      <c r="AD74" s="680">
        <f>+U74*J74</f>
        <v>0</v>
      </c>
      <c r="AE74" s="680">
        <f>+U74*K74</f>
        <v>0</v>
      </c>
      <c r="AF74" s="680">
        <f>+U74*L74</f>
        <v>0</v>
      </c>
      <c r="AG74" s="680">
        <f>+U74*M74</f>
        <v>0</v>
      </c>
      <c r="AH74" s="680">
        <f>+U74*N74</f>
        <v>0</v>
      </c>
      <c r="AI74" s="681">
        <f>+U74*O74</f>
        <v>2745</v>
      </c>
      <c r="AJ74" s="681">
        <f>+U74*P74</f>
        <v>6588</v>
      </c>
    </row>
    <row r="75" spans="1:36" hidden="1">
      <c r="A75" s="680">
        <v>2212001152</v>
      </c>
      <c r="B75" s="680" t="s">
        <v>632</v>
      </c>
      <c r="C75" s="680" t="s">
        <v>491</v>
      </c>
      <c r="D75" s="680" t="s">
        <v>490</v>
      </c>
      <c r="E75" s="680" t="s">
        <v>489</v>
      </c>
      <c r="F75" s="680" t="s">
        <v>488</v>
      </c>
      <c r="G75" s="680">
        <v>2688</v>
      </c>
      <c r="H75" s="680">
        <v>6720</v>
      </c>
      <c r="I75" s="680">
        <v>3168</v>
      </c>
      <c r="J75" s="680">
        <v>7920</v>
      </c>
      <c r="K75" s="680">
        <v>0</v>
      </c>
      <c r="L75" s="680">
        <v>0</v>
      </c>
      <c r="M75" s="680">
        <v>600</v>
      </c>
      <c r="N75" s="680">
        <v>1500</v>
      </c>
      <c r="O75" s="680">
        <f>+G75+I75+K75+M75</f>
        <v>6456</v>
      </c>
      <c r="P75" s="680">
        <f>+H75+J75+L75+N75</f>
        <v>16140</v>
      </c>
      <c r="Q75" s="680" t="s">
        <v>487</v>
      </c>
      <c r="R75" s="680" t="s">
        <v>631</v>
      </c>
      <c r="S75" s="680" t="s">
        <v>379</v>
      </c>
      <c r="T75" s="680" t="s">
        <v>484</v>
      </c>
      <c r="U75" s="681">
        <v>0.6</v>
      </c>
      <c r="V75" s="680">
        <v>0.66</v>
      </c>
      <c r="W75" s="680" t="s">
        <v>630</v>
      </c>
      <c r="X75" s="680" t="s">
        <v>485</v>
      </c>
      <c r="Y75" s="680" t="s">
        <v>484</v>
      </c>
      <c r="Z75" s="680" t="s">
        <v>483</v>
      </c>
      <c r="AA75" s="680">
        <f>+U75*G75</f>
        <v>1612.8</v>
      </c>
      <c r="AB75" s="680">
        <f>+U75*H75</f>
        <v>4032</v>
      </c>
      <c r="AC75" s="680">
        <f>+U75*I75</f>
        <v>1900.8</v>
      </c>
      <c r="AD75" s="680">
        <f>+U75*J75</f>
        <v>4752</v>
      </c>
      <c r="AE75" s="680">
        <f>+U75*K75</f>
        <v>0</v>
      </c>
      <c r="AF75" s="680">
        <f>+U75*L75</f>
        <v>0</v>
      </c>
      <c r="AG75" s="680">
        <f>+U75*M75</f>
        <v>360</v>
      </c>
      <c r="AH75" s="680">
        <f>+U75*N75</f>
        <v>900</v>
      </c>
      <c r="AI75" s="681">
        <f>+U75*O75</f>
        <v>3873.6</v>
      </c>
      <c r="AJ75" s="681">
        <f>+U75*P75</f>
        <v>9684</v>
      </c>
    </row>
    <row r="76" spans="1:36" hidden="1">
      <c r="A76" s="680">
        <v>2212001155</v>
      </c>
      <c r="B76" s="680" t="s">
        <v>380</v>
      </c>
      <c r="C76" s="680" t="s">
        <v>491</v>
      </c>
      <c r="D76" s="680" t="s">
        <v>490</v>
      </c>
      <c r="E76" s="680" t="s">
        <v>489</v>
      </c>
      <c r="F76" s="680" t="s">
        <v>488</v>
      </c>
      <c r="G76" s="680">
        <v>288</v>
      </c>
      <c r="H76" s="680">
        <v>720</v>
      </c>
      <c r="I76" s="680">
        <v>240</v>
      </c>
      <c r="J76" s="680">
        <v>600</v>
      </c>
      <c r="K76" s="680">
        <v>120</v>
      </c>
      <c r="L76" s="680">
        <v>300</v>
      </c>
      <c r="M76" s="680">
        <v>150</v>
      </c>
      <c r="N76" s="680">
        <v>375</v>
      </c>
      <c r="O76" s="680">
        <f>+G76+I76+K76+M76</f>
        <v>798</v>
      </c>
      <c r="P76" s="680">
        <f>+H76+J76+L76+N76</f>
        <v>1995</v>
      </c>
      <c r="Q76" s="680" t="s">
        <v>629</v>
      </c>
      <c r="R76" s="680" t="s">
        <v>629</v>
      </c>
      <c r="S76" s="680" t="s">
        <v>177</v>
      </c>
      <c r="T76" s="680" t="s">
        <v>484</v>
      </c>
      <c r="U76" s="681">
        <v>8.1</v>
      </c>
      <c r="V76" s="680">
        <v>8.35</v>
      </c>
      <c r="W76" s="680" t="s">
        <v>486</v>
      </c>
      <c r="X76" s="680" t="s">
        <v>485</v>
      </c>
      <c r="Y76" s="680" t="s">
        <v>484</v>
      </c>
      <c r="Z76" s="680" t="s">
        <v>483</v>
      </c>
      <c r="AA76" s="680">
        <f>+U76*G76</f>
        <v>2332.7999999999997</v>
      </c>
      <c r="AB76" s="680">
        <f>+U76*H76</f>
        <v>5832</v>
      </c>
      <c r="AC76" s="680">
        <f>+U76*I76</f>
        <v>1944</v>
      </c>
      <c r="AD76" s="680">
        <f>+U76*J76</f>
        <v>4860</v>
      </c>
      <c r="AE76" s="680">
        <f>+U76*K76</f>
        <v>972</v>
      </c>
      <c r="AF76" s="680">
        <f>+U76*L76</f>
        <v>2430</v>
      </c>
      <c r="AG76" s="680">
        <f>+U76*M76</f>
        <v>1215</v>
      </c>
      <c r="AH76" s="680">
        <f>+U76*N76</f>
        <v>3037.5</v>
      </c>
      <c r="AI76" s="681">
        <f>+U76*O76</f>
        <v>6463.7999999999993</v>
      </c>
      <c r="AJ76" s="681">
        <f>+U76*P76</f>
        <v>16159.5</v>
      </c>
    </row>
    <row r="77" spans="1:36" hidden="1">
      <c r="A77" s="680">
        <v>2212001159</v>
      </c>
      <c r="B77" s="680" t="s">
        <v>628</v>
      </c>
      <c r="C77" s="680" t="s">
        <v>510</v>
      </c>
      <c r="D77" s="680" t="s">
        <v>509</v>
      </c>
      <c r="E77" s="680" t="s">
        <v>489</v>
      </c>
      <c r="F77" s="680" t="s">
        <v>488</v>
      </c>
      <c r="G77" s="680">
        <v>10</v>
      </c>
      <c r="H77" s="680">
        <v>24</v>
      </c>
      <c r="I77" s="680">
        <v>0</v>
      </c>
      <c r="J77" s="680">
        <v>0</v>
      </c>
      <c r="K77" s="680">
        <v>0</v>
      </c>
      <c r="L77" s="680">
        <v>0</v>
      </c>
      <c r="M77" s="680">
        <v>0</v>
      </c>
      <c r="N77" s="680">
        <v>0</v>
      </c>
      <c r="O77" s="680">
        <f>+G77+I77+K77+M77</f>
        <v>10</v>
      </c>
      <c r="P77" s="680">
        <f>+H77+J77+L77+N77</f>
        <v>24</v>
      </c>
      <c r="Q77" s="680" t="s">
        <v>627</v>
      </c>
      <c r="R77" s="680" t="s">
        <v>627</v>
      </c>
      <c r="S77" s="680" t="s">
        <v>423</v>
      </c>
      <c r="T77" s="680" t="s">
        <v>484</v>
      </c>
      <c r="U77" s="681">
        <v>24.99</v>
      </c>
      <c r="V77" s="680">
        <v>27.34</v>
      </c>
      <c r="W77" s="680" t="s">
        <v>507</v>
      </c>
      <c r="X77" s="680" t="s">
        <v>485</v>
      </c>
      <c r="Y77" s="680" t="s">
        <v>484</v>
      </c>
      <c r="Z77" s="680" t="s">
        <v>483</v>
      </c>
      <c r="AA77" s="680">
        <f>+U77*G77</f>
        <v>249.89999999999998</v>
      </c>
      <c r="AB77" s="680">
        <f>+U77*H77</f>
        <v>599.76</v>
      </c>
      <c r="AC77" s="680">
        <f>+U77*I77</f>
        <v>0</v>
      </c>
      <c r="AD77" s="680">
        <f>+U77*J77</f>
        <v>0</v>
      </c>
      <c r="AE77" s="680">
        <f>+U77*K77</f>
        <v>0</v>
      </c>
      <c r="AF77" s="680">
        <f>+U77*L77</f>
        <v>0</v>
      </c>
      <c r="AG77" s="680">
        <f>+U77*M77</f>
        <v>0</v>
      </c>
      <c r="AH77" s="680">
        <f>+U77*N77</f>
        <v>0</v>
      </c>
      <c r="AI77" s="681">
        <f>+U77*O77</f>
        <v>249.89999999999998</v>
      </c>
      <c r="AJ77" s="681">
        <f>+U77*P77</f>
        <v>599.76</v>
      </c>
    </row>
    <row r="78" spans="1:36" hidden="1">
      <c r="A78" s="680">
        <v>2212001163</v>
      </c>
      <c r="B78" s="680" t="s">
        <v>626</v>
      </c>
      <c r="C78" s="680" t="s">
        <v>510</v>
      </c>
      <c r="D78" s="680" t="s">
        <v>509</v>
      </c>
      <c r="E78" s="680" t="s">
        <v>489</v>
      </c>
      <c r="F78" s="680" t="s">
        <v>488</v>
      </c>
      <c r="G78" s="680">
        <v>3</v>
      </c>
      <c r="H78" s="680">
        <v>6</v>
      </c>
      <c r="I78" s="680">
        <v>0</v>
      </c>
      <c r="J78" s="680">
        <v>0</v>
      </c>
      <c r="K78" s="680">
        <v>0</v>
      </c>
      <c r="L78" s="680">
        <v>0</v>
      </c>
      <c r="M78" s="680">
        <v>0</v>
      </c>
      <c r="N78" s="680">
        <v>0</v>
      </c>
      <c r="O78" s="680">
        <f>+G78+I78+K78+M78</f>
        <v>3</v>
      </c>
      <c r="P78" s="680">
        <f>+H78+J78+L78+N78</f>
        <v>6</v>
      </c>
      <c r="Q78" s="680" t="s">
        <v>625</v>
      </c>
      <c r="R78" s="680" t="s">
        <v>625</v>
      </c>
      <c r="S78" s="680" t="s">
        <v>384</v>
      </c>
      <c r="T78" s="680" t="s">
        <v>624</v>
      </c>
      <c r="U78" s="681">
        <v>87.47</v>
      </c>
      <c r="V78" s="680">
        <v>108.67</v>
      </c>
      <c r="W78" s="680" t="s">
        <v>507</v>
      </c>
      <c r="X78" s="680" t="s">
        <v>485</v>
      </c>
      <c r="Y78" s="680" t="s">
        <v>484</v>
      </c>
      <c r="Z78" s="680" t="s">
        <v>483</v>
      </c>
      <c r="AA78" s="680">
        <f>+U78*G78</f>
        <v>262.40999999999997</v>
      </c>
      <c r="AB78" s="680">
        <f>+U78*H78</f>
        <v>524.81999999999994</v>
      </c>
      <c r="AC78" s="680">
        <f>+U78*I78</f>
        <v>0</v>
      </c>
      <c r="AD78" s="680">
        <f>+U78*J78</f>
        <v>0</v>
      </c>
      <c r="AE78" s="680">
        <f>+U78*K78</f>
        <v>0</v>
      </c>
      <c r="AF78" s="680">
        <f>+U78*L78</f>
        <v>0</v>
      </c>
      <c r="AG78" s="680">
        <f>+U78*M78</f>
        <v>0</v>
      </c>
      <c r="AH78" s="680">
        <f>+U78*N78</f>
        <v>0</v>
      </c>
      <c r="AI78" s="681">
        <f>+U78*O78</f>
        <v>262.40999999999997</v>
      </c>
      <c r="AJ78" s="681">
        <f>+U78*P78</f>
        <v>524.81999999999994</v>
      </c>
    </row>
    <row r="79" spans="1:36" hidden="1">
      <c r="A79" s="680">
        <v>2212001170</v>
      </c>
      <c r="B79" s="680" t="s">
        <v>623</v>
      </c>
      <c r="C79" s="680" t="s">
        <v>491</v>
      </c>
      <c r="D79" s="680" t="s">
        <v>490</v>
      </c>
      <c r="E79" s="680" t="s">
        <v>489</v>
      </c>
      <c r="F79" s="680" t="s">
        <v>488</v>
      </c>
      <c r="G79" s="680">
        <v>0</v>
      </c>
      <c r="H79" s="680">
        <v>0</v>
      </c>
      <c r="I79" s="680">
        <v>504</v>
      </c>
      <c r="J79" s="680">
        <v>1260</v>
      </c>
      <c r="K79" s="680">
        <v>0</v>
      </c>
      <c r="L79" s="680">
        <v>0</v>
      </c>
      <c r="M79" s="680">
        <v>0</v>
      </c>
      <c r="N79" s="680">
        <v>0</v>
      </c>
      <c r="O79" s="680">
        <f>+G79+I79+K79+M79</f>
        <v>504</v>
      </c>
      <c r="P79" s="680">
        <f>+H79+J79+L79+N79</f>
        <v>1260</v>
      </c>
      <c r="Q79" s="680" t="s">
        <v>622</v>
      </c>
      <c r="R79" s="680" t="s">
        <v>622</v>
      </c>
      <c r="S79" s="680" t="s">
        <v>219</v>
      </c>
      <c r="T79" s="680" t="s">
        <v>484</v>
      </c>
      <c r="U79" s="681">
        <v>65</v>
      </c>
      <c r="V79" s="680">
        <v>65</v>
      </c>
      <c r="W79" s="680" t="s">
        <v>486</v>
      </c>
      <c r="X79" s="680" t="s">
        <v>485</v>
      </c>
      <c r="Y79" s="680" t="s">
        <v>484</v>
      </c>
      <c r="Z79" s="680" t="s">
        <v>483</v>
      </c>
      <c r="AA79" s="680">
        <f>+U79*G79</f>
        <v>0</v>
      </c>
      <c r="AB79" s="680">
        <f>+U79*H79</f>
        <v>0</v>
      </c>
      <c r="AC79" s="680">
        <f>+U79*I79</f>
        <v>32760</v>
      </c>
      <c r="AD79" s="680">
        <f>+U79*J79</f>
        <v>81900</v>
      </c>
      <c r="AE79" s="680">
        <f>+U79*K79</f>
        <v>0</v>
      </c>
      <c r="AF79" s="680">
        <f>+U79*L79</f>
        <v>0</v>
      </c>
      <c r="AG79" s="680">
        <f>+U79*M79</f>
        <v>0</v>
      </c>
      <c r="AH79" s="680">
        <f>+U79*N79</f>
        <v>0</v>
      </c>
      <c r="AI79" s="681">
        <f>+U79*O79</f>
        <v>32760</v>
      </c>
      <c r="AJ79" s="681">
        <f>+U79*P79</f>
        <v>81900</v>
      </c>
    </row>
    <row r="80" spans="1:36" hidden="1">
      <c r="A80" s="680">
        <v>2212001172</v>
      </c>
      <c r="B80" s="680" t="s">
        <v>389</v>
      </c>
      <c r="C80" s="680" t="s">
        <v>491</v>
      </c>
      <c r="D80" s="680" t="s">
        <v>490</v>
      </c>
      <c r="E80" s="680" t="s">
        <v>489</v>
      </c>
      <c r="F80" s="680" t="s">
        <v>488</v>
      </c>
      <c r="G80" s="680">
        <v>128</v>
      </c>
      <c r="H80" s="680">
        <v>318</v>
      </c>
      <c r="I80" s="680">
        <v>5</v>
      </c>
      <c r="J80" s="680">
        <v>12</v>
      </c>
      <c r="K80" s="680">
        <v>0</v>
      </c>
      <c r="L80" s="680">
        <v>0</v>
      </c>
      <c r="M80" s="680">
        <v>0</v>
      </c>
      <c r="N80" s="680">
        <v>0</v>
      </c>
      <c r="O80" s="680">
        <f>+G80+I80+K80+M80</f>
        <v>133</v>
      </c>
      <c r="P80" s="680">
        <f>+H80+J80+L80+N80</f>
        <v>330</v>
      </c>
      <c r="Q80" s="680" t="s">
        <v>621</v>
      </c>
      <c r="R80" s="680" t="s">
        <v>621</v>
      </c>
      <c r="S80" s="680" t="s">
        <v>177</v>
      </c>
      <c r="T80" s="680" t="s">
        <v>484</v>
      </c>
      <c r="U80" s="681">
        <v>44</v>
      </c>
      <c r="V80" s="680">
        <v>40.58</v>
      </c>
      <c r="W80" s="680" t="s">
        <v>620</v>
      </c>
      <c r="X80" s="680" t="s">
        <v>485</v>
      </c>
      <c r="Y80" s="680" t="s">
        <v>484</v>
      </c>
      <c r="Z80" s="680" t="s">
        <v>483</v>
      </c>
      <c r="AA80" s="680">
        <f>+U80*G80</f>
        <v>5632</v>
      </c>
      <c r="AB80" s="680">
        <f>+U80*H80</f>
        <v>13992</v>
      </c>
      <c r="AC80" s="680">
        <f>+U80*I80</f>
        <v>220</v>
      </c>
      <c r="AD80" s="680">
        <f>+U80*J80</f>
        <v>528</v>
      </c>
      <c r="AE80" s="680">
        <f>+U80*K80</f>
        <v>0</v>
      </c>
      <c r="AF80" s="680">
        <f>+U80*L80</f>
        <v>0</v>
      </c>
      <c r="AG80" s="680">
        <f>+U80*M80</f>
        <v>0</v>
      </c>
      <c r="AH80" s="680">
        <f>+U80*N80</f>
        <v>0</v>
      </c>
      <c r="AI80" s="681">
        <f>+U80*O80</f>
        <v>5852</v>
      </c>
      <c r="AJ80" s="681">
        <f>+U80*P80</f>
        <v>14520</v>
      </c>
    </row>
    <row r="81" spans="1:36" hidden="1">
      <c r="A81" s="680">
        <v>2212001173</v>
      </c>
      <c r="B81" s="680" t="s">
        <v>619</v>
      </c>
      <c r="C81" s="680" t="s">
        <v>512</v>
      </c>
      <c r="D81" s="680" t="s">
        <v>511</v>
      </c>
      <c r="E81" s="680" t="s">
        <v>489</v>
      </c>
      <c r="F81" s="680" t="s">
        <v>488</v>
      </c>
      <c r="G81" s="680">
        <v>17</v>
      </c>
      <c r="H81" s="680">
        <v>42</v>
      </c>
      <c r="I81" s="680">
        <v>0</v>
      </c>
      <c r="J81" s="680">
        <v>0</v>
      </c>
      <c r="K81" s="680">
        <v>0</v>
      </c>
      <c r="L81" s="680">
        <v>0</v>
      </c>
      <c r="M81" s="680">
        <v>0</v>
      </c>
      <c r="N81" s="680">
        <v>0</v>
      </c>
      <c r="O81" s="680">
        <f>+G81+I81+K81+M81</f>
        <v>17</v>
      </c>
      <c r="P81" s="680">
        <f>+H81+J81+L81+N81</f>
        <v>42</v>
      </c>
      <c r="Q81" s="680" t="s">
        <v>618</v>
      </c>
      <c r="R81" s="680" t="s">
        <v>494</v>
      </c>
      <c r="S81" s="680" t="s">
        <v>267</v>
      </c>
      <c r="T81" s="680" t="s">
        <v>484</v>
      </c>
      <c r="U81" s="681">
        <v>35</v>
      </c>
      <c r="V81" s="680">
        <v>32.799999999999997</v>
      </c>
      <c r="W81" s="680" t="s">
        <v>507</v>
      </c>
      <c r="X81" s="680" t="s">
        <v>485</v>
      </c>
      <c r="Y81" s="680" t="s">
        <v>484</v>
      </c>
      <c r="Z81" s="680" t="s">
        <v>483</v>
      </c>
      <c r="AA81" s="680">
        <f>+U81*G81</f>
        <v>595</v>
      </c>
      <c r="AB81" s="680">
        <f>+U81*H81</f>
        <v>1470</v>
      </c>
      <c r="AC81" s="680">
        <f>+U81*I81</f>
        <v>0</v>
      </c>
      <c r="AD81" s="680">
        <f>+U81*J81</f>
        <v>0</v>
      </c>
      <c r="AE81" s="680">
        <f>+U81*K81</f>
        <v>0</v>
      </c>
      <c r="AF81" s="680">
        <f>+U81*L81</f>
        <v>0</v>
      </c>
      <c r="AG81" s="680">
        <f>+U81*M81</f>
        <v>0</v>
      </c>
      <c r="AH81" s="680">
        <f>+U81*N81</f>
        <v>0</v>
      </c>
      <c r="AI81" s="681">
        <f>+U81*O81</f>
        <v>595</v>
      </c>
      <c r="AJ81" s="681">
        <f>+U81*P81</f>
        <v>1470</v>
      </c>
    </row>
    <row r="82" spans="1:36" hidden="1">
      <c r="A82" s="680">
        <v>2212001174</v>
      </c>
      <c r="B82" s="680" t="s">
        <v>617</v>
      </c>
      <c r="C82" s="680" t="s">
        <v>510</v>
      </c>
      <c r="D82" s="680" t="s">
        <v>509</v>
      </c>
      <c r="E82" s="680" t="s">
        <v>489</v>
      </c>
      <c r="F82" s="680" t="s">
        <v>488</v>
      </c>
      <c r="G82" s="680">
        <v>3</v>
      </c>
      <c r="H82" s="680">
        <v>6</v>
      </c>
      <c r="I82" s="680">
        <v>0</v>
      </c>
      <c r="J82" s="680">
        <v>0</v>
      </c>
      <c r="K82" s="680">
        <v>0</v>
      </c>
      <c r="L82" s="680">
        <v>0</v>
      </c>
      <c r="M82" s="680">
        <v>0</v>
      </c>
      <c r="N82" s="680">
        <v>0</v>
      </c>
      <c r="O82" s="680">
        <f>+G82+I82+K82+M82</f>
        <v>3</v>
      </c>
      <c r="P82" s="680">
        <f>+H82+J82+L82+N82</f>
        <v>6</v>
      </c>
      <c r="Q82" s="680" t="s">
        <v>616</v>
      </c>
      <c r="R82" s="680" t="s">
        <v>616</v>
      </c>
      <c r="S82" s="680" t="s">
        <v>267</v>
      </c>
      <c r="T82" s="680" t="s">
        <v>615</v>
      </c>
      <c r="U82" s="681">
        <v>107.8</v>
      </c>
      <c r="V82" s="680">
        <v>173.87</v>
      </c>
      <c r="W82" s="680" t="s">
        <v>507</v>
      </c>
      <c r="X82" s="680" t="s">
        <v>485</v>
      </c>
      <c r="Y82" s="680" t="s">
        <v>484</v>
      </c>
      <c r="Z82" s="680" t="s">
        <v>483</v>
      </c>
      <c r="AA82" s="680">
        <f>+U82*G82</f>
        <v>323.39999999999998</v>
      </c>
      <c r="AB82" s="680">
        <f>+U82*H82</f>
        <v>646.79999999999995</v>
      </c>
      <c r="AC82" s="680">
        <f>+U82*I82</f>
        <v>0</v>
      </c>
      <c r="AD82" s="680">
        <f>+U82*J82</f>
        <v>0</v>
      </c>
      <c r="AE82" s="680">
        <f>+U82*K82</f>
        <v>0</v>
      </c>
      <c r="AF82" s="680">
        <f>+U82*L82</f>
        <v>0</v>
      </c>
      <c r="AG82" s="680">
        <f>+U82*M82</f>
        <v>0</v>
      </c>
      <c r="AH82" s="680">
        <f>+U82*N82</f>
        <v>0</v>
      </c>
      <c r="AI82" s="681">
        <f>+U82*O82</f>
        <v>323.39999999999998</v>
      </c>
      <c r="AJ82" s="681">
        <f>+U82*P82</f>
        <v>646.79999999999995</v>
      </c>
    </row>
    <row r="83" spans="1:36" hidden="1">
      <c r="A83" s="680">
        <v>2212001181</v>
      </c>
      <c r="B83" s="680" t="s">
        <v>404</v>
      </c>
      <c r="C83" s="680" t="s">
        <v>491</v>
      </c>
      <c r="D83" s="680" t="s">
        <v>490</v>
      </c>
      <c r="E83" s="680" t="s">
        <v>489</v>
      </c>
      <c r="F83" s="680" t="s">
        <v>488</v>
      </c>
      <c r="G83" s="680">
        <v>101</v>
      </c>
      <c r="H83" s="680">
        <v>252</v>
      </c>
      <c r="I83" s="680">
        <v>0</v>
      </c>
      <c r="J83" s="680">
        <v>0</v>
      </c>
      <c r="K83" s="680">
        <v>0</v>
      </c>
      <c r="L83" s="680">
        <v>0</v>
      </c>
      <c r="M83" s="680">
        <v>0</v>
      </c>
      <c r="N83" s="680">
        <v>0</v>
      </c>
      <c r="O83" s="680">
        <f>+G83+I83+K83+M83</f>
        <v>101</v>
      </c>
      <c r="P83" s="680">
        <f>+H83+J83+L83+N83</f>
        <v>252</v>
      </c>
      <c r="Q83" s="680" t="s">
        <v>614</v>
      </c>
      <c r="R83" s="680" t="s">
        <v>613</v>
      </c>
      <c r="S83" s="680" t="s">
        <v>6</v>
      </c>
      <c r="T83" s="680" t="s">
        <v>484</v>
      </c>
      <c r="U83" s="681">
        <v>270</v>
      </c>
      <c r="V83" s="680">
        <v>260</v>
      </c>
      <c r="W83" s="680" t="s">
        <v>507</v>
      </c>
      <c r="X83" s="680" t="s">
        <v>485</v>
      </c>
      <c r="Y83" s="680" t="s">
        <v>484</v>
      </c>
      <c r="Z83" s="680" t="s">
        <v>483</v>
      </c>
      <c r="AA83" s="680">
        <f>+U83*G83</f>
        <v>27270</v>
      </c>
      <c r="AB83" s="680">
        <f>+U83*H83</f>
        <v>68040</v>
      </c>
      <c r="AC83" s="680">
        <f>+U83*I83</f>
        <v>0</v>
      </c>
      <c r="AD83" s="680">
        <f>+U83*J83</f>
        <v>0</v>
      </c>
      <c r="AE83" s="680">
        <f>+U83*K83</f>
        <v>0</v>
      </c>
      <c r="AF83" s="680">
        <f>+U83*L83</f>
        <v>0</v>
      </c>
      <c r="AG83" s="680">
        <f>+U83*M83</f>
        <v>0</v>
      </c>
      <c r="AH83" s="680">
        <f>+U83*N83</f>
        <v>0</v>
      </c>
      <c r="AI83" s="681">
        <f>+U83*O83</f>
        <v>27270</v>
      </c>
      <c r="AJ83" s="681">
        <f>+U83*P83</f>
        <v>68040</v>
      </c>
    </row>
    <row r="84" spans="1:36" hidden="1">
      <c r="A84" s="680">
        <v>2212001186</v>
      </c>
      <c r="B84" s="680" t="s">
        <v>393</v>
      </c>
      <c r="C84" s="680" t="s">
        <v>491</v>
      </c>
      <c r="D84" s="680" t="s">
        <v>490</v>
      </c>
      <c r="E84" s="680" t="s">
        <v>489</v>
      </c>
      <c r="F84" s="680" t="s">
        <v>488</v>
      </c>
      <c r="G84" s="680">
        <v>210</v>
      </c>
      <c r="H84" s="680">
        <v>525</v>
      </c>
      <c r="I84" s="680">
        <v>144</v>
      </c>
      <c r="J84" s="680">
        <v>360</v>
      </c>
      <c r="K84" s="680">
        <v>0</v>
      </c>
      <c r="L84" s="680">
        <v>0</v>
      </c>
      <c r="M84" s="680">
        <v>0</v>
      </c>
      <c r="N84" s="680">
        <v>0</v>
      </c>
      <c r="O84" s="680">
        <f>+G84+I84+K84+M84</f>
        <v>354</v>
      </c>
      <c r="P84" s="680">
        <f>+H84+J84+L84+N84</f>
        <v>885</v>
      </c>
      <c r="Q84" s="680" t="s">
        <v>612</v>
      </c>
      <c r="R84" s="680" t="s">
        <v>612</v>
      </c>
      <c r="S84" s="680" t="s">
        <v>296</v>
      </c>
      <c r="T84" s="680" t="s">
        <v>484</v>
      </c>
      <c r="U84" s="681">
        <v>202</v>
      </c>
      <c r="V84" s="680">
        <v>229.21</v>
      </c>
      <c r="W84" s="680" t="s">
        <v>611</v>
      </c>
      <c r="X84" s="680" t="s">
        <v>485</v>
      </c>
      <c r="Y84" s="680" t="s">
        <v>484</v>
      </c>
      <c r="Z84" s="680" t="s">
        <v>483</v>
      </c>
      <c r="AA84" s="680">
        <f>+U84*G84</f>
        <v>42420</v>
      </c>
      <c r="AB84" s="680">
        <f>+U84*H84</f>
        <v>106050</v>
      </c>
      <c r="AC84" s="680">
        <f>+U84*I84</f>
        <v>29088</v>
      </c>
      <c r="AD84" s="680">
        <f>+U84*J84</f>
        <v>72720</v>
      </c>
      <c r="AE84" s="680">
        <f>+U84*K84</f>
        <v>0</v>
      </c>
      <c r="AF84" s="680">
        <f>+U84*L84</f>
        <v>0</v>
      </c>
      <c r="AG84" s="680">
        <f>+U84*M84</f>
        <v>0</v>
      </c>
      <c r="AH84" s="680">
        <f>+U84*N84</f>
        <v>0</v>
      </c>
      <c r="AI84" s="681">
        <f>+U84*O84</f>
        <v>71508</v>
      </c>
      <c r="AJ84" s="681">
        <f>+U84*P84</f>
        <v>178770</v>
      </c>
    </row>
    <row r="85" spans="1:36" hidden="1">
      <c r="A85" s="680">
        <v>2212001187</v>
      </c>
      <c r="B85" s="680" t="s">
        <v>394</v>
      </c>
      <c r="C85" s="680" t="s">
        <v>491</v>
      </c>
      <c r="D85" s="680" t="s">
        <v>490</v>
      </c>
      <c r="E85" s="680" t="s">
        <v>489</v>
      </c>
      <c r="F85" s="680" t="s">
        <v>488</v>
      </c>
      <c r="G85" s="680">
        <v>34</v>
      </c>
      <c r="H85" s="680">
        <v>84</v>
      </c>
      <c r="I85" s="680">
        <v>0</v>
      </c>
      <c r="J85" s="680">
        <v>0</v>
      </c>
      <c r="K85" s="680">
        <v>0</v>
      </c>
      <c r="L85" s="680">
        <v>0</v>
      </c>
      <c r="M85" s="680">
        <v>0</v>
      </c>
      <c r="N85" s="680">
        <v>0</v>
      </c>
      <c r="O85" s="680">
        <f>+G85+I85+K85+M85</f>
        <v>34</v>
      </c>
      <c r="P85" s="680">
        <f>+H85+J85+L85+N85</f>
        <v>84</v>
      </c>
      <c r="Q85" s="680" t="s">
        <v>610</v>
      </c>
      <c r="R85" s="680" t="s">
        <v>610</v>
      </c>
      <c r="S85" s="680" t="s">
        <v>86</v>
      </c>
      <c r="T85" s="680" t="s">
        <v>484</v>
      </c>
      <c r="U85" s="681">
        <v>35.5</v>
      </c>
      <c r="V85" s="680">
        <v>38.270000000000003</v>
      </c>
      <c r="W85" s="680" t="s">
        <v>507</v>
      </c>
      <c r="X85" s="680" t="s">
        <v>485</v>
      </c>
      <c r="Y85" s="680" t="s">
        <v>484</v>
      </c>
      <c r="Z85" s="680" t="s">
        <v>483</v>
      </c>
      <c r="AA85" s="680">
        <f>+U85*G85</f>
        <v>1207</v>
      </c>
      <c r="AB85" s="680">
        <f>+U85*H85</f>
        <v>2982</v>
      </c>
      <c r="AC85" s="680">
        <f>+U85*I85</f>
        <v>0</v>
      </c>
      <c r="AD85" s="680">
        <f>+U85*J85</f>
        <v>0</v>
      </c>
      <c r="AE85" s="680">
        <f>+U85*K85</f>
        <v>0</v>
      </c>
      <c r="AF85" s="680">
        <f>+U85*L85</f>
        <v>0</v>
      </c>
      <c r="AG85" s="680">
        <f>+U85*M85</f>
        <v>0</v>
      </c>
      <c r="AH85" s="680">
        <f>+U85*N85</f>
        <v>0</v>
      </c>
      <c r="AI85" s="681">
        <f>+U85*O85</f>
        <v>1207</v>
      </c>
      <c r="AJ85" s="681">
        <f>+U85*P85</f>
        <v>2982</v>
      </c>
    </row>
    <row r="86" spans="1:36" hidden="1">
      <c r="A86" s="680">
        <v>2212001189</v>
      </c>
      <c r="B86" s="680" t="s">
        <v>395</v>
      </c>
      <c r="C86" s="680" t="s">
        <v>503</v>
      </c>
      <c r="D86" s="680" t="s">
        <v>502</v>
      </c>
      <c r="E86" s="680" t="s">
        <v>489</v>
      </c>
      <c r="F86" s="680" t="s">
        <v>488</v>
      </c>
      <c r="G86" s="680">
        <v>0</v>
      </c>
      <c r="H86" s="680">
        <v>0</v>
      </c>
      <c r="I86" s="680">
        <v>2</v>
      </c>
      <c r="J86" s="680">
        <v>4</v>
      </c>
      <c r="K86" s="680">
        <v>0</v>
      </c>
      <c r="L86" s="680">
        <v>0</v>
      </c>
      <c r="M86" s="680">
        <v>0</v>
      </c>
      <c r="N86" s="680">
        <v>0</v>
      </c>
      <c r="O86" s="680">
        <f>+G86+I86+K86+M86</f>
        <v>2</v>
      </c>
      <c r="P86" s="680">
        <f>+H86+J86+L86+N86</f>
        <v>4</v>
      </c>
      <c r="Q86" s="680" t="s">
        <v>608</v>
      </c>
      <c r="R86" s="680" t="s">
        <v>608</v>
      </c>
      <c r="S86" s="680" t="s">
        <v>6</v>
      </c>
      <c r="T86" s="680" t="s">
        <v>484</v>
      </c>
      <c r="U86" s="681">
        <v>174</v>
      </c>
      <c r="V86" s="680">
        <v>173.87</v>
      </c>
      <c r="W86" s="680" t="s">
        <v>507</v>
      </c>
      <c r="X86" s="680" t="s">
        <v>485</v>
      </c>
      <c r="Y86" s="680" t="s">
        <v>484</v>
      </c>
      <c r="Z86" s="680" t="s">
        <v>483</v>
      </c>
      <c r="AA86" s="680">
        <f>+U86*G86</f>
        <v>0</v>
      </c>
      <c r="AB86" s="680">
        <f>+U86*H86</f>
        <v>0</v>
      </c>
      <c r="AC86" s="680">
        <f>+U86*I86</f>
        <v>348</v>
      </c>
      <c r="AD86" s="680">
        <f>+U86*J86</f>
        <v>696</v>
      </c>
      <c r="AE86" s="680">
        <f>+U86*K86</f>
        <v>0</v>
      </c>
      <c r="AF86" s="680">
        <f>+U86*L86</f>
        <v>0</v>
      </c>
      <c r="AG86" s="680">
        <f>+U86*M86</f>
        <v>0</v>
      </c>
      <c r="AH86" s="680">
        <f>+U86*N86</f>
        <v>0</v>
      </c>
      <c r="AI86" s="681">
        <f>+U86*O86</f>
        <v>348</v>
      </c>
      <c r="AJ86" s="681">
        <f>+U86*P86</f>
        <v>696</v>
      </c>
    </row>
    <row r="87" spans="1:36" hidden="1">
      <c r="A87" s="680">
        <v>2212001190</v>
      </c>
      <c r="B87" s="680" t="s">
        <v>396</v>
      </c>
      <c r="C87" s="680" t="s">
        <v>503</v>
      </c>
      <c r="D87" s="680" t="s">
        <v>502</v>
      </c>
      <c r="E87" s="680" t="s">
        <v>489</v>
      </c>
      <c r="F87" s="680" t="s">
        <v>488</v>
      </c>
      <c r="G87" s="680">
        <v>0</v>
      </c>
      <c r="H87" s="680">
        <v>0</v>
      </c>
      <c r="I87" s="680">
        <v>2</v>
      </c>
      <c r="J87" s="680">
        <v>4</v>
      </c>
      <c r="K87" s="680">
        <v>0</v>
      </c>
      <c r="L87" s="680">
        <v>0</v>
      </c>
      <c r="M87" s="680">
        <v>0</v>
      </c>
      <c r="N87" s="680">
        <v>0</v>
      </c>
      <c r="O87" s="680">
        <f>+G87+I87+K87+M87</f>
        <v>2</v>
      </c>
      <c r="P87" s="680">
        <f>+H87+J87+L87+N87</f>
        <v>4</v>
      </c>
      <c r="Q87" s="680" t="s">
        <v>608</v>
      </c>
      <c r="R87" s="680" t="s">
        <v>608</v>
      </c>
      <c r="S87" s="680" t="s">
        <v>6</v>
      </c>
      <c r="T87" s="680" t="s">
        <v>484</v>
      </c>
      <c r="U87" s="681">
        <v>174</v>
      </c>
      <c r="V87" s="680">
        <v>173.87</v>
      </c>
      <c r="W87" s="680" t="s">
        <v>507</v>
      </c>
      <c r="X87" s="680" t="s">
        <v>485</v>
      </c>
      <c r="Y87" s="680" t="s">
        <v>484</v>
      </c>
      <c r="Z87" s="680" t="s">
        <v>483</v>
      </c>
      <c r="AA87" s="680">
        <f>+U87*G87</f>
        <v>0</v>
      </c>
      <c r="AB87" s="680">
        <f>+U87*H87</f>
        <v>0</v>
      </c>
      <c r="AC87" s="680">
        <f>+U87*I87</f>
        <v>348</v>
      </c>
      <c r="AD87" s="680">
        <f>+U87*J87</f>
        <v>696</v>
      </c>
      <c r="AE87" s="680">
        <f>+U87*K87</f>
        <v>0</v>
      </c>
      <c r="AF87" s="680">
        <f>+U87*L87</f>
        <v>0</v>
      </c>
      <c r="AG87" s="680">
        <f>+U87*M87</f>
        <v>0</v>
      </c>
      <c r="AH87" s="680">
        <f>+U87*N87</f>
        <v>0</v>
      </c>
      <c r="AI87" s="681">
        <f>+U87*O87</f>
        <v>348</v>
      </c>
      <c r="AJ87" s="681">
        <f>+U87*P87</f>
        <v>696</v>
      </c>
    </row>
    <row r="88" spans="1:36" hidden="1">
      <c r="A88" s="680">
        <v>2212001191</v>
      </c>
      <c r="B88" s="680" t="s">
        <v>609</v>
      </c>
      <c r="C88" s="680" t="s">
        <v>503</v>
      </c>
      <c r="D88" s="680" t="s">
        <v>502</v>
      </c>
      <c r="E88" s="680" t="s">
        <v>489</v>
      </c>
      <c r="F88" s="680" t="s">
        <v>488</v>
      </c>
      <c r="G88" s="680">
        <v>0</v>
      </c>
      <c r="H88" s="680">
        <v>0</v>
      </c>
      <c r="I88" s="680">
        <v>2</v>
      </c>
      <c r="J88" s="680">
        <v>4</v>
      </c>
      <c r="K88" s="680">
        <v>0</v>
      </c>
      <c r="L88" s="680">
        <v>0</v>
      </c>
      <c r="M88" s="680">
        <v>0</v>
      </c>
      <c r="N88" s="680">
        <v>0</v>
      </c>
      <c r="O88" s="680">
        <f>+G88+I88+K88+M88</f>
        <v>2</v>
      </c>
      <c r="P88" s="680">
        <f>+H88+J88+L88+N88</f>
        <v>4</v>
      </c>
      <c r="Q88" s="680" t="s">
        <v>608</v>
      </c>
      <c r="R88" s="680" t="s">
        <v>608</v>
      </c>
      <c r="S88" s="680" t="s">
        <v>6</v>
      </c>
      <c r="T88" s="680" t="s">
        <v>484</v>
      </c>
      <c r="U88" s="681">
        <v>174</v>
      </c>
      <c r="V88" s="680">
        <v>173.34</v>
      </c>
      <c r="W88" s="680" t="s">
        <v>507</v>
      </c>
      <c r="X88" s="680" t="s">
        <v>485</v>
      </c>
      <c r="Y88" s="680" t="s">
        <v>484</v>
      </c>
      <c r="Z88" s="680" t="s">
        <v>483</v>
      </c>
      <c r="AA88" s="680">
        <f>+U88*G88</f>
        <v>0</v>
      </c>
      <c r="AB88" s="680">
        <f>+U88*H88</f>
        <v>0</v>
      </c>
      <c r="AC88" s="680">
        <f>+U88*I88</f>
        <v>348</v>
      </c>
      <c r="AD88" s="680">
        <f>+U88*J88</f>
        <v>696</v>
      </c>
      <c r="AE88" s="680">
        <f>+U88*K88</f>
        <v>0</v>
      </c>
      <c r="AF88" s="680">
        <f>+U88*L88</f>
        <v>0</v>
      </c>
      <c r="AG88" s="680">
        <f>+U88*M88</f>
        <v>0</v>
      </c>
      <c r="AH88" s="680">
        <f>+U88*N88</f>
        <v>0</v>
      </c>
      <c r="AI88" s="681">
        <f>+U88*O88</f>
        <v>348</v>
      </c>
      <c r="AJ88" s="681">
        <f>+U88*P88</f>
        <v>696</v>
      </c>
    </row>
    <row r="89" spans="1:36">
      <c r="A89" s="680">
        <v>2212001193</v>
      </c>
      <c r="B89" s="680" t="s">
        <v>398</v>
      </c>
      <c r="C89" s="680" t="s">
        <v>519</v>
      </c>
      <c r="D89" s="680" t="s">
        <v>518</v>
      </c>
      <c r="E89" s="680" t="s">
        <v>489</v>
      </c>
      <c r="F89" s="680" t="s">
        <v>488</v>
      </c>
      <c r="G89" s="680">
        <v>0</v>
      </c>
      <c r="H89" s="680">
        <v>0</v>
      </c>
      <c r="I89" s="680">
        <v>2400</v>
      </c>
      <c r="J89" s="680">
        <v>6000</v>
      </c>
      <c r="K89" s="680">
        <v>0</v>
      </c>
      <c r="L89" s="680">
        <v>0</v>
      </c>
      <c r="M89" s="680">
        <v>0</v>
      </c>
      <c r="N89" s="680">
        <v>0</v>
      </c>
      <c r="O89" s="680">
        <f>+G89+I89+K89+M89</f>
        <v>2400</v>
      </c>
      <c r="P89" s="680">
        <f>+H89+J89+L89+N89</f>
        <v>6000</v>
      </c>
      <c r="Q89" s="680" t="s">
        <v>607</v>
      </c>
      <c r="R89" s="680" t="s">
        <v>607</v>
      </c>
      <c r="S89" s="680" t="s">
        <v>8</v>
      </c>
      <c r="T89" s="680" t="s">
        <v>484</v>
      </c>
      <c r="U89" s="681">
        <v>10.199999999999999</v>
      </c>
      <c r="V89" s="680">
        <v>9.9600000000000009</v>
      </c>
      <c r="W89" s="680" t="s">
        <v>486</v>
      </c>
      <c r="X89" s="680" t="s">
        <v>485</v>
      </c>
      <c r="Y89" s="680" t="s">
        <v>484</v>
      </c>
      <c r="Z89" s="680" t="s">
        <v>483</v>
      </c>
      <c r="AA89" s="680">
        <f>+U89*G89</f>
        <v>0</v>
      </c>
      <c r="AB89" s="680">
        <f>+U89*H89</f>
        <v>0</v>
      </c>
      <c r="AC89" s="680">
        <f>+U89*I89</f>
        <v>24480</v>
      </c>
      <c r="AD89" s="680">
        <f>+U89*J89</f>
        <v>61199.999999999993</v>
      </c>
      <c r="AE89" s="680">
        <f>+U89*K89</f>
        <v>0</v>
      </c>
      <c r="AF89" s="680">
        <f>+U89*L89</f>
        <v>0</v>
      </c>
      <c r="AG89" s="680">
        <f>+U89*M89</f>
        <v>0</v>
      </c>
      <c r="AH89" s="680">
        <f>+U89*N89</f>
        <v>0</v>
      </c>
      <c r="AI89" s="681">
        <f>+U89*O89</f>
        <v>24480</v>
      </c>
      <c r="AJ89" s="681">
        <f>+U89*P89</f>
        <v>61199.999999999993</v>
      </c>
    </row>
    <row r="90" spans="1:36" hidden="1">
      <c r="A90" s="680">
        <v>2212001196</v>
      </c>
      <c r="B90" s="680" t="s">
        <v>606</v>
      </c>
      <c r="C90" s="680" t="s">
        <v>491</v>
      </c>
      <c r="D90" s="680" t="s">
        <v>490</v>
      </c>
      <c r="E90" s="680" t="s">
        <v>489</v>
      </c>
      <c r="F90" s="680" t="s">
        <v>488</v>
      </c>
      <c r="G90" s="680">
        <v>622</v>
      </c>
      <c r="H90" s="680">
        <v>1554</v>
      </c>
      <c r="I90" s="680">
        <v>216</v>
      </c>
      <c r="J90" s="680">
        <v>540</v>
      </c>
      <c r="K90" s="680">
        <v>0</v>
      </c>
      <c r="L90" s="680">
        <v>0</v>
      </c>
      <c r="M90" s="680">
        <v>0</v>
      </c>
      <c r="N90" s="680">
        <v>0</v>
      </c>
      <c r="O90" s="680">
        <f>+G90+I90+K90+M90</f>
        <v>838</v>
      </c>
      <c r="P90" s="680">
        <f>+H90+J90+L90+N90</f>
        <v>2094</v>
      </c>
      <c r="Q90" s="680" t="s">
        <v>487</v>
      </c>
      <c r="R90" s="680" t="s">
        <v>487</v>
      </c>
      <c r="S90" s="680" t="s">
        <v>8</v>
      </c>
      <c r="T90" s="680" t="s">
        <v>484</v>
      </c>
      <c r="U90" s="681">
        <v>30</v>
      </c>
      <c r="V90" s="680">
        <v>29.25</v>
      </c>
      <c r="W90" s="680" t="s">
        <v>563</v>
      </c>
      <c r="X90" s="680" t="s">
        <v>485</v>
      </c>
      <c r="Y90" s="680" t="s">
        <v>484</v>
      </c>
      <c r="Z90" s="680" t="s">
        <v>483</v>
      </c>
      <c r="AA90" s="680">
        <f>+U90*G90</f>
        <v>18660</v>
      </c>
      <c r="AB90" s="680">
        <f>+U90*H90</f>
        <v>46620</v>
      </c>
      <c r="AC90" s="680">
        <f>+U90*I90</f>
        <v>6480</v>
      </c>
      <c r="AD90" s="680">
        <f>+U90*J90</f>
        <v>16200</v>
      </c>
      <c r="AE90" s="680">
        <f>+U90*K90</f>
        <v>0</v>
      </c>
      <c r="AF90" s="680">
        <f>+U90*L90</f>
        <v>0</v>
      </c>
      <c r="AG90" s="680">
        <f>+U90*M90</f>
        <v>0</v>
      </c>
      <c r="AH90" s="680">
        <f>+U90*N90</f>
        <v>0</v>
      </c>
      <c r="AI90" s="681">
        <f>+U90*O90</f>
        <v>25140</v>
      </c>
      <c r="AJ90" s="681">
        <f>+U90*P90</f>
        <v>62820</v>
      </c>
    </row>
    <row r="91" spans="1:36" hidden="1">
      <c r="A91" s="680">
        <v>2212001202</v>
      </c>
      <c r="B91" s="680" t="s">
        <v>605</v>
      </c>
      <c r="C91" s="680" t="s">
        <v>491</v>
      </c>
      <c r="D91" s="680" t="s">
        <v>490</v>
      </c>
      <c r="E91" s="680" t="s">
        <v>489</v>
      </c>
      <c r="F91" s="680" t="s">
        <v>488</v>
      </c>
      <c r="G91" s="680">
        <v>0</v>
      </c>
      <c r="H91" s="680">
        <v>0</v>
      </c>
      <c r="I91" s="680">
        <v>0</v>
      </c>
      <c r="J91" s="680">
        <v>0</v>
      </c>
      <c r="K91" s="680">
        <v>0</v>
      </c>
      <c r="L91" s="680">
        <v>0</v>
      </c>
      <c r="M91" s="680">
        <v>120</v>
      </c>
      <c r="N91" s="680">
        <v>300</v>
      </c>
      <c r="O91" s="680">
        <f>+G91+I91+K91+M91</f>
        <v>120</v>
      </c>
      <c r="P91" s="680">
        <f>+H91+J91+L91+N91</f>
        <v>300</v>
      </c>
      <c r="Q91" s="680" t="s">
        <v>604</v>
      </c>
      <c r="R91" s="680" t="s">
        <v>604</v>
      </c>
      <c r="S91" s="680" t="s">
        <v>8</v>
      </c>
      <c r="T91" s="680" t="s">
        <v>484</v>
      </c>
      <c r="U91" s="681">
        <v>20</v>
      </c>
      <c r="V91" s="680">
        <v>27.42</v>
      </c>
      <c r="W91" s="680" t="s">
        <v>507</v>
      </c>
      <c r="X91" s="680" t="s">
        <v>485</v>
      </c>
      <c r="Y91" s="680" t="s">
        <v>484</v>
      </c>
      <c r="Z91" s="680" t="s">
        <v>483</v>
      </c>
      <c r="AA91" s="680">
        <f>+U91*G91</f>
        <v>0</v>
      </c>
      <c r="AB91" s="680">
        <f>+U91*H91</f>
        <v>0</v>
      </c>
      <c r="AC91" s="680">
        <f>+U91*I91</f>
        <v>0</v>
      </c>
      <c r="AD91" s="680">
        <f>+U91*J91</f>
        <v>0</v>
      </c>
      <c r="AE91" s="680">
        <f>+U91*K91</f>
        <v>0</v>
      </c>
      <c r="AF91" s="680">
        <f>+U91*L91</f>
        <v>0</v>
      </c>
      <c r="AG91" s="680">
        <f>+U91*M91</f>
        <v>2400</v>
      </c>
      <c r="AH91" s="680">
        <f>+U91*N91</f>
        <v>6000</v>
      </c>
      <c r="AI91" s="681">
        <f>+U91*O91</f>
        <v>2400</v>
      </c>
      <c r="AJ91" s="681">
        <f>+U91*P91</f>
        <v>6000</v>
      </c>
    </row>
    <row r="92" spans="1:36" hidden="1">
      <c r="A92" s="680">
        <v>2212001203</v>
      </c>
      <c r="B92" s="680" t="s">
        <v>499</v>
      </c>
      <c r="C92" s="680" t="s">
        <v>491</v>
      </c>
      <c r="D92" s="680" t="s">
        <v>490</v>
      </c>
      <c r="E92" s="680" t="s">
        <v>489</v>
      </c>
      <c r="F92" s="680" t="s">
        <v>488</v>
      </c>
      <c r="G92" s="680">
        <v>0</v>
      </c>
      <c r="H92" s="680">
        <v>0</v>
      </c>
      <c r="I92" s="680">
        <v>0</v>
      </c>
      <c r="J92" s="680">
        <v>0</v>
      </c>
      <c r="K92" s="680">
        <v>0</v>
      </c>
      <c r="L92" s="680">
        <v>0</v>
      </c>
      <c r="M92" s="680">
        <v>4</v>
      </c>
      <c r="N92" s="680">
        <v>10</v>
      </c>
      <c r="O92" s="680">
        <f>+G92+I92+K92+M92</f>
        <v>4</v>
      </c>
      <c r="P92" s="680">
        <f>+H92+J92+L92+N92</f>
        <v>10</v>
      </c>
      <c r="Q92" s="680" t="s">
        <v>495</v>
      </c>
      <c r="R92" s="680" t="s">
        <v>494</v>
      </c>
      <c r="S92" s="680" t="s">
        <v>6</v>
      </c>
      <c r="T92" s="680" t="s">
        <v>484</v>
      </c>
      <c r="U92" s="681">
        <v>250</v>
      </c>
      <c r="V92" s="680">
        <v>164</v>
      </c>
      <c r="W92" s="680" t="s">
        <v>493</v>
      </c>
      <c r="X92" s="680" t="s">
        <v>485</v>
      </c>
      <c r="Y92" s="680" t="s">
        <v>484</v>
      </c>
      <c r="Z92" s="680" t="s">
        <v>483</v>
      </c>
      <c r="AA92" s="680">
        <f>+U92*G92</f>
        <v>0</v>
      </c>
      <c r="AB92" s="680">
        <f>+U92*H92</f>
        <v>0</v>
      </c>
      <c r="AC92" s="680">
        <f>+U92*I92</f>
        <v>0</v>
      </c>
      <c r="AD92" s="680">
        <f>+U92*J92</f>
        <v>0</v>
      </c>
      <c r="AE92" s="680">
        <f>+U92*K92</f>
        <v>0</v>
      </c>
      <c r="AF92" s="680">
        <f>+U92*L92</f>
        <v>0</v>
      </c>
      <c r="AG92" s="680">
        <f>+U92*M92</f>
        <v>1000</v>
      </c>
      <c r="AH92" s="680">
        <f>+U92*N92</f>
        <v>2500</v>
      </c>
      <c r="AI92" s="681">
        <f>+U92*O92</f>
        <v>1000</v>
      </c>
      <c r="AJ92" s="681">
        <f>+U92*P92</f>
        <v>2500</v>
      </c>
    </row>
    <row r="93" spans="1:36" hidden="1">
      <c r="A93" s="680">
        <v>2212001204</v>
      </c>
      <c r="B93" s="680" t="s">
        <v>603</v>
      </c>
      <c r="C93" s="680" t="s">
        <v>491</v>
      </c>
      <c r="D93" s="680" t="s">
        <v>490</v>
      </c>
      <c r="E93" s="680" t="s">
        <v>489</v>
      </c>
      <c r="F93" s="680" t="s">
        <v>488</v>
      </c>
      <c r="G93" s="680">
        <v>0</v>
      </c>
      <c r="H93" s="680">
        <v>0</v>
      </c>
      <c r="I93" s="680">
        <v>0</v>
      </c>
      <c r="J93" s="680">
        <v>0</v>
      </c>
      <c r="K93" s="680">
        <v>0</v>
      </c>
      <c r="L93" s="680">
        <v>0</v>
      </c>
      <c r="M93" s="680">
        <v>400</v>
      </c>
      <c r="N93" s="680">
        <v>1000</v>
      </c>
      <c r="O93" s="680">
        <f>+G93+I93+K93+M93</f>
        <v>400</v>
      </c>
      <c r="P93" s="680">
        <f>+H93+J93+L93+N93</f>
        <v>1000</v>
      </c>
      <c r="Q93" s="680" t="s">
        <v>602</v>
      </c>
      <c r="R93" s="680" t="s">
        <v>602</v>
      </c>
      <c r="S93" s="680" t="s">
        <v>8</v>
      </c>
      <c r="T93" s="680" t="s">
        <v>484</v>
      </c>
      <c r="U93" s="681">
        <v>19</v>
      </c>
      <c r="V93" s="680">
        <v>18.48</v>
      </c>
      <c r="W93" s="680" t="s">
        <v>507</v>
      </c>
      <c r="X93" s="680" t="s">
        <v>485</v>
      </c>
      <c r="Y93" s="680" t="s">
        <v>484</v>
      </c>
      <c r="Z93" s="680" t="s">
        <v>483</v>
      </c>
      <c r="AA93" s="680">
        <f>+U93*G93</f>
        <v>0</v>
      </c>
      <c r="AB93" s="680">
        <f>+U93*H93</f>
        <v>0</v>
      </c>
      <c r="AC93" s="680">
        <f>+U93*I93</f>
        <v>0</v>
      </c>
      <c r="AD93" s="680">
        <f>+U93*J93</f>
        <v>0</v>
      </c>
      <c r="AE93" s="680">
        <f>+U93*K93</f>
        <v>0</v>
      </c>
      <c r="AF93" s="680">
        <f>+U93*L93</f>
        <v>0</v>
      </c>
      <c r="AG93" s="680">
        <f>+U93*M93</f>
        <v>7600</v>
      </c>
      <c r="AH93" s="680">
        <f>+U93*N93</f>
        <v>19000</v>
      </c>
      <c r="AI93" s="681">
        <f>+U93*O93</f>
        <v>7600</v>
      </c>
      <c r="AJ93" s="681">
        <f>+U93*P93</f>
        <v>19000</v>
      </c>
    </row>
    <row r="94" spans="1:36" hidden="1">
      <c r="A94" s="680">
        <v>2212002001</v>
      </c>
      <c r="B94" s="680" t="s">
        <v>96</v>
      </c>
      <c r="C94" s="680" t="s">
        <v>510</v>
      </c>
      <c r="D94" s="680" t="s">
        <v>509</v>
      </c>
      <c r="E94" s="680" t="s">
        <v>489</v>
      </c>
      <c r="F94" s="680" t="s">
        <v>488</v>
      </c>
      <c r="G94" s="680">
        <v>137</v>
      </c>
      <c r="H94" s="680">
        <v>342</v>
      </c>
      <c r="I94" s="680">
        <v>324</v>
      </c>
      <c r="J94" s="680">
        <v>808</v>
      </c>
      <c r="K94" s="680">
        <v>0</v>
      </c>
      <c r="L94" s="680">
        <v>0</v>
      </c>
      <c r="M94" s="680">
        <v>0</v>
      </c>
      <c r="N94" s="680">
        <v>0</v>
      </c>
      <c r="O94" s="680">
        <f>+G94+I94+K94+M94</f>
        <v>461</v>
      </c>
      <c r="P94" s="680">
        <f>+H94+J94+L94+N94</f>
        <v>1150</v>
      </c>
      <c r="Q94" s="680" t="s">
        <v>597</v>
      </c>
      <c r="R94" s="680" t="s">
        <v>601</v>
      </c>
      <c r="S94" s="680" t="s">
        <v>6</v>
      </c>
      <c r="T94" s="680" t="s">
        <v>484</v>
      </c>
      <c r="U94" s="681">
        <v>122</v>
      </c>
      <c r="V94" s="680">
        <v>135.62</v>
      </c>
      <c r="W94" s="680" t="s">
        <v>595</v>
      </c>
      <c r="X94" s="680" t="s">
        <v>485</v>
      </c>
      <c r="Y94" s="680" t="s">
        <v>484</v>
      </c>
      <c r="Z94" s="680" t="s">
        <v>483</v>
      </c>
      <c r="AA94" s="680">
        <f>+U94*G94</f>
        <v>16714</v>
      </c>
      <c r="AB94" s="680">
        <f>+U94*H94</f>
        <v>41724</v>
      </c>
      <c r="AC94" s="680">
        <f>+U94*I94</f>
        <v>39528</v>
      </c>
      <c r="AD94" s="680">
        <f>+U94*J94</f>
        <v>98576</v>
      </c>
      <c r="AE94" s="680">
        <f>+U94*K94</f>
        <v>0</v>
      </c>
      <c r="AF94" s="680">
        <f>+U94*L94</f>
        <v>0</v>
      </c>
      <c r="AG94" s="680">
        <f>+U94*M94</f>
        <v>0</v>
      </c>
      <c r="AH94" s="680">
        <f>+U94*N94</f>
        <v>0</v>
      </c>
      <c r="AI94" s="681">
        <f>+U94*O94</f>
        <v>56242</v>
      </c>
      <c r="AJ94" s="681">
        <f>+U94*P94</f>
        <v>140300</v>
      </c>
    </row>
    <row r="95" spans="1:36" hidden="1">
      <c r="A95" s="680">
        <v>2212002002</v>
      </c>
      <c r="B95" s="680" t="s">
        <v>600</v>
      </c>
      <c r="C95" s="680" t="s">
        <v>491</v>
      </c>
      <c r="D95" s="680" t="s">
        <v>490</v>
      </c>
      <c r="E95" s="680" t="s">
        <v>489</v>
      </c>
      <c r="F95" s="680" t="s">
        <v>488</v>
      </c>
      <c r="G95" s="680">
        <v>0</v>
      </c>
      <c r="H95" s="680">
        <v>0</v>
      </c>
      <c r="I95" s="680">
        <v>2880</v>
      </c>
      <c r="J95" s="680">
        <v>7200</v>
      </c>
      <c r="K95" s="680">
        <v>0</v>
      </c>
      <c r="L95" s="680">
        <v>0</v>
      </c>
      <c r="M95" s="680">
        <v>0</v>
      </c>
      <c r="N95" s="680">
        <v>0</v>
      </c>
      <c r="O95" s="680">
        <f>+G95+I95+K95+M95</f>
        <v>2880</v>
      </c>
      <c r="P95" s="680">
        <f>+H95+J95+L95+N95</f>
        <v>7200</v>
      </c>
      <c r="Q95" s="680" t="s">
        <v>495</v>
      </c>
      <c r="R95" s="680" t="s">
        <v>494</v>
      </c>
      <c r="S95" s="680" t="s">
        <v>8</v>
      </c>
      <c r="T95" s="680" t="s">
        <v>484</v>
      </c>
      <c r="U95" s="681">
        <v>13</v>
      </c>
      <c r="V95" s="680">
        <v>13.55</v>
      </c>
      <c r="W95" s="680" t="s">
        <v>507</v>
      </c>
      <c r="X95" s="680" t="s">
        <v>485</v>
      </c>
      <c r="Y95" s="680" t="s">
        <v>484</v>
      </c>
      <c r="Z95" s="680" t="s">
        <v>483</v>
      </c>
      <c r="AA95" s="680">
        <f>+U95*G95</f>
        <v>0</v>
      </c>
      <c r="AB95" s="680">
        <f>+U95*H95</f>
        <v>0</v>
      </c>
      <c r="AC95" s="680">
        <f>+U95*I95</f>
        <v>37440</v>
      </c>
      <c r="AD95" s="680">
        <f>+U95*J95</f>
        <v>93600</v>
      </c>
      <c r="AE95" s="680">
        <f>+U95*K95</f>
        <v>0</v>
      </c>
      <c r="AF95" s="680">
        <f>+U95*L95</f>
        <v>0</v>
      </c>
      <c r="AG95" s="680">
        <f>+U95*M95</f>
        <v>0</v>
      </c>
      <c r="AH95" s="680">
        <f>+U95*N95</f>
        <v>0</v>
      </c>
      <c r="AI95" s="681">
        <f>+U95*O95</f>
        <v>37440</v>
      </c>
      <c r="AJ95" s="681">
        <f>+U95*P95</f>
        <v>93600</v>
      </c>
    </row>
    <row r="96" spans="1:36" hidden="1">
      <c r="A96" s="680">
        <v>2212002003</v>
      </c>
      <c r="B96" s="680" t="s">
        <v>118</v>
      </c>
      <c r="C96" s="680" t="s">
        <v>510</v>
      </c>
      <c r="D96" s="680" t="s">
        <v>509</v>
      </c>
      <c r="E96" s="680" t="s">
        <v>489</v>
      </c>
      <c r="F96" s="680" t="s">
        <v>488</v>
      </c>
      <c r="G96" s="680">
        <v>593</v>
      </c>
      <c r="H96" s="680">
        <v>1482</v>
      </c>
      <c r="I96" s="680">
        <v>0</v>
      </c>
      <c r="J96" s="680">
        <v>0</v>
      </c>
      <c r="K96" s="680">
        <v>0</v>
      </c>
      <c r="L96" s="680">
        <v>0</v>
      </c>
      <c r="M96" s="680">
        <v>0</v>
      </c>
      <c r="N96" s="680">
        <v>0</v>
      </c>
      <c r="O96" s="680">
        <f>+G96+I96+K96+M96</f>
        <v>593</v>
      </c>
      <c r="P96" s="680">
        <f>+H96+J96+L96+N96</f>
        <v>1482</v>
      </c>
      <c r="Q96" s="680" t="s">
        <v>597</v>
      </c>
      <c r="R96" s="680" t="s">
        <v>596</v>
      </c>
      <c r="S96" s="680" t="s">
        <v>6</v>
      </c>
      <c r="T96" s="680" t="s">
        <v>484</v>
      </c>
      <c r="U96" s="681">
        <v>170</v>
      </c>
      <c r="V96" s="680">
        <v>186.44</v>
      </c>
      <c r="W96" s="680" t="s">
        <v>595</v>
      </c>
      <c r="X96" s="680" t="s">
        <v>485</v>
      </c>
      <c r="Y96" s="680" t="s">
        <v>484</v>
      </c>
      <c r="Z96" s="680" t="s">
        <v>483</v>
      </c>
      <c r="AA96" s="680">
        <f>+U96*G96</f>
        <v>100810</v>
      </c>
      <c r="AB96" s="680">
        <f>+U96*H96</f>
        <v>251940</v>
      </c>
      <c r="AC96" s="680">
        <f>+U96*I96</f>
        <v>0</v>
      </c>
      <c r="AD96" s="680">
        <f>+U96*J96</f>
        <v>0</v>
      </c>
      <c r="AE96" s="680">
        <f>+U96*K96</f>
        <v>0</v>
      </c>
      <c r="AF96" s="680">
        <f>+U96*L96</f>
        <v>0</v>
      </c>
      <c r="AG96" s="680">
        <f>+U96*M96</f>
        <v>0</v>
      </c>
      <c r="AH96" s="680">
        <f>+U96*N96</f>
        <v>0</v>
      </c>
      <c r="AI96" s="681">
        <f>+U96*O96</f>
        <v>100810</v>
      </c>
      <c r="AJ96" s="681">
        <f>+U96*P96</f>
        <v>251940</v>
      </c>
    </row>
    <row r="97" spans="1:36" hidden="1">
      <c r="A97" s="680">
        <v>2212002004</v>
      </c>
      <c r="B97" s="680" t="s">
        <v>97</v>
      </c>
      <c r="C97" s="680" t="s">
        <v>510</v>
      </c>
      <c r="D97" s="680" t="s">
        <v>509</v>
      </c>
      <c r="E97" s="680" t="s">
        <v>489</v>
      </c>
      <c r="F97" s="680" t="s">
        <v>488</v>
      </c>
      <c r="G97" s="680">
        <v>77</v>
      </c>
      <c r="H97" s="680">
        <v>192</v>
      </c>
      <c r="I97" s="680">
        <v>342</v>
      </c>
      <c r="J97" s="680">
        <v>855</v>
      </c>
      <c r="K97" s="680">
        <v>0</v>
      </c>
      <c r="L97" s="680">
        <v>0</v>
      </c>
      <c r="M97" s="680">
        <v>0</v>
      </c>
      <c r="N97" s="680">
        <v>0</v>
      </c>
      <c r="O97" s="680">
        <f>+G97+I97+K97+M97</f>
        <v>419</v>
      </c>
      <c r="P97" s="680">
        <f>+H97+J97+L97+N97</f>
        <v>1047</v>
      </c>
      <c r="Q97" s="680" t="s">
        <v>597</v>
      </c>
      <c r="R97" s="680" t="s">
        <v>596</v>
      </c>
      <c r="S97" s="680" t="s">
        <v>6</v>
      </c>
      <c r="T97" s="680" t="s">
        <v>484</v>
      </c>
      <c r="U97" s="681">
        <v>122</v>
      </c>
      <c r="V97" s="680">
        <v>137.22</v>
      </c>
      <c r="W97" s="680" t="s">
        <v>595</v>
      </c>
      <c r="X97" s="680" t="s">
        <v>485</v>
      </c>
      <c r="Y97" s="680" t="s">
        <v>484</v>
      </c>
      <c r="Z97" s="680" t="s">
        <v>483</v>
      </c>
      <c r="AA97" s="680">
        <f>+U97*G97</f>
        <v>9394</v>
      </c>
      <c r="AB97" s="680">
        <f>+U97*H97</f>
        <v>23424</v>
      </c>
      <c r="AC97" s="680">
        <f>+U97*I97</f>
        <v>41724</v>
      </c>
      <c r="AD97" s="680">
        <f>+U97*J97</f>
        <v>104310</v>
      </c>
      <c r="AE97" s="680">
        <f>+U97*K97</f>
        <v>0</v>
      </c>
      <c r="AF97" s="680">
        <f>+U97*L97</f>
        <v>0</v>
      </c>
      <c r="AG97" s="680">
        <f>+U97*M97</f>
        <v>0</v>
      </c>
      <c r="AH97" s="680">
        <f>+U97*N97</f>
        <v>0</v>
      </c>
      <c r="AI97" s="681">
        <f>+U97*O97</f>
        <v>51118</v>
      </c>
      <c r="AJ97" s="681">
        <f>+U97*P97</f>
        <v>127734</v>
      </c>
    </row>
    <row r="98" spans="1:36" hidden="1">
      <c r="A98" s="680">
        <v>2212002005</v>
      </c>
      <c r="B98" s="680" t="s">
        <v>119</v>
      </c>
      <c r="C98" s="680" t="s">
        <v>510</v>
      </c>
      <c r="D98" s="680" t="s">
        <v>509</v>
      </c>
      <c r="E98" s="680" t="s">
        <v>489</v>
      </c>
      <c r="F98" s="680" t="s">
        <v>488</v>
      </c>
      <c r="G98" s="680">
        <v>516</v>
      </c>
      <c r="H98" s="680">
        <v>1290</v>
      </c>
      <c r="I98" s="680">
        <v>0</v>
      </c>
      <c r="J98" s="680">
        <v>0</v>
      </c>
      <c r="K98" s="680">
        <v>0</v>
      </c>
      <c r="L98" s="680">
        <v>0</v>
      </c>
      <c r="M98" s="680">
        <v>0</v>
      </c>
      <c r="N98" s="680">
        <v>0</v>
      </c>
      <c r="O98" s="680">
        <f>+G98+I98+K98+M98</f>
        <v>516</v>
      </c>
      <c r="P98" s="680">
        <f>+H98+J98+L98+N98</f>
        <v>1290</v>
      </c>
      <c r="Q98" s="680" t="s">
        <v>597</v>
      </c>
      <c r="R98" s="680" t="s">
        <v>596</v>
      </c>
      <c r="S98" s="680" t="s">
        <v>6</v>
      </c>
      <c r="T98" s="680" t="s">
        <v>484</v>
      </c>
      <c r="U98" s="681">
        <v>148</v>
      </c>
      <c r="V98" s="680">
        <v>160.83000000000001</v>
      </c>
      <c r="W98" s="680" t="s">
        <v>595</v>
      </c>
      <c r="X98" s="680" t="s">
        <v>485</v>
      </c>
      <c r="Y98" s="680" t="s">
        <v>484</v>
      </c>
      <c r="Z98" s="680" t="s">
        <v>483</v>
      </c>
      <c r="AA98" s="680">
        <f>+U98*G98</f>
        <v>76368</v>
      </c>
      <c r="AB98" s="680">
        <f>+U98*H98</f>
        <v>190920</v>
      </c>
      <c r="AC98" s="680">
        <f>+U98*I98</f>
        <v>0</v>
      </c>
      <c r="AD98" s="680">
        <f>+U98*J98</f>
        <v>0</v>
      </c>
      <c r="AE98" s="680">
        <f>+U98*K98</f>
        <v>0</v>
      </c>
      <c r="AF98" s="680">
        <f>+U98*L98</f>
        <v>0</v>
      </c>
      <c r="AG98" s="680">
        <f>+U98*M98</f>
        <v>0</v>
      </c>
      <c r="AH98" s="680">
        <f>+U98*N98</f>
        <v>0</v>
      </c>
      <c r="AI98" s="681">
        <f>+U98*O98</f>
        <v>76368</v>
      </c>
      <c r="AJ98" s="681">
        <f>+U98*P98</f>
        <v>190920</v>
      </c>
    </row>
    <row r="99" spans="1:36" hidden="1">
      <c r="A99" s="680">
        <v>2212002006</v>
      </c>
      <c r="B99" s="680" t="s">
        <v>120</v>
      </c>
      <c r="C99" s="680" t="s">
        <v>510</v>
      </c>
      <c r="D99" s="680" t="s">
        <v>509</v>
      </c>
      <c r="E99" s="680" t="s">
        <v>489</v>
      </c>
      <c r="F99" s="680" t="s">
        <v>488</v>
      </c>
      <c r="G99" s="680">
        <v>12</v>
      </c>
      <c r="H99" s="680">
        <v>30</v>
      </c>
      <c r="I99" s="680">
        <v>0</v>
      </c>
      <c r="J99" s="680">
        <v>0</v>
      </c>
      <c r="K99" s="680">
        <v>0</v>
      </c>
      <c r="L99" s="680">
        <v>0</v>
      </c>
      <c r="M99" s="680">
        <v>0</v>
      </c>
      <c r="N99" s="680">
        <v>0</v>
      </c>
      <c r="O99" s="680">
        <f>+G99+I99+K99+M99</f>
        <v>12</v>
      </c>
      <c r="P99" s="680">
        <f>+H99+J99+L99+N99</f>
        <v>30</v>
      </c>
      <c r="Q99" s="680" t="s">
        <v>597</v>
      </c>
      <c r="R99" s="680" t="s">
        <v>596</v>
      </c>
      <c r="S99" s="680" t="s">
        <v>6</v>
      </c>
      <c r="T99" s="680" t="s">
        <v>484</v>
      </c>
      <c r="U99" s="681">
        <v>172</v>
      </c>
      <c r="V99" s="680">
        <v>190.71</v>
      </c>
      <c r="W99" s="680" t="s">
        <v>595</v>
      </c>
      <c r="X99" s="680" t="s">
        <v>485</v>
      </c>
      <c r="Y99" s="680" t="s">
        <v>484</v>
      </c>
      <c r="Z99" s="680" t="s">
        <v>483</v>
      </c>
      <c r="AA99" s="680">
        <f>+U99*G99</f>
        <v>2064</v>
      </c>
      <c r="AB99" s="680">
        <f>+U99*H99</f>
        <v>5160</v>
      </c>
      <c r="AC99" s="680">
        <f>+U99*I99</f>
        <v>0</v>
      </c>
      <c r="AD99" s="680">
        <f>+U99*J99</f>
        <v>0</v>
      </c>
      <c r="AE99" s="680">
        <f>+U99*K99</f>
        <v>0</v>
      </c>
      <c r="AF99" s="680">
        <f>+U99*L99</f>
        <v>0</v>
      </c>
      <c r="AG99" s="680">
        <f>+U99*M99</f>
        <v>0</v>
      </c>
      <c r="AH99" s="680">
        <f>+U99*N99</f>
        <v>0</v>
      </c>
      <c r="AI99" s="681">
        <f>+U99*O99</f>
        <v>2064</v>
      </c>
      <c r="AJ99" s="681">
        <f>+U99*P99</f>
        <v>5160</v>
      </c>
    </row>
    <row r="100" spans="1:36" hidden="1">
      <c r="A100" s="680">
        <v>2212002007</v>
      </c>
      <c r="B100" s="680" t="s">
        <v>98</v>
      </c>
      <c r="C100" s="680" t="s">
        <v>510</v>
      </c>
      <c r="D100" s="680" t="s">
        <v>509</v>
      </c>
      <c r="E100" s="680" t="s">
        <v>489</v>
      </c>
      <c r="F100" s="680" t="s">
        <v>488</v>
      </c>
      <c r="G100" s="680">
        <v>332</v>
      </c>
      <c r="H100" s="680">
        <v>828</v>
      </c>
      <c r="I100" s="680">
        <v>540</v>
      </c>
      <c r="J100" s="680">
        <v>1350</v>
      </c>
      <c r="K100" s="680">
        <v>0</v>
      </c>
      <c r="L100" s="680">
        <v>0</v>
      </c>
      <c r="M100" s="680">
        <v>0</v>
      </c>
      <c r="N100" s="680">
        <v>0</v>
      </c>
      <c r="O100" s="680">
        <f>+G100+I100+K100+M100</f>
        <v>872</v>
      </c>
      <c r="P100" s="680">
        <f>+H100+J100+L100+N100</f>
        <v>2178</v>
      </c>
      <c r="Q100" s="680" t="s">
        <v>597</v>
      </c>
      <c r="R100" s="680" t="s">
        <v>596</v>
      </c>
      <c r="S100" s="680" t="s">
        <v>6</v>
      </c>
      <c r="T100" s="680" t="s">
        <v>484</v>
      </c>
      <c r="U100" s="681">
        <v>122</v>
      </c>
      <c r="V100" s="680">
        <v>135.41999999999999</v>
      </c>
      <c r="W100" s="680" t="s">
        <v>595</v>
      </c>
      <c r="X100" s="680" t="s">
        <v>485</v>
      </c>
      <c r="Y100" s="680" t="s">
        <v>484</v>
      </c>
      <c r="Z100" s="680" t="s">
        <v>483</v>
      </c>
      <c r="AA100" s="680">
        <f>+U100*G100</f>
        <v>40504</v>
      </c>
      <c r="AB100" s="680">
        <f>+U100*H100</f>
        <v>101016</v>
      </c>
      <c r="AC100" s="680">
        <f>+U100*I100</f>
        <v>65880</v>
      </c>
      <c r="AD100" s="680">
        <f>+U100*J100</f>
        <v>164700</v>
      </c>
      <c r="AE100" s="680">
        <f>+U100*K100</f>
        <v>0</v>
      </c>
      <c r="AF100" s="680">
        <f>+U100*L100</f>
        <v>0</v>
      </c>
      <c r="AG100" s="680">
        <f>+U100*M100</f>
        <v>0</v>
      </c>
      <c r="AH100" s="680">
        <f>+U100*N100</f>
        <v>0</v>
      </c>
      <c r="AI100" s="681">
        <f>+U100*O100</f>
        <v>106384</v>
      </c>
      <c r="AJ100" s="681">
        <f>+U100*P100</f>
        <v>265716</v>
      </c>
    </row>
    <row r="101" spans="1:36" hidden="1">
      <c r="A101" s="680">
        <v>2212002008</v>
      </c>
      <c r="B101" s="680" t="s">
        <v>121</v>
      </c>
      <c r="C101" s="680" t="s">
        <v>510</v>
      </c>
      <c r="D101" s="680" t="s">
        <v>509</v>
      </c>
      <c r="E101" s="680" t="s">
        <v>489</v>
      </c>
      <c r="F101" s="680" t="s">
        <v>488</v>
      </c>
      <c r="G101" s="680">
        <v>984</v>
      </c>
      <c r="H101" s="680">
        <v>2460</v>
      </c>
      <c r="I101" s="680">
        <v>540</v>
      </c>
      <c r="J101" s="680">
        <v>1350</v>
      </c>
      <c r="K101" s="680">
        <v>0</v>
      </c>
      <c r="L101" s="680">
        <v>0</v>
      </c>
      <c r="M101" s="680">
        <v>0</v>
      </c>
      <c r="N101" s="680">
        <v>0</v>
      </c>
      <c r="O101" s="680">
        <f>+G101+I101+K101+M101</f>
        <v>1524</v>
      </c>
      <c r="P101" s="680">
        <f>+H101+J101+L101+N101</f>
        <v>3810</v>
      </c>
      <c r="Q101" s="680" t="s">
        <v>597</v>
      </c>
      <c r="R101" s="680" t="s">
        <v>596</v>
      </c>
      <c r="S101" s="680" t="s">
        <v>6</v>
      </c>
      <c r="T101" s="680" t="s">
        <v>484</v>
      </c>
      <c r="U101" s="681">
        <v>155</v>
      </c>
      <c r="V101" s="680">
        <v>169.44</v>
      </c>
      <c r="W101" s="680" t="s">
        <v>595</v>
      </c>
      <c r="X101" s="680" t="s">
        <v>485</v>
      </c>
      <c r="Y101" s="680" t="s">
        <v>484</v>
      </c>
      <c r="Z101" s="680" t="s">
        <v>483</v>
      </c>
      <c r="AA101" s="680">
        <f>+U101*G101</f>
        <v>152520</v>
      </c>
      <c r="AB101" s="680">
        <f>+U101*H101</f>
        <v>381300</v>
      </c>
      <c r="AC101" s="680">
        <f>+U101*I101</f>
        <v>83700</v>
      </c>
      <c r="AD101" s="680">
        <f>+U101*J101</f>
        <v>209250</v>
      </c>
      <c r="AE101" s="680">
        <f>+U101*K101</f>
        <v>0</v>
      </c>
      <c r="AF101" s="680">
        <f>+U101*L101</f>
        <v>0</v>
      </c>
      <c r="AG101" s="680">
        <f>+U101*M101</f>
        <v>0</v>
      </c>
      <c r="AH101" s="680">
        <f>+U101*N101</f>
        <v>0</v>
      </c>
      <c r="AI101" s="681">
        <f>+U101*O101</f>
        <v>236220</v>
      </c>
      <c r="AJ101" s="681">
        <f>+U101*P101</f>
        <v>590550</v>
      </c>
    </row>
    <row r="102" spans="1:36" hidden="1">
      <c r="A102" s="680">
        <v>2212002009</v>
      </c>
      <c r="B102" s="680" t="s">
        <v>99</v>
      </c>
      <c r="C102" s="680" t="s">
        <v>510</v>
      </c>
      <c r="D102" s="680" t="s">
        <v>509</v>
      </c>
      <c r="E102" s="680" t="s">
        <v>489</v>
      </c>
      <c r="F102" s="680" t="s">
        <v>488</v>
      </c>
      <c r="G102" s="680">
        <v>101</v>
      </c>
      <c r="H102" s="680">
        <v>252</v>
      </c>
      <c r="I102" s="680">
        <v>180</v>
      </c>
      <c r="J102" s="680">
        <v>450</v>
      </c>
      <c r="K102" s="680">
        <v>0</v>
      </c>
      <c r="L102" s="680">
        <v>0</v>
      </c>
      <c r="M102" s="680">
        <v>0</v>
      </c>
      <c r="N102" s="680">
        <v>0</v>
      </c>
      <c r="O102" s="680">
        <f>+G102+I102+K102+M102</f>
        <v>281</v>
      </c>
      <c r="P102" s="680">
        <f>+H102+J102+L102+N102</f>
        <v>702</v>
      </c>
      <c r="Q102" s="680" t="s">
        <v>597</v>
      </c>
      <c r="R102" s="680" t="s">
        <v>596</v>
      </c>
      <c r="S102" s="680" t="s">
        <v>6</v>
      </c>
      <c r="T102" s="680" t="s">
        <v>484</v>
      </c>
      <c r="U102" s="681">
        <v>78</v>
      </c>
      <c r="V102" s="680">
        <v>87.47</v>
      </c>
      <c r="W102" s="680" t="s">
        <v>595</v>
      </c>
      <c r="X102" s="680" t="s">
        <v>485</v>
      </c>
      <c r="Y102" s="680" t="s">
        <v>484</v>
      </c>
      <c r="Z102" s="680" t="s">
        <v>483</v>
      </c>
      <c r="AA102" s="680">
        <f>+U102*G102</f>
        <v>7878</v>
      </c>
      <c r="AB102" s="680">
        <f>+U102*H102</f>
        <v>19656</v>
      </c>
      <c r="AC102" s="680">
        <f>+U102*I102</f>
        <v>14040</v>
      </c>
      <c r="AD102" s="680">
        <f>+U102*J102</f>
        <v>35100</v>
      </c>
      <c r="AE102" s="680">
        <f>+U102*K102</f>
        <v>0</v>
      </c>
      <c r="AF102" s="680">
        <f>+U102*L102</f>
        <v>0</v>
      </c>
      <c r="AG102" s="680">
        <f>+U102*M102</f>
        <v>0</v>
      </c>
      <c r="AH102" s="680">
        <f>+U102*N102</f>
        <v>0</v>
      </c>
      <c r="AI102" s="681">
        <f>+U102*O102</f>
        <v>21918</v>
      </c>
      <c r="AJ102" s="681">
        <f>+U102*P102</f>
        <v>54756</v>
      </c>
    </row>
    <row r="103" spans="1:36" hidden="1">
      <c r="A103" s="680">
        <v>2212002010</v>
      </c>
      <c r="B103" s="680" t="s">
        <v>100</v>
      </c>
      <c r="C103" s="680" t="s">
        <v>510</v>
      </c>
      <c r="D103" s="680" t="s">
        <v>509</v>
      </c>
      <c r="E103" s="680" t="s">
        <v>489</v>
      </c>
      <c r="F103" s="680" t="s">
        <v>488</v>
      </c>
      <c r="G103" s="680">
        <v>8</v>
      </c>
      <c r="H103" s="680">
        <v>18</v>
      </c>
      <c r="I103" s="680">
        <v>450</v>
      </c>
      <c r="J103" s="680">
        <v>1125</v>
      </c>
      <c r="K103" s="680">
        <v>0</v>
      </c>
      <c r="L103" s="680">
        <v>0</v>
      </c>
      <c r="M103" s="680">
        <v>0</v>
      </c>
      <c r="N103" s="680">
        <v>0</v>
      </c>
      <c r="O103" s="680">
        <f>+G103+I103+K103+M103</f>
        <v>458</v>
      </c>
      <c r="P103" s="680">
        <f>+H103+J103+L103+N103</f>
        <v>1143</v>
      </c>
      <c r="Q103" s="680" t="s">
        <v>597</v>
      </c>
      <c r="R103" s="680" t="s">
        <v>596</v>
      </c>
      <c r="S103" s="680" t="s">
        <v>6</v>
      </c>
      <c r="T103" s="680" t="s">
        <v>484</v>
      </c>
      <c r="U103" s="681">
        <v>126</v>
      </c>
      <c r="V103" s="680">
        <v>141.06</v>
      </c>
      <c r="W103" s="680" t="s">
        <v>595</v>
      </c>
      <c r="X103" s="680" t="s">
        <v>485</v>
      </c>
      <c r="Y103" s="680" t="s">
        <v>484</v>
      </c>
      <c r="Z103" s="680" t="s">
        <v>483</v>
      </c>
      <c r="AA103" s="680">
        <f>+U103*G103</f>
        <v>1008</v>
      </c>
      <c r="AB103" s="680">
        <f>+U103*H103</f>
        <v>2268</v>
      </c>
      <c r="AC103" s="680">
        <f>+U103*I103</f>
        <v>56700</v>
      </c>
      <c r="AD103" s="680">
        <f>+U103*J103</f>
        <v>141750</v>
      </c>
      <c r="AE103" s="680">
        <f>+U103*K103</f>
        <v>0</v>
      </c>
      <c r="AF103" s="680">
        <f>+U103*L103</f>
        <v>0</v>
      </c>
      <c r="AG103" s="680">
        <f>+U103*M103</f>
        <v>0</v>
      </c>
      <c r="AH103" s="680">
        <f>+U103*N103</f>
        <v>0</v>
      </c>
      <c r="AI103" s="681">
        <f>+U103*O103</f>
        <v>57708</v>
      </c>
      <c r="AJ103" s="681">
        <f>+U103*P103</f>
        <v>144018</v>
      </c>
    </row>
    <row r="104" spans="1:36" hidden="1">
      <c r="A104" s="680">
        <v>2212002011</v>
      </c>
      <c r="B104" s="680" t="s">
        <v>101</v>
      </c>
      <c r="C104" s="680" t="s">
        <v>510</v>
      </c>
      <c r="D104" s="680" t="s">
        <v>509</v>
      </c>
      <c r="E104" s="680" t="s">
        <v>489</v>
      </c>
      <c r="F104" s="680" t="s">
        <v>488</v>
      </c>
      <c r="G104" s="680">
        <v>245</v>
      </c>
      <c r="H104" s="680">
        <v>612</v>
      </c>
      <c r="I104" s="680">
        <v>80</v>
      </c>
      <c r="J104" s="680">
        <v>198</v>
      </c>
      <c r="K104" s="680">
        <v>0</v>
      </c>
      <c r="L104" s="680">
        <v>0</v>
      </c>
      <c r="M104" s="680">
        <v>0</v>
      </c>
      <c r="N104" s="680">
        <v>0</v>
      </c>
      <c r="O104" s="680">
        <f>+G104+I104+K104+M104</f>
        <v>325</v>
      </c>
      <c r="P104" s="680">
        <f>+H104+J104+L104+N104</f>
        <v>810</v>
      </c>
      <c r="Q104" s="680" t="s">
        <v>597</v>
      </c>
      <c r="R104" s="680" t="s">
        <v>596</v>
      </c>
      <c r="S104" s="680" t="s">
        <v>6</v>
      </c>
      <c r="T104" s="680" t="s">
        <v>484</v>
      </c>
      <c r="U104" s="681">
        <v>102</v>
      </c>
      <c r="V104" s="680">
        <v>110.84</v>
      </c>
      <c r="W104" s="680" t="s">
        <v>595</v>
      </c>
      <c r="X104" s="680" t="s">
        <v>485</v>
      </c>
      <c r="Y104" s="680" t="s">
        <v>484</v>
      </c>
      <c r="Z104" s="680" t="s">
        <v>483</v>
      </c>
      <c r="AA104" s="680">
        <f>+U104*G104</f>
        <v>24990</v>
      </c>
      <c r="AB104" s="680">
        <f>+U104*H104</f>
        <v>62424</v>
      </c>
      <c r="AC104" s="680">
        <f>+U104*I104</f>
        <v>8160</v>
      </c>
      <c r="AD104" s="680">
        <f>+U104*J104</f>
        <v>20196</v>
      </c>
      <c r="AE104" s="680">
        <f>+U104*K104</f>
        <v>0</v>
      </c>
      <c r="AF104" s="680">
        <f>+U104*L104</f>
        <v>0</v>
      </c>
      <c r="AG104" s="680">
        <f>+U104*M104</f>
        <v>0</v>
      </c>
      <c r="AH104" s="680">
        <f>+U104*N104</f>
        <v>0</v>
      </c>
      <c r="AI104" s="681">
        <f>+U104*O104</f>
        <v>33150</v>
      </c>
      <c r="AJ104" s="681">
        <f>+U104*P104</f>
        <v>82620</v>
      </c>
    </row>
    <row r="105" spans="1:36" hidden="1">
      <c r="A105" s="680">
        <v>2212002012</v>
      </c>
      <c r="B105" s="680" t="s">
        <v>122</v>
      </c>
      <c r="C105" s="680" t="s">
        <v>510</v>
      </c>
      <c r="D105" s="680" t="s">
        <v>509</v>
      </c>
      <c r="E105" s="680" t="s">
        <v>489</v>
      </c>
      <c r="F105" s="680" t="s">
        <v>488</v>
      </c>
      <c r="G105" s="680">
        <v>680</v>
      </c>
      <c r="H105" s="680">
        <v>1698</v>
      </c>
      <c r="I105" s="680">
        <v>306</v>
      </c>
      <c r="J105" s="680">
        <v>765</v>
      </c>
      <c r="K105" s="680">
        <v>0</v>
      </c>
      <c r="L105" s="680">
        <v>0</v>
      </c>
      <c r="M105" s="680">
        <v>0</v>
      </c>
      <c r="N105" s="680">
        <v>0</v>
      </c>
      <c r="O105" s="680">
        <f>+G105+I105+K105+M105</f>
        <v>986</v>
      </c>
      <c r="P105" s="680">
        <f>+H105+J105+L105+N105</f>
        <v>2463</v>
      </c>
      <c r="Q105" s="680" t="s">
        <v>597</v>
      </c>
      <c r="R105" s="680" t="s">
        <v>596</v>
      </c>
      <c r="S105" s="680" t="s">
        <v>6</v>
      </c>
      <c r="T105" s="680" t="s">
        <v>484</v>
      </c>
      <c r="U105" s="681">
        <v>170</v>
      </c>
      <c r="V105" s="680">
        <v>187.42</v>
      </c>
      <c r="W105" s="680" t="s">
        <v>595</v>
      </c>
      <c r="X105" s="680" t="s">
        <v>485</v>
      </c>
      <c r="Y105" s="680" t="s">
        <v>484</v>
      </c>
      <c r="Z105" s="680" t="s">
        <v>483</v>
      </c>
      <c r="AA105" s="680">
        <f>+U105*G105</f>
        <v>115600</v>
      </c>
      <c r="AB105" s="680">
        <f>+U105*H105</f>
        <v>288660</v>
      </c>
      <c r="AC105" s="680">
        <f>+U105*I105</f>
        <v>52020</v>
      </c>
      <c r="AD105" s="680">
        <f>+U105*J105</f>
        <v>130050</v>
      </c>
      <c r="AE105" s="680">
        <f>+U105*K105</f>
        <v>0</v>
      </c>
      <c r="AF105" s="680">
        <f>+U105*L105</f>
        <v>0</v>
      </c>
      <c r="AG105" s="680">
        <f>+U105*M105</f>
        <v>0</v>
      </c>
      <c r="AH105" s="680">
        <f>+U105*N105</f>
        <v>0</v>
      </c>
      <c r="AI105" s="681">
        <f>+U105*O105</f>
        <v>167620</v>
      </c>
      <c r="AJ105" s="681">
        <f>+U105*P105</f>
        <v>418710</v>
      </c>
    </row>
    <row r="106" spans="1:36" hidden="1">
      <c r="A106" s="680">
        <v>2212002013</v>
      </c>
      <c r="B106" s="680" t="s">
        <v>123</v>
      </c>
      <c r="C106" s="680" t="s">
        <v>510</v>
      </c>
      <c r="D106" s="680" t="s">
        <v>509</v>
      </c>
      <c r="E106" s="680" t="s">
        <v>489</v>
      </c>
      <c r="F106" s="680" t="s">
        <v>488</v>
      </c>
      <c r="G106" s="680">
        <v>969</v>
      </c>
      <c r="H106" s="680">
        <v>2421</v>
      </c>
      <c r="I106" s="680">
        <v>0</v>
      </c>
      <c r="J106" s="680">
        <v>0</v>
      </c>
      <c r="K106" s="680">
        <v>0</v>
      </c>
      <c r="L106" s="680">
        <v>0</v>
      </c>
      <c r="M106" s="680">
        <v>0</v>
      </c>
      <c r="N106" s="680">
        <v>0</v>
      </c>
      <c r="O106" s="680">
        <f>+G106+I106+K106+M106</f>
        <v>969</v>
      </c>
      <c r="P106" s="680">
        <f>+H106+J106+L106+N106</f>
        <v>2421</v>
      </c>
      <c r="Q106" s="680" t="s">
        <v>597</v>
      </c>
      <c r="R106" s="680" t="s">
        <v>596</v>
      </c>
      <c r="S106" s="680" t="s">
        <v>599</v>
      </c>
      <c r="T106" s="680" t="s">
        <v>484</v>
      </c>
      <c r="U106" s="681">
        <v>170</v>
      </c>
      <c r="V106" s="680">
        <v>187.53</v>
      </c>
      <c r="W106" s="680" t="s">
        <v>595</v>
      </c>
      <c r="X106" s="680" t="s">
        <v>485</v>
      </c>
      <c r="Y106" s="680" t="s">
        <v>484</v>
      </c>
      <c r="Z106" s="680" t="s">
        <v>483</v>
      </c>
      <c r="AA106" s="680">
        <f>+U106*G106</f>
        <v>164730</v>
      </c>
      <c r="AB106" s="680">
        <f>+U106*H106</f>
        <v>411570</v>
      </c>
      <c r="AC106" s="680">
        <f>+U106*I106</f>
        <v>0</v>
      </c>
      <c r="AD106" s="680">
        <f>+U106*J106</f>
        <v>0</v>
      </c>
      <c r="AE106" s="680">
        <f>+U106*K106</f>
        <v>0</v>
      </c>
      <c r="AF106" s="680">
        <f>+U106*L106</f>
        <v>0</v>
      </c>
      <c r="AG106" s="680">
        <f>+U106*M106</f>
        <v>0</v>
      </c>
      <c r="AH106" s="680">
        <f>+U106*N106</f>
        <v>0</v>
      </c>
      <c r="AI106" s="681">
        <f>+U106*O106</f>
        <v>164730</v>
      </c>
      <c r="AJ106" s="681">
        <f>+U106*P106</f>
        <v>411570</v>
      </c>
    </row>
    <row r="107" spans="1:36" hidden="1">
      <c r="A107" s="680">
        <v>2212002014</v>
      </c>
      <c r="B107" s="680" t="s">
        <v>102</v>
      </c>
      <c r="C107" s="680" t="s">
        <v>510</v>
      </c>
      <c r="D107" s="680" t="s">
        <v>509</v>
      </c>
      <c r="E107" s="680" t="s">
        <v>489</v>
      </c>
      <c r="F107" s="680" t="s">
        <v>488</v>
      </c>
      <c r="G107" s="680">
        <v>17</v>
      </c>
      <c r="H107" s="680">
        <v>42</v>
      </c>
      <c r="I107" s="680">
        <v>1545</v>
      </c>
      <c r="J107" s="680">
        <v>3861</v>
      </c>
      <c r="K107" s="680">
        <v>0</v>
      </c>
      <c r="L107" s="680">
        <v>0</v>
      </c>
      <c r="M107" s="680">
        <v>0</v>
      </c>
      <c r="N107" s="680">
        <v>0</v>
      </c>
      <c r="O107" s="680">
        <f>+G107+I107+K107+M107</f>
        <v>1562</v>
      </c>
      <c r="P107" s="680">
        <f>+H107+J107+L107+N107</f>
        <v>3903</v>
      </c>
      <c r="Q107" s="680" t="s">
        <v>597</v>
      </c>
      <c r="R107" s="680" t="s">
        <v>596</v>
      </c>
      <c r="S107" s="680" t="s">
        <v>6</v>
      </c>
      <c r="T107" s="680" t="s">
        <v>484</v>
      </c>
      <c r="U107" s="681">
        <v>128</v>
      </c>
      <c r="V107" s="680">
        <v>141.59</v>
      </c>
      <c r="W107" s="680" t="s">
        <v>595</v>
      </c>
      <c r="X107" s="680" t="s">
        <v>485</v>
      </c>
      <c r="Y107" s="680" t="s">
        <v>484</v>
      </c>
      <c r="Z107" s="680" t="s">
        <v>483</v>
      </c>
      <c r="AA107" s="680">
        <f>+U107*G107</f>
        <v>2176</v>
      </c>
      <c r="AB107" s="680">
        <f>+U107*H107</f>
        <v>5376</v>
      </c>
      <c r="AC107" s="680">
        <f>+U107*I107</f>
        <v>197760</v>
      </c>
      <c r="AD107" s="680">
        <f>+U107*J107</f>
        <v>494208</v>
      </c>
      <c r="AE107" s="680">
        <f>+U107*K107</f>
        <v>0</v>
      </c>
      <c r="AF107" s="680">
        <f>+U107*L107</f>
        <v>0</v>
      </c>
      <c r="AG107" s="680">
        <f>+U107*M107</f>
        <v>0</v>
      </c>
      <c r="AH107" s="680">
        <f>+U107*N107</f>
        <v>0</v>
      </c>
      <c r="AI107" s="681">
        <f>+U107*O107</f>
        <v>199936</v>
      </c>
      <c r="AJ107" s="681">
        <f>+U107*P107</f>
        <v>499584</v>
      </c>
    </row>
    <row r="108" spans="1:36" hidden="1">
      <c r="A108" s="680">
        <v>2212002015</v>
      </c>
      <c r="B108" s="680" t="s">
        <v>124</v>
      </c>
      <c r="C108" s="680" t="s">
        <v>510</v>
      </c>
      <c r="D108" s="680" t="s">
        <v>509</v>
      </c>
      <c r="E108" s="680" t="s">
        <v>489</v>
      </c>
      <c r="F108" s="680" t="s">
        <v>488</v>
      </c>
      <c r="G108" s="680">
        <v>168</v>
      </c>
      <c r="H108" s="680">
        <v>420</v>
      </c>
      <c r="I108" s="680">
        <v>0</v>
      </c>
      <c r="J108" s="680">
        <v>0</v>
      </c>
      <c r="K108" s="680">
        <v>0</v>
      </c>
      <c r="L108" s="680">
        <v>0</v>
      </c>
      <c r="M108" s="680">
        <v>0</v>
      </c>
      <c r="N108" s="680">
        <v>0</v>
      </c>
      <c r="O108" s="680">
        <f>+G108+I108+K108+M108</f>
        <v>168</v>
      </c>
      <c r="P108" s="680">
        <f>+H108+J108+L108+N108</f>
        <v>420</v>
      </c>
      <c r="Q108" s="680" t="s">
        <v>597</v>
      </c>
      <c r="R108" s="680" t="s">
        <v>596</v>
      </c>
      <c r="S108" s="680" t="s">
        <v>6</v>
      </c>
      <c r="T108" s="680" t="s">
        <v>484</v>
      </c>
      <c r="U108" s="681">
        <v>120</v>
      </c>
      <c r="V108" s="680">
        <v>92.37</v>
      </c>
      <c r="W108" s="680" t="s">
        <v>595</v>
      </c>
      <c r="X108" s="680" t="s">
        <v>485</v>
      </c>
      <c r="Y108" s="680" t="s">
        <v>484</v>
      </c>
      <c r="Z108" s="680" t="s">
        <v>483</v>
      </c>
      <c r="AA108" s="680">
        <f>+U108*G108</f>
        <v>20160</v>
      </c>
      <c r="AB108" s="680">
        <f>+U108*H108</f>
        <v>50400</v>
      </c>
      <c r="AC108" s="680">
        <f>+U108*I108</f>
        <v>0</v>
      </c>
      <c r="AD108" s="680">
        <f>+U108*J108</f>
        <v>0</v>
      </c>
      <c r="AE108" s="680">
        <f>+U108*K108</f>
        <v>0</v>
      </c>
      <c r="AF108" s="680">
        <f>+U108*L108</f>
        <v>0</v>
      </c>
      <c r="AG108" s="680">
        <f>+U108*M108</f>
        <v>0</v>
      </c>
      <c r="AH108" s="680">
        <f>+U108*N108</f>
        <v>0</v>
      </c>
      <c r="AI108" s="681">
        <f>+U108*O108</f>
        <v>20160</v>
      </c>
      <c r="AJ108" s="681">
        <f>+U108*P108</f>
        <v>50400</v>
      </c>
    </row>
    <row r="109" spans="1:36" hidden="1">
      <c r="A109" s="680">
        <v>2212002016</v>
      </c>
      <c r="B109" s="680" t="s">
        <v>103</v>
      </c>
      <c r="C109" s="680" t="s">
        <v>510</v>
      </c>
      <c r="D109" s="680" t="s">
        <v>509</v>
      </c>
      <c r="E109" s="680" t="s">
        <v>489</v>
      </c>
      <c r="F109" s="680" t="s">
        <v>488</v>
      </c>
      <c r="G109" s="680">
        <v>10</v>
      </c>
      <c r="H109" s="680">
        <v>24</v>
      </c>
      <c r="I109" s="680">
        <v>0</v>
      </c>
      <c r="J109" s="680">
        <v>0</v>
      </c>
      <c r="K109" s="680">
        <v>0</v>
      </c>
      <c r="L109" s="680">
        <v>0</v>
      </c>
      <c r="M109" s="680">
        <v>0</v>
      </c>
      <c r="N109" s="680">
        <v>0</v>
      </c>
      <c r="O109" s="680">
        <f>+G109+I109+K109+M109</f>
        <v>10</v>
      </c>
      <c r="P109" s="680">
        <f>+H109+J109+L109+N109</f>
        <v>24</v>
      </c>
      <c r="Q109" s="680" t="s">
        <v>597</v>
      </c>
      <c r="R109" s="680" t="s">
        <v>596</v>
      </c>
      <c r="S109" s="680" t="s">
        <v>6</v>
      </c>
      <c r="T109" s="680" t="s">
        <v>484</v>
      </c>
      <c r="U109" s="681">
        <v>122</v>
      </c>
      <c r="V109" s="680">
        <v>135.84</v>
      </c>
      <c r="W109" s="680" t="s">
        <v>595</v>
      </c>
      <c r="X109" s="680" t="s">
        <v>485</v>
      </c>
      <c r="Y109" s="680" t="s">
        <v>484</v>
      </c>
      <c r="Z109" s="680" t="s">
        <v>483</v>
      </c>
      <c r="AA109" s="680">
        <f>+U109*G109</f>
        <v>1220</v>
      </c>
      <c r="AB109" s="680">
        <f>+U109*H109</f>
        <v>2928</v>
      </c>
      <c r="AC109" s="680">
        <f>+U109*I109</f>
        <v>0</v>
      </c>
      <c r="AD109" s="680">
        <f>+U109*J109</f>
        <v>0</v>
      </c>
      <c r="AE109" s="680">
        <f>+U109*K109</f>
        <v>0</v>
      </c>
      <c r="AF109" s="680">
        <f>+U109*L109</f>
        <v>0</v>
      </c>
      <c r="AG109" s="680">
        <f>+U109*M109</f>
        <v>0</v>
      </c>
      <c r="AH109" s="680">
        <f>+U109*N109</f>
        <v>0</v>
      </c>
      <c r="AI109" s="681">
        <f>+U109*O109</f>
        <v>1220</v>
      </c>
      <c r="AJ109" s="681">
        <f>+U109*P109</f>
        <v>2928</v>
      </c>
    </row>
    <row r="110" spans="1:36" hidden="1">
      <c r="A110" s="680">
        <v>2212002018</v>
      </c>
      <c r="B110" s="680" t="s">
        <v>104</v>
      </c>
      <c r="C110" s="680" t="s">
        <v>510</v>
      </c>
      <c r="D110" s="680" t="s">
        <v>509</v>
      </c>
      <c r="E110" s="680" t="s">
        <v>489</v>
      </c>
      <c r="F110" s="680" t="s">
        <v>488</v>
      </c>
      <c r="G110" s="680">
        <v>0</v>
      </c>
      <c r="H110" s="680">
        <v>0</v>
      </c>
      <c r="I110" s="680">
        <v>178</v>
      </c>
      <c r="J110" s="680">
        <v>445</v>
      </c>
      <c r="K110" s="680">
        <v>0</v>
      </c>
      <c r="L110" s="680">
        <v>0</v>
      </c>
      <c r="M110" s="680">
        <v>0</v>
      </c>
      <c r="N110" s="680">
        <v>0</v>
      </c>
      <c r="O110" s="680">
        <f>+G110+I110+K110+M110</f>
        <v>178</v>
      </c>
      <c r="P110" s="680">
        <f>+H110+J110+L110+N110</f>
        <v>445</v>
      </c>
      <c r="Q110" s="680" t="s">
        <v>597</v>
      </c>
      <c r="R110" s="680" t="s">
        <v>596</v>
      </c>
      <c r="S110" s="680" t="s">
        <v>6</v>
      </c>
      <c r="T110" s="680" t="s">
        <v>484</v>
      </c>
      <c r="U110" s="681">
        <v>115</v>
      </c>
      <c r="V110" s="680">
        <v>129.46</v>
      </c>
      <c r="W110" s="680" t="s">
        <v>595</v>
      </c>
      <c r="X110" s="680" t="s">
        <v>485</v>
      </c>
      <c r="Y110" s="680" t="s">
        <v>484</v>
      </c>
      <c r="Z110" s="680" t="s">
        <v>483</v>
      </c>
      <c r="AA110" s="680">
        <f>+U110*G110</f>
        <v>0</v>
      </c>
      <c r="AB110" s="680">
        <f>+U110*H110</f>
        <v>0</v>
      </c>
      <c r="AC110" s="680">
        <f>+U110*I110</f>
        <v>20470</v>
      </c>
      <c r="AD110" s="680">
        <f>+U110*J110</f>
        <v>51175</v>
      </c>
      <c r="AE110" s="680">
        <f>+U110*K110</f>
        <v>0</v>
      </c>
      <c r="AF110" s="680">
        <f>+U110*L110</f>
        <v>0</v>
      </c>
      <c r="AG110" s="680">
        <f>+U110*M110</f>
        <v>0</v>
      </c>
      <c r="AH110" s="680">
        <f>+U110*N110</f>
        <v>0</v>
      </c>
      <c r="AI110" s="681">
        <f>+U110*O110</f>
        <v>20470</v>
      </c>
      <c r="AJ110" s="681">
        <f>+U110*P110</f>
        <v>51175</v>
      </c>
    </row>
    <row r="111" spans="1:36" hidden="1">
      <c r="A111" s="680">
        <v>2212002019</v>
      </c>
      <c r="B111" s="680" t="s">
        <v>125</v>
      </c>
      <c r="C111" s="680" t="s">
        <v>510</v>
      </c>
      <c r="D111" s="680" t="s">
        <v>509</v>
      </c>
      <c r="E111" s="680" t="s">
        <v>489</v>
      </c>
      <c r="F111" s="680" t="s">
        <v>488</v>
      </c>
      <c r="G111" s="680">
        <v>70</v>
      </c>
      <c r="H111" s="680">
        <v>174</v>
      </c>
      <c r="I111" s="680">
        <v>193</v>
      </c>
      <c r="J111" s="680">
        <v>482</v>
      </c>
      <c r="K111" s="680">
        <v>0</v>
      </c>
      <c r="L111" s="680">
        <v>0</v>
      </c>
      <c r="M111" s="680">
        <v>0</v>
      </c>
      <c r="N111" s="680">
        <v>0</v>
      </c>
      <c r="O111" s="680">
        <f>+G111+I111+K111+M111</f>
        <v>263</v>
      </c>
      <c r="P111" s="680">
        <f>+H111+J111+L111+N111</f>
        <v>656</v>
      </c>
      <c r="Q111" s="680" t="s">
        <v>597</v>
      </c>
      <c r="R111" s="680" t="s">
        <v>596</v>
      </c>
      <c r="S111" s="680" t="s">
        <v>6</v>
      </c>
      <c r="T111" s="680" t="s">
        <v>484</v>
      </c>
      <c r="U111" s="681">
        <v>175</v>
      </c>
      <c r="V111" s="680">
        <v>191.92</v>
      </c>
      <c r="W111" s="680" t="s">
        <v>595</v>
      </c>
      <c r="X111" s="680" t="s">
        <v>485</v>
      </c>
      <c r="Y111" s="680" t="s">
        <v>484</v>
      </c>
      <c r="Z111" s="680" t="s">
        <v>483</v>
      </c>
      <c r="AA111" s="680">
        <f>+U111*G111</f>
        <v>12250</v>
      </c>
      <c r="AB111" s="680">
        <f>+U111*H111</f>
        <v>30450</v>
      </c>
      <c r="AC111" s="680">
        <f>+U111*I111</f>
        <v>33775</v>
      </c>
      <c r="AD111" s="680">
        <f>+U111*J111</f>
        <v>84350</v>
      </c>
      <c r="AE111" s="680">
        <f>+U111*K111</f>
        <v>0</v>
      </c>
      <c r="AF111" s="680">
        <f>+U111*L111</f>
        <v>0</v>
      </c>
      <c r="AG111" s="680">
        <f>+U111*M111</f>
        <v>0</v>
      </c>
      <c r="AH111" s="680">
        <f>+U111*N111</f>
        <v>0</v>
      </c>
      <c r="AI111" s="681">
        <f>+U111*O111</f>
        <v>46025</v>
      </c>
      <c r="AJ111" s="681">
        <f>+U111*P111</f>
        <v>114800</v>
      </c>
    </row>
    <row r="112" spans="1:36" hidden="1">
      <c r="A112" s="680">
        <v>2212002020</v>
      </c>
      <c r="B112" s="680" t="s">
        <v>126</v>
      </c>
      <c r="C112" s="680" t="s">
        <v>510</v>
      </c>
      <c r="D112" s="680" t="s">
        <v>509</v>
      </c>
      <c r="E112" s="680" t="s">
        <v>489</v>
      </c>
      <c r="F112" s="680" t="s">
        <v>488</v>
      </c>
      <c r="G112" s="680">
        <v>490</v>
      </c>
      <c r="H112" s="680">
        <v>1224</v>
      </c>
      <c r="I112" s="680">
        <v>0</v>
      </c>
      <c r="J112" s="680">
        <v>0</v>
      </c>
      <c r="K112" s="680">
        <v>0</v>
      </c>
      <c r="L112" s="680">
        <v>0</v>
      </c>
      <c r="M112" s="680">
        <v>0</v>
      </c>
      <c r="N112" s="680">
        <v>0</v>
      </c>
      <c r="O112" s="680">
        <f>+G112+I112+K112+M112</f>
        <v>490</v>
      </c>
      <c r="P112" s="680">
        <f>+H112+J112+L112+N112</f>
        <v>1224</v>
      </c>
      <c r="Q112" s="680" t="s">
        <v>597</v>
      </c>
      <c r="R112" s="680" t="s">
        <v>596</v>
      </c>
      <c r="S112" s="680" t="s">
        <v>6</v>
      </c>
      <c r="T112" s="680" t="s">
        <v>484</v>
      </c>
      <c r="U112" s="681">
        <v>165</v>
      </c>
      <c r="V112" s="680">
        <v>180.4</v>
      </c>
      <c r="W112" s="680" t="s">
        <v>595</v>
      </c>
      <c r="X112" s="680" t="s">
        <v>485</v>
      </c>
      <c r="Y112" s="680" t="s">
        <v>484</v>
      </c>
      <c r="Z112" s="680" t="s">
        <v>483</v>
      </c>
      <c r="AA112" s="680">
        <f>+U112*G112</f>
        <v>80850</v>
      </c>
      <c r="AB112" s="680">
        <f>+U112*H112</f>
        <v>201960</v>
      </c>
      <c r="AC112" s="680">
        <f>+U112*I112</f>
        <v>0</v>
      </c>
      <c r="AD112" s="680">
        <f>+U112*J112</f>
        <v>0</v>
      </c>
      <c r="AE112" s="680">
        <f>+U112*K112</f>
        <v>0</v>
      </c>
      <c r="AF112" s="680">
        <f>+U112*L112</f>
        <v>0</v>
      </c>
      <c r="AG112" s="680">
        <f>+U112*M112</f>
        <v>0</v>
      </c>
      <c r="AH112" s="680">
        <f>+U112*N112</f>
        <v>0</v>
      </c>
      <c r="AI112" s="681">
        <f>+U112*O112</f>
        <v>80850</v>
      </c>
      <c r="AJ112" s="681">
        <f>+U112*P112</f>
        <v>201960</v>
      </c>
    </row>
    <row r="113" spans="1:36" hidden="1">
      <c r="A113" s="680">
        <v>2212002021</v>
      </c>
      <c r="B113" s="680" t="s">
        <v>127</v>
      </c>
      <c r="C113" s="680" t="s">
        <v>510</v>
      </c>
      <c r="D113" s="680" t="s">
        <v>509</v>
      </c>
      <c r="E113" s="680" t="s">
        <v>489</v>
      </c>
      <c r="F113" s="680" t="s">
        <v>488</v>
      </c>
      <c r="G113" s="680">
        <v>219</v>
      </c>
      <c r="H113" s="680">
        <v>546</v>
      </c>
      <c r="I113" s="680">
        <v>415</v>
      </c>
      <c r="J113" s="680">
        <v>1037</v>
      </c>
      <c r="K113" s="680">
        <v>0</v>
      </c>
      <c r="L113" s="680">
        <v>0</v>
      </c>
      <c r="M113" s="680">
        <v>0</v>
      </c>
      <c r="N113" s="680">
        <v>0</v>
      </c>
      <c r="O113" s="680">
        <f>+G113+I113+K113+M113</f>
        <v>634</v>
      </c>
      <c r="P113" s="680">
        <f>+H113+J113+L113+N113</f>
        <v>1583</v>
      </c>
      <c r="Q113" s="680" t="s">
        <v>597</v>
      </c>
      <c r="R113" s="680" t="s">
        <v>596</v>
      </c>
      <c r="S113" s="680" t="s">
        <v>6</v>
      </c>
      <c r="T113" s="680" t="s">
        <v>484</v>
      </c>
      <c r="U113" s="681">
        <v>171</v>
      </c>
      <c r="V113" s="680">
        <v>185.82</v>
      </c>
      <c r="W113" s="680" t="s">
        <v>595</v>
      </c>
      <c r="X113" s="680" t="s">
        <v>485</v>
      </c>
      <c r="Y113" s="680" t="s">
        <v>484</v>
      </c>
      <c r="Z113" s="680" t="s">
        <v>483</v>
      </c>
      <c r="AA113" s="680">
        <f>+U113*G113</f>
        <v>37449</v>
      </c>
      <c r="AB113" s="680">
        <f>+U113*H113</f>
        <v>93366</v>
      </c>
      <c r="AC113" s="680">
        <f>+U113*I113</f>
        <v>70965</v>
      </c>
      <c r="AD113" s="680">
        <f>+U113*J113</f>
        <v>177327</v>
      </c>
      <c r="AE113" s="680">
        <f>+U113*K113</f>
        <v>0</v>
      </c>
      <c r="AF113" s="680">
        <f>+U113*L113</f>
        <v>0</v>
      </c>
      <c r="AG113" s="680">
        <f>+U113*M113</f>
        <v>0</v>
      </c>
      <c r="AH113" s="680">
        <f>+U113*N113</f>
        <v>0</v>
      </c>
      <c r="AI113" s="681">
        <f>+U113*O113</f>
        <v>108414</v>
      </c>
      <c r="AJ113" s="681">
        <f>+U113*P113</f>
        <v>270693</v>
      </c>
    </row>
    <row r="114" spans="1:36" hidden="1">
      <c r="A114" s="680">
        <v>2212002022</v>
      </c>
      <c r="B114" s="680" t="s">
        <v>105</v>
      </c>
      <c r="C114" s="680" t="s">
        <v>510</v>
      </c>
      <c r="D114" s="680" t="s">
        <v>509</v>
      </c>
      <c r="E114" s="680" t="s">
        <v>489</v>
      </c>
      <c r="F114" s="680" t="s">
        <v>488</v>
      </c>
      <c r="G114" s="680">
        <v>120</v>
      </c>
      <c r="H114" s="680">
        <v>300</v>
      </c>
      <c r="I114" s="680">
        <v>0</v>
      </c>
      <c r="J114" s="680">
        <v>0</v>
      </c>
      <c r="K114" s="680">
        <v>0</v>
      </c>
      <c r="L114" s="680">
        <v>0</v>
      </c>
      <c r="M114" s="680">
        <v>0</v>
      </c>
      <c r="N114" s="680">
        <v>0</v>
      </c>
      <c r="O114" s="680">
        <f>+G114+I114+K114+M114</f>
        <v>120</v>
      </c>
      <c r="P114" s="680">
        <f>+H114+J114+L114+N114</f>
        <v>300</v>
      </c>
      <c r="Q114" s="680" t="s">
        <v>597</v>
      </c>
      <c r="R114" s="680" t="s">
        <v>596</v>
      </c>
      <c r="S114" s="680" t="s">
        <v>6</v>
      </c>
      <c r="T114" s="680" t="s">
        <v>484</v>
      </c>
      <c r="U114" s="681">
        <v>130</v>
      </c>
      <c r="V114" s="680">
        <v>137.47</v>
      </c>
      <c r="W114" s="680" t="s">
        <v>595</v>
      </c>
      <c r="X114" s="680" t="s">
        <v>485</v>
      </c>
      <c r="Y114" s="680" t="s">
        <v>484</v>
      </c>
      <c r="Z114" s="680" t="s">
        <v>483</v>
      </c>
      <c r="AA114" s="680">
        <f>+U114*G114</f>
        <v>15600</v>
      </c>
      <c r="AB114" s="680">
        <f>+U114*H114</f>
        <v>39000</v>
      </c>
      <c r="AC114" s="680">
        <f>+U114*I114</f>
        <v>0</v>
      </c>
      <c r="AD114" s="680">
        <f>+U114*J114</f>
        <v>0</v>
      </c>
      <c r="AE114" s="680">
        <f>+U114*K114</f>
        <v>0</v>
      </c>
      <c r="AF114" s="680">
        <f>+U114*L114</f>
        <v>0</v>
      </c>
      <c r="AG114" s="680">
        <f>+U114*M114</f>
        <v>0</v>
      </c>
      <c r="AH114" s="680">
        <f>+U114*N114</f>
        <v>0</v>
      </c>
      <c r="AI114" s="681">
        <f>+U114*O114</f>
        <v>15600</v>
      </c>
      <c r="AJ114" s="681">
        <f>+U114*P114</f>
        <v>39000</v>
      </c>
    </row>
    <row r="115" spans="1:36" hidden="1">
      <c r="A115" s="680">
        <v>2212002023</v>
      </c>
      <c r="B115" s="680" t="s">
        <v>106</v>
      </c>
      <c r="C115" s="680" t="s">
        <v>510</v>
      </c>
      <c r="D115" s="680" t="s">
        <v>509</v>
      </c>
      <c r="E115" s="680" t="s">
        <v>489</v>
      </c>
      <c r="F115" s="680" t="s">
        <v>488</v>
      </c>
      <c r="G115" s="680">
        <v>0</v>
      </c>
      <c r="H115" s="680">
        <v>0</v>
      </c>
      <c r="I115" s="680">
        <v>180</v>
      </c>
      <c r="J115" s="680">
        <v>450</v>
      </c>
      <c r="K115" s="680">
        <v>0</v>
      </c>
      <c r="L115" s="680">
        <v>0</v>
      </c>
      <c r="M115" s="680">
        <v>0</v>
      </c>
      <c r="N115" s="680">
        <v>0</v>
      </c>
      <c r="O115" s="680">
        <f>+G115+I115+K115+M115</f>
        <v>180</v>
      </c>
      <c r="P115" s="680">
        <f>+H115+J115+L115+N115</f>
        <v>450</v>
      </c>
      <c r="Q115" s="680" t="s">
        <v>597</v>
      </c>
      <c r="R115" s="680" t="s">
        <v>596</v>
      </c>
      <c r="S115" s="680" t="s">
        <v>6</v>
      </c>
      <c r="T115" s="680" t="s">
        <v>484</v>
      </c>
      <c r="U115" s="681">
        <v>249</v>
      </c>
      <c r="V115" s="680">
        <v>292.5</v>
      </c>
      <c r="W115" s="680" t="s">
        <v>595</v>
      </c>
      <c r="X115" s="680" t="s">
        <v>485</v>
      </c>
      <c r="Y115" s="680" t="s">
        <v>484</v>
      </c>
      <c r="Z115" s="680" t="s">
        <v>483</v>
      </c>
      <c r="AA115" s="680">
        <f>+U115*G115</f>
        <v>0</v>
      </c>
      <c r="AB115" s="680">
        <f>+U115*H115</f>
        <v>0</v>
      </c>
      <c r="AC115" s="680">
        <f>+U115*I115</f>
        <v>44820</v>
      </c>
      <c r="AD115" s="680">
        <f>+U115*J115</f>
        <v>112050</v>
      </c>
      <c r="AE115" s="680">
        <f>+U115*K115</f>
        <v>0</v>
      </c>
      <c r="AF115" s="680">
        <f>+U115*L115</f>
        <v>0</v>
      </c>
      <c r="AG115" s="680">
        <f>+U115*M115</f>
        <v>0</v>
      </c>
      <c r="AH115" s="680">
        <f>+U115*N115</f>
        <v>0</v>
      </c>
      <c r="AI115" s="681">
        <f>+U115*O115</f>
        <v>44820</v>
      </c>
      <c r="AJ115" s="681">
        <f>+U115*P115</f>
        <v>112050</v>
      </c>
    </row>
    <row r="116" spans="1:36" hidden="1">
      <c r="A116" s="680">
        <v>2212002024</v>
      </c>
      <c r="B116" s="680" t="s">
        <v>128</v>
      </c>
      <c r="C116" s="680" t="s">
        <v>510</v>
      </c>
      <c r="D116" s="680" t="s">
        <v>509</v>
      </c>
      <c r="E116" s="680" t="s">
        <v>489</v>
      </c>
      <c r="F116" s="680" t="s">
        <v>488</v>
      </c>
      <c r="G116" s="680">
        <v>248</v>
      </c>
      <c r="H116" s="680">
        <v>618</v>
      </c>
      <c r="I116" s="680">
        <v>0</v>
      </c>
      <c r="J116" s="680">
        <v>0</v>
      </c>
      <c r="K116" s="680">
        <v>0</v>
      </c>
      <c r="L116" s="680">
        <v>0</v>
      </c>
      <c r="M116" s="680">
        <v>0</v>
      </c>
      <c r="N116" s="680">
        <v>0</v>
      </c>
      <c r="O116" s="680">
        <f>+G116+I116+K116+M116</f>
        <v>248</v>
      </c>
      <c r="P116" s="680">
        <f>+H116+J116+L116+N116</f>
        <v>618</v>
      </c>
      <c r="Q116" s="680" t="s">
        <v>597</v>
      </c>
      <c r="R116" s="680" t="s">
        <v>596</v>
      </c>
      <c r="S116" s="680" t="s">
        <v>6</v>
      </c>
      <c r="T116" s="680" t="s">
        <v>484</v>
      </c>
      <c r="U116" s="681">
        <v>161</v>
      </c>
      <c r="V116" s="680">
        <v>183.7</v>
      </c>
      <c r="W116" s="680" t="s">
        <v>595</v>
      </c>
      <c r="X116" s="680" t="s">
        <v>485</v>
      </c>
      <c r="Y116" s="680" t="s">
        <v>484</v>
      </c>
      <c r="Z116" s="680" t="s">
        <v>483</v>
      </c>
      <c r="AA116" s="680">
        <f>+U116*G116</f>
        <v>39928</v>
      </c>
      <c r="AB116" s="680">
        <f>+U116*H116</f>
        <v>99498</v>
      </c>
      <c r="AC116" s="680">
        <f>+U116*I116</f>
        <v>0</v>
      </c>
      <c r="AD116" s="680">
        <f>+U116*J116</f>
        <v>0</v>
      </c>
      <c r="AE116" s="680">
        <f>+U116*K116</f>
        <v>0</v>
      </c>
      <c r="AF116" s="680">
        <f>+U116*L116</f>
        <v>0</v>
      </c>
      <c r="AG116" s="680">
        <f>+U116*M116</f>
        <v>0</v>
      </c>
      <c r="AH116" s="680">
        <f>+U116*N116</f>
        <v>0</v>
      </c>
      <c r="AI116" s="681">
        <f>+U116*O116</f>
        <v>39928</v>
      </c>
      <c r="AJ116" s="681">
        <f>+U116*P116</f>
        <v>99498</v>
      </c>
    </row>
    <row r="117" spans="1:36" hidden="1">
      <c r="A117" s="680">
        <v>2212002025</v>
      </c>
      <c r="B117" s="680" t="s">
        <v>107</v>
      </c>
      <c r="C117" s="680" t="s">
        <v>510</v>
      </c>
      <c r="D117" s="680" t="s">
        <v>509</v>
      </c>
      <c r="E117" s="680" t="s">
        <v>489</v>
      </c>
      <c r="F117" s="680" t="s">
        <v>488</v>
      </c>
      <c r="G117" s="680">
        <v>34</v>
      </c>
      <c r="H117" s="680">
        <v>84</v>
      </c>
      <c r="I117" s="680">
        <v>0</v>
      </c>
      <c r="J117" s="680">
        <v>0</v>
      </c>
      <c r="K117" s="680">
        <v>0</v>
      </c>
      <c r="L117" s="680">
        <v>0</v>
      </c>
      <c r="M117" s="680">
        <v>0</v>
      </c>
      <c r="N117" s="680">
        <v>0</v>
      </c>
      <c r="O117" s="680">
        <f>+G117+I117+K117+M117</f>
        <v>34</v>
      </c>
      <c r="P117" s="680">
        <f>+H117+J117+L117+N117</f>
        <v>84</v>
      </c>
      <c r="Q117" s="680" t="s">
        <v>597</v>
      </c>
      <c r="R117" s="680" t="s">
        <v>596</v>
      </c>
      <c r="S117" s="680" t="s">
        <v>6</v>
      </c>
      <c r="T117" s="680" t="s">
        <v>484</v>
      </c>
      <c r="U117" s="681">
        <v>40</v>
      </c>
      <c r="V117" s="680">
        <v>46.47</v>
      </c>
      <c r="W117" s="680" t="s">
        <v>595</v>
      </c>
      <c r="X117" s="680" t="s">
        <v>485</v>
      </c>
      <c r="Y117" s="680" t="s">
        <v>484</v>
      </c>
      <c r="Z117" s="680" t="s">
        <v>483</v>
      </c>
      <c r="AA117" s="680">
        <f>+U117*G117</f>
        <v>1360</v>
      </c>
      <c r="AB117" s="680">
        <f>+U117*H117</f>
        <v>3360</v>
      </c>
      <c r="AC117" s="680">
        <f>+U117*I117</f>
        <v>0</v>
      </c>
      <c r="AD117" s="680">
        <f>+U117*J117</f>
        <v>0</v>
      </c>
      <c r="AE117" s="680">
        <f>+U117*K117</f>
        <v>0</v>
      </c>
      <c r="AF117" s="680">
        <f>+U117*L117</f>
        <v>0</v>
      </c>
      <c r="AG117" s="680">
        <f>+U117*M117</f>
        <v>0</v>
      </c>
      <c r="AH117" s="680">
        <f>+U117*N117</f>
        <v>0</v>
      </c>
      <c r="AI117" s="681">
        <f>+U117*O117</f>
        <v>1360</v>
      </c>
      <c r="AJ117" s="681">
        <f>+U117*P117</f>
        <v>3360</v>
      </c>
    </row>
    <row r="118" spans="1:36" hidden="1">
      <c r="A118" s="680">
        <v>2212002026</v>
      </c>
      <c r="B118" s="680" t="s">
        <v>108</v>
      </c>
      <c r="C118" s="680" t="s">
        <v>510</v>
      </c>
      <c r="D118" s="680" t="s">
        <v>509</v>
      </c>
      <c r="E118" s="680" t="s">
        <v>489</v>
      </c>
      <c r="F118" s="680" t="s">
        <v>488</v>
      </c>
      <c r="G118" s="680">
        <v>24</v>
      </c>
      <c r="H118" s="680">
        <v>60</v>
      </c>
      <c r="I118" s="680">
        <v>0</v>
      </c>
      <c r="J118" s="680">
        <v>0</v>
      </c>
      <c r="K118" s="680">
        <v>0</v>
      </c>
      <c r="L118" s="680">
        <v>0</v>
      </c>
      <c r="M118" s="680">
        <v>0</v>
      </c>
      <c r="N118" s="680">
        <v>0</v>
      </c>
      <c r="O118" s="680">
        <f>+G118+I118+K118+M118</f>
        <v>24</v>
      </c>
      <c r="P118" s="680">
        <f>+H118+J118+L118+N118</f>
        <v>60</v>
      </c>
      <c r="Q118" s="680" t="s">
        <v>597</v>
      </c>
      <c r="R118" s="680" t="s">
        <v>596</v>
      </c>
      <c r="S118" s="680" t="s">
        <v>6</v>
      </c>
      <c r="T118" s="680" t="s">
        <v>484</v>
      </c>
      <c r="U118" s="681">
        <v>61</v>
      </c>
      <c r="V118" s="680">
        <v>43.47</v>
      </c>
      <c r="W118" s="680" t="s">
        <v>595</v>
      </c>
      <c r="X118" s="680" t="s">
        <v>485</v>
      </c>
      <c r="Y118" s="680" t="s">
        <v>484</v>
      </c>
      <c r="Z118" s="680" t="s">
        <v>483</v>
      </c>
      <c r="AA118" s="680">
        <f>+U118*G118</f>
        <v>1464</v>
      </c>
      <c r="AB118" s="680">
        <f>+U118*H118</f>
        <v>3660</v>
      </c>
      <c r="AC118" s="680">
        <f>+U118*I118</f>
        <v>0</v>
      </c>
      <c r="AD118" s="680">
        <f>+U118*J118</f>
        <v>0</v>
      </c>
      <c r="AE118" s="680">
        <f>+U118*K118</f>
        <v>0</v>
      </c>
      <c r="AF118" s="680">
        <f>+U118*L118</f>
        <v>0</v>
      </c>
      <c r="AG118" s="680">
        <f>+U118*M118</f>
        <v>0</v>
      </c>
      <c r="AH118" s="680">
        <f>+U118*N118</f>
        <v>0</v>
      </c>
      <c r="AI118" s="681">
        <f>+U118*O118</f>
        <v>1464</v>
      </c>
      <c r="AJ118" s="681">
        <f>+U118*P118</f>
        <v>3660</v>
      </c>
    </row>
    <row r="119" spans="1:36" hidden="1">
      <c r="A119" s="680">
        <v>2212002027</v>
      </c>
      <c r="B119" s="680" t="s">
        <v>109</v>
      </c>
      <c r="C119" s="680" t="s">
        <v>510</v>
      </c>
      <c r="D119" s="680" t="s">
        <v>509</v>
      </c>
      <c r="E119" s="680" t="s">
        <v>489</v>
      </c>
      <c r="F119" s="680" t="s">
        <v>488</v>
      </c>
      <c r="G119" s="680">
        <v>80</v>
      </c>
      <c r="H119" s="680">
        <v>198</v>
      </c>
      <c r="I119" s="680">
        <v>0</v>
      </c>
      <c r="J119" s="680">
        <v>0</v>
      </c>
      <c r="K119" s="680">
        <v>0</v>
      </c>
      <c r="L119" s="680">
        <v>0</v>
      </c>
      <c r="M119" s="680">
        <v>0</v>
      </c>
      <c r="N119" s="680">
        <v>0</v>
      </c>
      <c r="O119" s="680">
        <f>+G119+I119+K119+M119</f>
        <v>80</v>
      </c>
      <c r="P119" s="680">
        <f>+H119+J119+L119+N119</f>
        <v>198</v>
      </c>
      <c r="Q119" s="680" t="s">
        <v>597</v>
      </c>
      <c r="R119" s="680" t="s">
        <v>596</v>
      </c>
      <c r="S119" s="680" t="s">
        <v>6</v>
      </c>
      <c r="T119" s="680" t="s">
        <v>484</v>
      </c>
      <c r="U119" s="681">
        <v>260</v>
      </c>
      <c r="V119" s="680">
        <v>298.83999999999997</v>
      </c>
      <c r="W119" s="680" t="s">
        <v>595</v>
      </c>
      <c r="X119" s="680" t="s">
        <v>485</v>
      </c>
      <c r="Y119" s="680" t="s">
        <v>484</v>
      </c>
      <c r="Z119" s="680" t="s">
        <v>483</v>
      </c>
      <c r="AA119" s="680">
        <f>+U119*G119</f>
        <v>20800</v>
      </c>
      <c r="AB119" s="680">
        <f>+U119*H119</f>
        <v>51480</v>
      </c>
      <c r="AC119" s="680">
        <f>+U119*I119</f>
        <v>0</v>
      </c>
      <c r="AD119" s="680">
        <f>+U119*J119</f>
        <v>0</v>
      </c>
      <c r="AE119" s="680">
        <f>+U119*K119</f>
        <v>0</v>
      </c>
      <c r="AF119" s="680">
        <f>+U119*L119</f>
        <v>0</v>
      </c>
      <c r="AG119" s="680">
        <f>+U119*M119</f>
        <v>0</v>
      </c>
      <c r="AH119" s="680">
        <f>+U119*N119</f>
        <v>0</v>
      </c>
      <c r="AI119" s="681">
        <f>+U119*O119</f>
        <v>20800</v>
      </c>
      <c r="AJ119" s="681">
        <f>+U119*P119</f>
        <v>51480</v>
      </c>
    </row>
    <row r="120" spans="1:36" hidden="1">
      <c r="A120" s="680">
        <v>2212002028</v>
      </c>
      <c r="B120" s="680" t="s">
        <v>110</v>
      </c>
      <c r="C120" s="680" t="s">
        <v>510</v>
      </c>
      <c r="D120" s="680" t="s">
        <v>509</v>
      </c>
      <c r="E120" s="680" t="s">
        <v>489</v>
      </c>
      <c r="F120" s="680" t="s">
        <v>488</v>
      </c>
      <c r="G120" s="680">
        <v>20</v>
      </c>
      <c r="H120" s="680">
        <v>48</v>
      </c>
      <c r="I120" s="680">
        <v>0</v>
      </c>
      <c r="J120" s="680">
        <v>0</v>
      </c>
      <c r="K120" s="680">
        <v>0</v>
      </c>
      <c r="L120" s="680">
        <v>0</v>
      </c>
      <c r="M120" s="680">
        <v>0</v>
      </c>
      <c r="N120" s="680">
        <v>0</v>
      </c>
      <c r="O120" s="680">
        <f>+G120+I120+K120+M120</f>
        <v>20</v>
      </c>
      <c r="P120" s="680">
        <f>+H120+J120+L120+N120</f>
        <v>48</v>
      </c>
      <c r="Q120" s="680" t="s">
        <v>597</v>
      </c>
      <c r="R120" s="680" t="s">
        <v>596</v>
      </c>
      <c r="S120" s="680" t="s">
        <v>6</v>
      </c>
      <c r="T120" s="680" t="s">
        <v>484</v>
      </c>
      <c r="U120" s="681">
        <v>122</v>
      </c>
      <c r="V120" s="680">
        <v>134.88</v>
      </c>
      <c r="W120" s="680" t="s">
        <v>595</v>
      </c>
      <c r="X120" s="680" t="s">
        <v>485</v>
      </c>
      <c r="Y120" s="680" t="s">
        <v>484</v>
      </c>
      <c r="Z120" s="680" t="s">
        <v>483</v>
      </c>
      <c r="AA120" s="680">
        <f>+U120*G120</f>
        <v>2440</v>
      </c>
      <c r="AB120" s="680">
        <f>+U120*H120</f>
        <v>5856</v>
      </c>
      <c r="AC120" s="680">
        <f>+U120*I120</f>
        <v>0</v>
      </c>
      <c r="AD120" s="680">
        <f>+U120*J120</f>
        <v>0</v>
      </c>
      <c r="AE120" s="680">
        <f>+U120*K120</f>
        <v>0</v>
      </c>
      <c r="AF120" s="680">
        <f>+U120*L120</f>
        <v>0</v>
      </c>
      <c r="AG120" s="680">
        <f>+U120*M120</f>
        <v>0</v>
      </c>
      <c r="AH120" s="680">
        <f>+U120*N120</f>
        <v>0</v>
      </c>
      <c r="AI120" s="681">
        <f>+U120*O120</f>
        <v>2440</v>
      </c>
      <c r="AJ120" s="681">
        <f>+U120*P120</f>
        <v>5856</v>
      </c>
    </row>
    <row r="121" spans="1:36" hidden="1">
      <c r="A121" s="680">
        <v>2212002029</v>
      </c>
      <c r="B121" s="680" t="s">
        <v>598</v>
      </c>
      <c r="C121" s="680" t="s">
        <v>510</v>
      </c>
      <c r="D121" s="680" t="s">
        <v>509</v>
      </c>
      <c r="E121" s="680" t="s">
        <v>489</v>
      </c>
      <c r="F121" s="680" t="s">
        <v>488</v>
      </c>
      <c r="G121" s="680">
        <v>0</v>
      </c>
      <c r="H121" s="680">
        <v>0</v>
      </c>
      <c r="I121" s="680">
        <v>180</v>
      </c>
      <c r="J121" s="680">
        <v>450</v>
      </c>
      <c r="K121" s="680">
        <v>0</v>
      </c>
      <c r="L121" s="680">
        <v>0</v>
      </c>
      <c r="M121" s="680">
        <v>0</v>
      </c>
      <c r="N121" s="680">
        <v>0</v>
      </c>
      <c r="O121" s="680">
        <f>+G121+I121+K121+M121</f>
        <v>180</v>
      </c>
      <c r="P121" s="680">
        <f>+H121+J121+L121+N121</f>
        <v>450</v>
      </c>
      <c r="Q121" s="680" t="s">
        <v>597</v>
      </c>
      <c r="R121" s="680" t="s">
        <v>596</v>
      </c>
      <c r="S121" s="680" t="s">
        <v>6</v>
      </c>
      <c r="T121" s="680" t="s">
        <v>484</v>
      </c>
      <c r="U121" s="681">
        <v>180</v>
      </c>
      <c r="V121" s="680">
        <v>201.79</v>
      </c>
      <c r="W121" s="680" t="s">
        <v>595</v>
      </c>
      <c r="X121" s="680" t="s">
        <v>485</v>
      </c>
      <c r="Y121" s="680" t="s">
        <v>484</v>
      </c>
      <c r="Z121" s="680" t="s">
        <v>483</v>
      </c>
      <c r="AA121" s="680">
        <f>+U121*G121</f>
        <v>0</v>
      </c>
      <c r="AB121" s="680">
        <f>+U121*H121</f>
        <v>0</v>
      </c>
      <c r="AC121" s="680">
        <f>+U121*I121</f>
        <v>32400</v>
      </c>
      <c r="AD121" s="680">
        <f>+U121*J121</f>
        <v>81000</v>
      </c>
      <c r="AE121" s="680">
        <f>+U121*K121</f>
        <v>0</v>
      </c>
      <c r="AF121" s="680">
        <f>+U121*L121</f>
        <v>0</v>
      </c>
      <c r="AG121" s="680">
        <f>+U121*M121</f>
        <v>0</v>
      </c>
      <c r="AH121" s="680">
        <f>+U121*N121</f>
        <v>0</v>
      </c>
      <c r="AI121" s="681">
        <f>+U121*O121</f>
        <v>32400</v>
      </c>
      <c r="AJ121" s="681">
        <f>+U121*P121</f>
        <v>81000</v>
      </c>
    </row>
    <row r="122" spans="1:36" hidden="1">
      <c r="A122" s="680">
        <v>2212002030</v>
      </c>
      <c r="B122" s="680" t="s">
        <v>111</v>
      </c>
      <c r="C122" s="680" t="s">
        <v>510</v>
      </c>
      <c r="D122" s="680" t="s">
        <v>509</v>
      </c>
      <c r="E122" s="680" t="s">
        <v>489</v>
      </c>
      <c r="F122" s="680" t="s">
        <v>488</v>
      </c>
      <c r="G122" s="680">
        <v>8</v>
      </c>
      <c r="H122" s="680">
        <v>18</v>
      </c>
      <c r="I122" s="680">
        <v>180</v>
      </c>
      <c r="J122" s="680">
        <v>450</v>
      </c>
      <c r="K122" s="680">
        <v>0</v>
      </c>
      <c r="L122" s="680">
        <v>0</v>
      </c>
      <c r="M122" s="680">
        <v>0</v>
      </c>
      <c r="N122" s="680">
        <v>0</v>
      </c>
      <c r="O122" s="680">
        <f>+G122+I122+K122+M122</f>
        <v>188</v>
      </c>
      <c r="P122" s="680">
        <f>+H122+J122+L122+N122</f>
        <v>468</v>
      </c>
      <c r="Q122" s="680" t="s">
        <v>597</v>
      </c>
      <c r="R122" s="680" t="s">
        <v>596</v>
      </c>
      <c r="S122" s="680" t="s">
        <v>6</v>
      </c>
      <c r="T122" s="680" t="s">
        <v>484</v>
      </c>
      <c r="U122" s="681">
        <v>120</v>
      </c>
      <c r="V122" s="680">
        <v>133.94</v>
      </c>
      <c r="W122" s="680" t="s">
        <v>595</v>
      </c>
      <c r="X122" s="680" t="s">
        <v>485</v>
      </c>
      <c r="Y122" s="680" t="s">
        <v>484</v>
      </c>
      <c r="Z122" s="680" t="s">
        <v>483</v>
      </c>
      <c r="AA122" s="680">
        <f>+U122*G122</f>
        <v>960</v>
      </c>
      <c r="AB122" s="680">
        <f>+U122*H122</f>
        <v>2160</v>
      </c>
      <c r="AC122" s="680">
        <f>+U122*I122</f>
        <v>21600</v>
      </c>
      <c r="AD122" s="680">
        <f>+U122*J122</f>
        <v>54000</v>
      </c>
      <c r="AE122" s="680">
        <f>+U122*K122</f>
        <v>0</v>
      </c>
      <c r="AF122" s="680">
        <f>+U122*L122</f>
        <v>0</v>
      </c>
      <c r="AG122" s="680">
        <f>+U122*M122</f>
        <v>0</v>
      </c>
      <c r="AH122" s="680">
        <f>+U122*N122</f>
        <v>0</v>
      </c>
      <c r="AI122" s="681">
        <f>+U122*O122</f>
        <v>22560</v>
      </c>
      <c r="AJ122" s="681">
        <f>+U122*P122</f>
        <v>56160</v>
      </c>
    </row>
    <row r="123" spans="1:36" hidden="1">
      <c r="A123" s="680">
        <v>2212002032</v>
      </c>
      <c r="B123" s="680" t="s">
        <v>129</v>
      </c>
      <c r="C123" s="680" t="s">
        <v>510</v>
      </c>
      <c r="D123" s="680" t="s">
        <v>509</v>
      </c>
      <c r="E123" s="680" t="s">
        <v>489</v>
      </c>
      <c r="F123" s="680" t="s">
        <v>488</v>
      </c>
      <c r="G123" s="680">
        <v>3</v>
      </c>
      <c r="H123" s="680">
        <v>6</v>
      </c>
      <c r="I123" s="680">
        <v>0</v>
      </c>
      <c r="J123" s="680">
        <v>0</v>
      </c>
      <c r="K123" s="680">
        <v>0</v>
      </c>
      <c r="L123" s="680">
        <v>0</v>
      </c>
      <c r="M123" s="680">
        <v>0</v>
      </c>
      <c r="N123" s="680">
        <v>0</v>
      </c>
      <c r="O123" s="680">
        <f>+G123+I123+K123+M123</f>
        <v>3</v>
      </c>
      <c r="P123" s="680">
        <f>+H123+J123+L123+N123</f>
        <v>6</v>
      </c>
      <c r="Q123" s="680" t="s">
        <v>597</v>
      </c>
      <c r="R123" s="680" t="s">
        <v>596</v>
      </c>
      <c r="S123" s="680" t="s">
        <v>6</v>
      </c>
      <c r="T123" s="680" t="s">
        <v>484</v>
      </c>
      <c r="U123" s="681">
        <v>175</v>
      </c>
      <c r="V123" s="680">
        <v>190.17</v>
      </c>
      <c r="W123" s="680" t="s">
        <v>595</v>
      </c>
      <c r="X123" s="680" t="s">
        <v>485</v>
      </c>
      <c r="Y123" s="680" t="s">
        <v>484</v>
      </c>
      <c r="Z123" s="680" t="s">
        <v>483</v>
      </c>
      <c r="AA123" s="680">
        <f>+U123*G123</f>
        <v>525</v>
      </c>
      <c r="AB123" s="680">
        <f>+U123*H123</f>
        <v>1050</v>
      </c>
      <c r="AC123" s="680">
        <f>+U123*I123</f>
        <v>0</v>
      </c>
      <c r="AD123" s="680">
        <f>+U123*J123</f>
        <v>0</v>
      </c>
      <c r="AE123" s="680">
        <f>+U123*K123</f>
        <v>0</v>
      </c>
      <c r="AF123" s="680">
        <f>+U123*L123</f>
        <v>0</v>
      </c>
      <c r="AG123" s="680">
        <f>+U123*M123</f>
        <v>0</v>
      </c>
      <c r="AH123" s="680">
        <f>+U123*N123</f>
        <v>0</v>
      </c>
      <c r="AI123" s="681">
        <f>+U123*O123</f>
        <v>525</v>
      </c>
      <c r="AJ123" s="681">
        <f>+U123*P123</f>
        <v>1050</v>
      </c>
    </row>
    <row r="124" spans="1:36" hidden="1">
      <c r="A124" s="680">
        <v>2212002033</v>
      </c>
      <c r="B124" s="680" t="s">
        <v>130</v>
      </c>
      <c r="C124" s="680" t="s">
        <v>510</v>
      </c>
      <c r="D124" s="680" t="s">
        <v>509</v>
      </c>
      <c r="E124" s="680" t="s">
        <v>489</v>
      </c>
      <c r="F124" s="680" t="s">
        <v>488</v>
      </c>
      <c r="G124" s="680">
        <v>2958</v>
      </c>
      <c r="H124" s="680">
        <v>7393</v>
      </c>
      <c r="I124" s="680">
        <v>2700</v>
      </c>
      <c r="J124" s="680">
        <v>6750</v>
      </c>
      <c r="K124" s="680">
        <v>0</v>
      </c>
      <c r="L124" s="680">
        <v>0</v>
      </c>
      <c r="M124" s="680">
        <v>0</v>
      </c>
      <c r="N124" s="680">
        <v>0</v>
      </c>
      <c r="O124" s="680">
        <f>+G124+I124+K124+M124</f>
        <v>5658</v>
      </c>
      <c r="P124" s="680">
        <f>+H124+J124+L124+N124</f>
        <v>14143</v>
      </c>
      <c r="Q124" s="680" t="s">
        <v>597</v>
      </c>
      <c r="R124" s="680" t="s">
        <v>596</v>
      </c>
      <c r="S124" s="680" t="s">
        <v>6</v>
      </c>
      <c r="T124" s="680" t="s">
        <v>484</v>
      </c>
      <c r="U124" s="681">
        <v>172</v>
      </c>
      <c r="V124" s="680">
        <v>186.91</v>
      </c>
      <c r="W124" s="680" t="s">
        <v>595</v>
      </c>
      <c r="X124" s="680" t="s">
        <v>485</v>
      </c>
      <c r="Y124" s="680" t="s">
        <v>484</v>
      </c>
      <c r="Z124" s="680" t="s">
        <v>483</v>
      </c>
      <c r="AA124" s="680">
        <f>+U124*G124</f>
        <v>508776</v>
      </c>
      <c r="AB124" s="680">
        <f>+U124*H124</f>
        <v>1271596</v>
      </c>
      <c r="AC124" s="680">
        <f>+U124*I124</f>
        <v>464400</v>
      </c>
      <c r="AD124" s="680">
        <f>+U124*J124</f>
        <v>1161000</v>
      </c>
      <c r="AE124" s="680">
        <f>+U124*K124</f>
        <v>0</v>
      </c>
      <c r="AF124" s="680">
        <f>+U124*L124</f>
        <v>0</v>
      </c>
      <c r="AG124" s="680">
        <f>+U124*M124</f>
        <v>0</v>
      </c>
      <c r="AH124" s="680">
        <f>+U124*N124</f>
        <v>0</v>
      </c>
      <c r="AI124" s="681">
        <f>+U124*O124</f>
        <v>973176</v>
      </c>
      <c r="AJ124" s="681">
        <f>+U124*P124</f>
        <v>2432596</v>
      </c>
    </row>
    <row r="125" spans="1:36" hidden="1">
      <c r="A125" s="680">
        <v>2212002035</v>
      </c>
      <c r="B125" s="680" t="s">
        <v>112</v>
      </c>
      <c r="C125" s="680" t="s">
        <v>510</v>
      </c>
      <c r="D125" s="680" t="s">
        <v>509</v>
      </c>
      <c r="E125" s="680" t="s">
        <v>489</v>
      </c>
      <c r="F125" s="680" t="s">
        <v>488</v>
      </c>
      <c r="G125" s="680">
        <v>255</v>
      </c>
      <c r="H125" s="680">
        <v>636</v>
      </c>
      <c r="I125" s="680">
        <v>90</v>
      </c>
      <c r="J125" s="680">
        <v>225</v>
      </c>
      <c r="K125" s="680">
        <v>0</v>
      </c>
      <c r="L125" s="680">
        <v>0</v>
      </c>
      <c r="M125" s="680">
        <v>0</v>
      </c>
      <c r="N125" s="680">
        <v>0</v>
      </c>
      <c r="O125" s="680">
        <f>+G125+I125+K125+M125</f>
        <v>345</v>
      </c>
      <c r="P125" s="680">
        <f>+H125+J125+L125+N125</f>
        <v>861</v>
      </c>
      <c r="Q125" s="680" t="s">
        <v>597</v>
      </c>
      <c r="R125" s="680" t="s">
        <v>596</v>
      </c>
      <c r="S125" s="680" t="s">
        <v>6</v>
      </c>
      <c r="T125" s="680" t="s">
        <v>484</v>
      </c>
      <c r="U125" s="681">
        <v>77</v>
      </c>
      <c r="V125" s="680">
        <v>87.54</v>
      </c>
      <c r="W125" s="680" t="s">
        <v>595</v>
      </c>
      <c r="X125" s="680" t="s">
        <v>485</v>
      </c>
      <c r="Y125" s="680" t="s">
        <v>484</v>
      </c>
      <c r="Z125" s="680" t="s">
        <v>483</v>
      </c>
      <c r="AA125" s="680">
        <f>+U125*G125</f>
        <v>19635</v>
      </c>
      <c r="AB125" s="680">
        <f>+U125*H125</f>
        <v>48972</v>
      </c>
      <c r="AC125" s="680">
        <f>+U125*I125</f>
        <v>6930</v>
      </c>
      <c r="AD125" s="680">
        <f>+U125*J125</f>
        <v>17325</v>
      </c>
      <c r="AE125" s="680">
        <f>+U125*K125</f>
        <v>0</v>
      </c>
      <c r="AF125" s="680">
        <f>+U125*L125</f>
        <v>0</v>
      </c>
      <c r="AG125" s="680">
        <f>+U125*M125</f>
        <v>0</v>
      </c>
      <c r="AH125" s="680">
        <f>+U125*N125</f>
        <v>0</v>
      </c>
      <c r="AI125" s="681">
        <f>+U125*O125</f>
        <v>26565</v>
      </c>
      <c r="AJ125" s="681">
        <f>+U125*P125</f>
        <v>66297</v>
      </c>
    </row>
    <row r="126" spans="1:36" hidden="1">
      <c r="A126" s="680">
        <v>2212002036</v>
      </c>
      <c r="B126" s="680" t="s">
        <v>113</v>
      </c>
      <c r="C126" s="680" t="s">
        <v>510</v>
      </c>
      <c r="D126" s="680" t="s">
        <v>509</v>
      </c>
      <c r="E126" s="680" t="s">
        <v>489</v>
      </c>
      <c r="F126" s="680" t="s">
        <v>488</v>
      </c>
      <c r="G126" s="680">
        <v>12</v>
      </c>
      <c r="H126" s="680">
        <v>30</v>
      </c>
      <c r="I126" s="680">
        <v>0</v>
      </c>
      <c r="J126" s="680">
        <v>0</v>
      </c>
      <c r="K126" s="680">
        <v>0</v>
      </c>
      <c r="L126" s="680">
        <v>0</v>
      </c>
      <c r="M126" s="680">
        <v>0</v>
      </c>
      <c r="N126" s="680">
        <v>0</v>
      </c>
      <c r="O126" s="680">
        <f>+G126+I126+K126+M126</f>
        <v>12</v>
      </c>
      <c r="P126" s="680">
        <f>+H126+J126+L126+N126</f>
        <v>30</v>
      </c>
      <c r="Q126" s="680" t="s">
        <v>597</v>
      </c>
      <c r="R126" s="680" t="s">
        <v>596</v>
      </c>
      <c r="S126" s="680" t="s">
        <v>6</v>
      </c>
      <c r="T126" s="680" t="s">
        <v>484</v>
      </c>
      <c r="U126" s="681">
        <v>18</v>
      </c>
      <c r="V126" s="680">
        <v>19.739999999999998</v>
      </c>
      <c r="W126" s="680" t="s">
        <v>595</v>
      </c>
      <c r="X126" s="680" t="s">
        <v>485</v>
      </c>
      <c r="Y126" s="680" t="s">
        <v>484</v>
      </c>
      <c r="Z126" s="680" t="s">
        <v>483</v>
      </c>
      <c r="AA126" s="680">
        <f>+U126*G126</f>
        <v>216</v>
      </c>
      <c r="AB126" s="680">
        <f>+U126*H126</f>
        <v>540</v>
      </c>
      <c r="AC126" s="680">
        <f>+U126*I126</f>
        <v>0</v>
      </c>
      <c r="AD126" s="680">
        <f>+U126*J126</f>
        <v>0</v>
      </c>
      <c r="AE126" s="680">
        <f>+U126*K126</f>
        <v>0</v>
      </c>
      <c r="AF126" s="680">
        <f>+U126*L126</f>
        <v>0</v>
      </c>
      <c r="AG126" s="680">
        <f>+U126*M126</f>
        <v>0</v>
      </c>
      <c r="AH126" s="680">
        <f>+U126*N126</f>
        <v>0</v>
      </c>
      <c r="AI126" s="681">
        <f>+U126*O126</f>
        <v>216</v>
      </c>
      <c r="AJ126" s="681">
        <f>+U126*P126</f>
        <v>540</v>
      </c>
    </row>
    <row r="127" spans="1:36" hidden="1">
      <c r="A127" s="680">
        <v>2212002037</v>
      </c>
      <c r="B127" s="680" t="s">
        <v>131</v>
      </c>
      <c r="C127" s="680" t="s">
        <v>510</v>
      </c>
      <c r="D127" s="680" t="s">
        <v>509</v>
      </c>
      <c r="E127" s="680" t="s">
        <v>489</v>
      </c>
      <c r="F127" s="680" t="s">
        <v>488</v>
      </c>
      <c r="G127" s="680">
        <v>22</v>
      </c>
      <c r="H127" s="680">
        <v>54</v>
      </c>
      <c r="I127" s="680">
        <v>0</v>
      </c>
      <c r="J127" s="680">
        <v>0</v>
      </c>
      <c r="K127" s="680">
        <v>0</v>
      </c>
      <c r="L127" s="680">
        <v>0</v>
      </c>
      <c r="M127" s="680">
        <v>0</v>
      </c>
      <c r="N127" s="680">
        <v>0</v>
      </c>
      <c r="O127" s="680">
        <f>+G127+I127+K127+M127</f>
        <v>22</v>
      </c>
      <c r="P127" s="680">
        <f>+H127+J127+L127+N127</f>
        <v>54</v>
      </c>
      <c r="Q127" s="680" t="s">
        <v>597</v>
      </c>
      <c r="R127" s="680" t="s">
        <v>596</v>
      </c>
      <c r="S127" s="680" t="s">
        <v>6</v>
      </c>
      <c r="T127" s="680" t="s">
        <v>484</v>
      </c>
      <c r="U127" s="681">
        <v>180</v>
      </c>
      <c r="V127" s="680">
        <v>203.36</v>
      </c>
      <c r="W127" s="680" t="s">
        <v>595</v>
      </c>
      <c r="X127" s="680" t="s">
        <v>485</v>
      </c>
      <c r="Y127" s="680" t="s">
        <v>484</v>
      </c>
      <c r="Z127" s="680" t="s">
        <v>483</v>
      </c>
      <c r="AA127" s="680">
        <f>+U127*G127</f>
        <v>3960</v>
      </c>
      <c r="AB127" s="680">
        <f>+U127*H127</f>
        <v>9720</v>
      </c>
      <c r="AC127" s="680">
        <f>+U127*I127</f>
        <v>0</v>
      </c>
      <c r="AD127" s="680">
        <f>+U127*J127</f>
        <v>0</v>
      </c>
      <c r="AE127" s="680">
        <f>+U127*K127</f>
        <v>0</v>
      </c>
      <c r="AF127" s="680">
        <f>+U127*L127</f>
        <v>0</v>
      </c>
      <c r="AG127" s="680">
        <f>+U127*M127</f>
        <v>0</v>
      </c>
      <c r="AH127" s="680">
        <f>+U127*N127</f>
        <v>0</v>
      </c>
      <c r="AI127" s="681">
        <f>+U127*O127</f>
        <v>3960</v>
      </c>
      <c r="AJ127" s="681">
        <f>+U127*P127</f>
        <v>9720</v>
      </c>
    </row>
    <row r="128" spans="1:36" hidden="1">
      <c r="A128" s="680">
        <v>2212002039</v>
      </c>
      <c r="B128" s="680" t="s">
        <v>132</v>
      </c>
      <c r="C128" s="680" t="s">
        <v>510</v>
      </c>
      <c r="D128" s="680" t="s">
        <v>509</v>
      </c>
      <c r="E128" s="680" t="s">
        <v>489</v>
      </c>
      <c r="F128" s="680" t="s">
        <v>488</v>
      </c>
      <c r="G128" s="680">
        <v>17</v>
      </c>
      <c r="H128" s="680">
        <v>42</v>
      </c>
      <c r="I128" s="680">
        <v>0</v>
      </c>
      <c r="J128" s="680">
        <v>0</v>
      </c>
      <c r="K128" s="680">
        <v>0</v>
      </c>
      <c r="L128" s="680">
        <v>0</v>
      </c>
      <c r="M128" s="680">
        <v>0</v>
      </c>
      <c r="N128" s="680">
        <v>0</v>
      </c>
      <c r="O128" s="680">
        <f>+G128+I128+K128+M128</f>
        <v>17</v>
      </c>
      <c r="P128" s="680">
        <f>+H128+J128+L128+N128</f>
        <v>42</v>
      </c>
      <c r="Q128" s="680" t="s">
        <v>597</v>
      </c>
      <c r="R128" s="680" t="s">
        <v>596</v>
      </c>
      <c r="S128" s="680" t="s">
        <v>6</v>
      </c>
      <c r="T128" s="680" t="s">
        <v>484</v>
      </c>
      <c r="U128" s="681">
        <v>347</v>
      </c>
      <c r="V128" s="680">
        <v>386.86</v>
      </c>
      <c r="W128" s="680" t="s">
        <v>595</v>
      </c>
      <c r="X128" s="680" t="s">
        <v>485</v>
      </c>
      <c r="Y128" s="680" t="s">
        <v>484</v>
      </c>
      <c r="Z128" s="680" t="s">
        <v>483</v>
      </c>
      <c r="AA128" s="680">
        <f>+U128*G128</f>
        <v>5899</v>
      </c>
      <c r="AB128" s="680">
        <f>+U128*H128</f>
        <v>14574</v>
      </c>
      <c r="AC128" s="680">
        <f>+U128*I128</f>
        <v>0</v>
      </c>
      <c r="AD128" s="680">
        <f>+U128*J128</f>
        <v>0</v>
      </c>
      <c r="AE128" s="680">
        <f>+U128*K128</f>
        <v>0</v>
      </c>
      <c r="AF128" s="680">
        <f>+U128*L128</f>
        <v>0</v>
      </c>
      <c r="AG128" s="680">
        <f>+U128*M128</f>
        <v>0</v>
      </c>
      <c r="AH128" s="680">
        <f>+U128*N128</f>
        <v>0</v>
      </c>
      <c r="AI128" s="681">
        <f>+U128*O128</f>
        <v>5899</v>
      </c>
      <c r="AJ128" s="681">
        <f>+U128*P128</f>
        <v>14574</v>
      </c>
    </row>
    <row r="129" spans="1:36" hidden="1">
      <c r="A129" s="680">
        <v>2212002040</v>
      </c>
      <c r="B129" s="680" t="s">
        <v>114</v>
      </c>
      <c r="C129" s="680" t="s">
        <v>510</v>
      </c>
      <c r="D129" s="680" t="s">
        <v>509</v>
      </c>
      <c r="E129" s="680" t="s">
        <v>489</v>
      </c>
      <c r="F129" s="680" t="s">
        <v>488</v>
      </c>
      <c r="G129" s="680">
        <v>332</v>
      </c>
      <c r="H129" s="680">
        <v>828</v>
      </c>
      <c r="I129" s="680">
        <v>635</v>
      </c>
      <c r="J129" s="680">
        <v>1586</v>
      </c>
      <c r="K129" s="680">
        <v>0</v>
      </c>
      <c r="L129" s="680">
        <v>0</v>
      </c>
      <c r="M129" s="680">
        <v>0</v>
      </c>
      <c r="N129" s="680">
        <v>0</v>
      </c>
      <c r="O129" s="680">
        <f>+G129+I129+K129+M129</f>
        <v>967</v>
      </c>
      <c r="P129" s="680">
        <f>+H129+J129+L129+N129</f>
        <v>2414</v>
      </c>
      <c r="Q129" s="680" t="s">
        <v>597</v>
      </c>
      <c r="R129" s="680" t="s">
        <v>596</v>
      </c>
      <c r="S129" s="680" t="s">
        <v>6</v>
      </c>
      <c r="T129" s="680" t="s">
        <v>484</v>
      </c>
      <c r="U129" s="681">
        <v>122</v>
      </c>
      <c r="V129" s="680">
        <v>135.84</v>
      </c>
      <c r="W129" s="680" t="s">
        <v>595</v>
      </c>
      <c r="X129" s="680" t="s">
        <v>485</v>
      </c>
      <c r="Y129" s="680" t="s">
        <v>484</v>
      </c>
      <c r="Z129" s="680" t="s">
        <v>483</v>
      </c>
      <c r="AA129" s="680">
        <f>+U129*G129</f>
        <v>40504</v>
      </c>
      <c r="AB129" s="680">
        <f>+U129*H129</f>
        <v>101016</v>
      </c>
      <c r="AC129" s="680">
        <f>+U129*I129</f>
        <v>77470</v>
      </c>
      <c r="AD129" s="680">
        <f>+U129*J129</f>
        <v>193492</v>
      </c>
      <c r="AE129" s="680">
        <f>+U129*K129</f>
        <v>0</v>
      </c>
      <c r="AF129" s="680">
        <f>+U129*L129</f>
        <v>0</v>
      </c>
      <c r="AG129" s="680">
        <f>+U129*M129</f>
        <v>0</v>
      </c>
      <c r="AH129" s="680">
        <f>+U129*N129</f>
        <v>0</v>
      </c>
      <c r="AI129" s="681">
        <f>+U129*O129</f>
        <v>117974</v>
      </c>
      <c r="AJ129" s="681">
        <f>+U129*P129</f>
        <v>294508</v>
      </c>
    </row>
    <row r="130" spans="1:36" hidden="1">
      <c r="A130" s="680">
        <v>2212002041</v>
      </c>
      <c r="B130" s="680" t="s">
        <v>133</v>
      </c>
      <c r="C130" s="680" t="s">
        <v>510</v>
      </c>
      <c r="D130" s="680" t="s">
        <v>509</v>
      </c>
      <c r="E130" s="680" t="s">
        <v>489</v>
      </c>
      <c r="F130" s="680" t="s">
        <v>488</v>
      </c>
      <c r="G130" s="680">
        <v>444</v>
      </c>
      <c r="H130" s="680">
        <v>1110</v>
      </c>
      <c r="I130" s="680">
        <v>0</v>
      </c>
      <c r="J130" s="680">
        <v>0</v>
      </c>
      <c r="K130" s="680">
        <v>0</v>
      </c>
      <c r="L130" s="680">
        <v>0</v>
      </c>
      <c r="M130" s="680">
        <v>0</v>
      </c>
      <c r="N130" s="680">
        <v>0</v>
      </c>
      <c r="O130" s="680">
        <f>+G130+I130+K130+M130</f>
        <v>444</v>
      </c>
      <c r="P130" s="680">
        <f>+H130+J130+L130+N130</f>
        <v>1110</v>
      </c>
      <c r="Q130" s="680" t="s">
        <v>597</v>
      </c>
      <c r="R130" s="680" t="s">
        <v>596</v>
      </c>
      <c r="S130" s="680" t="s">
        <v>6</v>
      </c>
      <c r="T130" s="680" t="s">
        <v>484</v>
      </c>
      <c r="U130" s="681">
        <v>168</v>
      </c>
      <c r="V130" s="680">
        <v>183.09</v>
      </c>
      <c r="W130" s="680" t="s">
        <v>595</v>
      </c>
      <c r="X130" s="680" t="s">
        <v>485</v>
      </c>
      <c r="Y130" s="680" t="s">
        <v>484</v>
      </c>
      <c r="Z130" s="680" t="s">
        <v>483</v>
      </c>
      <c r="AA130" s="680">
        <f>+U130*G130</f>
        <v>74592</v>
      </c>
      <c r="AB130" s="680">
        <f>+U130*H130</f>
        <v>186480</v>
      </c>
      <c r="AC130" s="680">
        <f>+U130*I130</f>
        <v>0</v>
      </c>
      <c r="AD130" s="680">
        <f>+U130*J130</f>
        <v>0</v>
      </c>
      <c r="AE130" s="680">
        <f>+U130*K130</f>
        <v>0</v>
      </c>
      <c r="AF130" s="680">
        <f>+U130*L130</f>
        <v>0</v>
      </c>
      <c r="AG130" s="680">
        <f>+U130*M130</f>
        <v>0</v>
      </c>
      <c r="AH130" s="680">
        <f>+U130*N130</f>
        <v>0</v>
      </c>
      <c r="AI130" s="681">
        <f>+U130*O130</f>
        <v>74592</v>
      </c>
      <c r="AJ130" s="681">
        <f>+U130*P130</f>
        <v>186480</v>
      </c>
    </row>
    <row r="131" spans="1:36" hidden="1">
      <c r="A131" s="680">
        <v>2212002042</v>
      </c>
      <c r="B131" s="680" t="s">
        <v>134</v>
      </c>
      <c r="C131" s="680" t="s">
        <v>510</v>
      </c>
      <c r="D131" s="680" t="s">
        <v>509</v>
      </c>
      <c r="E131" s="680" t="s">
        <v>489</v>
      </c>
      <c r="F131" s="680" t="s">
        <v>488</v>
      </c>
      <c r="G131" s="680">
        <v>65</v>
      </c>
      <c r="H131" s="680">
        <v>162</v>
      </c>
      <c r="I131" s="680">
        <v>0</v>
      </c>
      <c r="J131" s="680">
        <v>0</v>
      </c>
      <c r="K131" s="680">
        <v>0</v>
      </c>
      <c r="L131" s="680">
        <v>0</v>
      </c>
      <c r="M131" s="680">
        <v>0</v>
      </c>
      <c r="N131" s="680">
        <v>0</v>
      </c>
      <c r="O131" s="680">
        <f>+G131+I131+K131+M131</f>
        <v>65</v>
      </c>
      <c r="P131" s="680">
        <f>+H131+J131+L131+N131</f>
        <v>162</v>
      </c>
      <c r="Q131" s="680" t="s">
        <v>597</v>
      </c>
      <c r="R131" s="680" t="s">
        <v>596</v>
      </c>
      <c r="S131" s="680" t="s">
        <v>6</v>
      </c>
      <c r="T131" s="680" t="s">
        <v>484</v>
      </c>
      <c r="U131" s="681">
        <v>178</v>
      </c>
      <c r="V131" s="680">
        <v>195.76</v>
      </c>
      <c r="W131" s="680" t="s">
        <v>595</v>
      </c>
      <c r="X131" s="680" t="s">
        <v>485</v>
      </c>
      <c r="Y131" s="680" t="s">
        <v>484</v>
      </c>
      <c r="Z131" s="680" t="s">
        <v>483</v>
      </c>
      <c r="AA131" s="680">
        <f>+U131*G131</f>
        <v>11570</v>
      </c>
      <c r="AB131" s="680">
        <f>+U131*H131</f>
        <v>28836</v>
      </c>
      <c r="AC131" s="680">
        <f>+U131*I131</f>
        <v>0</v>
      </c>
      <c r="AD131" s="680">
        <f>+U131*J131</f>
        <v>0</v>
      </c>
      <c r="AE131" s="680">
        <f>+U131*K131</f>
        <v>0</v>
      </c>
      <c r="AF131" s="680">
        <f>+U131*L131</f>
        <v>0</v>
      </c>
      <c r="AG131" s="680">
        <f>+U131*M131</f>
        <v>0</v>
      </c>
      <c r="AH131" s="680">
        <f>+U131*N131</f>
        <v>0</v>
      </c>
      <c r="AI131" s="681">
        <f>+U131*O131</f>
        <v>11570</v>
      </c>
      <c r="AJ131" s="681">
        <f>+U131*P131</f>
        <v>28836</v>
      </c>
    </row>
    <row r="132" spans="1:36" hidden="1">
      <c r="A132" s="680">
        <v>2212002043</v>
      </c>
      <c r="B132" s="680" t="s">
        <v>135</v>
      </c>
      <c r="C132" s="680" t="s">
        <v>510</v>
      </c>
      <c r="D132" s="680" t="s">
        <v>509</v>
      </c>
      <c r="E132" s="680" t="s">
        <v>489</v>
      </c>
      <c r="F132" s="680" t="s">
        <v>488</v>
      </c>
      <c r="G132" s="680">
        <v>154</v>
      </c>
      <c r="H132" s="680">
        <v>384</v>
      </c>
      <c r="I132" s="680">
        <v>0</v>
      </c>
      <c r="J132" s="680">
        <v>0</v>
      </c>
      <c r="K132" s="680">
        <v>0</v>
      </c>
      <c r="L132" s="680">
        <v>0</v>
      </c>
      <c r="M132" s="680">
        <v>0</v>
      </c>
      <c r="N132" s="680">
        <v>0</v>
      </c>
      <c r="O132" s="680">
        <f>+G132+I132+K132+M132</f>
        <v>154</v>
      </c>
      <c r="P132" s="680">
        <f>+H132+J132+L132+N132</f>
        <v>384</v>
      </c>
      <c r="Q132" s="680" t="s">
        <v>597</v>
      </c>
      <c r="R132" s="680" t="s">
        <v>596</v>
      </c>
      <c r="S132" s="680" t="s">
        <v>6</v>
      </c>
      <c r="T132" s="680" t="s">
        <v>484</v>
      </c>
      <c r="U132" s="681">
        <v>170</v>
      </c>
      <c r="V132" s="680">
        <v>188.06</v>
      </c>
      <c r="W132" s="680" t="s">
        <v>595</v>
      </c>
      <c r="X132" s="680" t="s">
        <v>485</v>
      </c>
      <c r="Y132" s="680" t="s">
        <v>484</v>
      </c>
      <c r="Z132" s="680" t="s">
        <v>483</v>
      </c>
      <c r="AA132" s="680">
        <f>+U132*G132</f>
        <v>26180</v>
      </c>
      <c r="AB132" s="680">
        <f>+U132*H132</f>
        <v>65280</v>
      </c>
      <c r="AC132" s="680">
        <f>+U132*I132</f>
        <v>0</v>
      </c>
      <c r="AD132" s="680">
        <f>+U132*J132</f>
        <v>0</v>
      </c>
      <c r="AE132" s="680">
        <f>+U132*K132</f>
        <v>0</v>
      </c>
      <c r="AF132" s="680">
        <f>+U132*L132</f>
        <v>0</v>
      </c>
      <c r="AG132" s="680">
        <f>+U132*M132</f>
        <v>0</v>
      </c>
      <c r="AH132" s="680">
        <f>+U132*N132</f>
        <v>0</v>
      </c>
      <c r="AI132" s="681">
        <f>+U132*O132</f>
        <v>26180</v>
      </c>
      <c r="AJ132" s="681">
        <f>+U132*P132</f>
        <v>65280</v>
      </c>
    </row>
    <row r="133" spans="1:36" hidden="1">
      <c r="A133" s="680">
        <v>2212002045</v>
      </c>
      <c r="B133" s="680" t="s">
        <v>115</v>
      </c>
      <c r="C133" s="680" t="s">
        <v>510</v>
      </c>
      <c r="D133" s="680" t="s">
        <v>509</v>
      </c>
      <c r="E133" s="680" t="s">
        <v>489</v>
      </c>
      <c r="F133" s="680" t="s">
        <v>488</v>
      </c>
      <c r="G133" s="680">
        <v>0</v>
      </c>
      <c r="H133" s="680">
        <v>0</v>
      </c>
      <c r="I133" s="680">
        <v>9</v>
      </c>
      <c r="J133" s="680">
        <v>22</v>
      </c>
      <c r="K133" s="680">
        <v>0</v>
      </c>
      <c r="L133" s="680">
        <v>0</v>
      </c>
      <c r="M133" s="680">
        <v>0</v>
      </c>
      <c r="N133" s="680">
        <v>0</v>
      </c>
      <c r="O133" s="680">
        <f>+G133+I133+K133+M133</f>
        <v>9</v>
      </c>
      <c r="P133" s="680">
        <f>+H133+J133+L133+N133</f>
        <v>22</v>
      </c>
      <c r="Q133" s="680" t="s">
        <v>597</v>
      </c>
      <c r="R133" s="680" t="s">
        <v>596</v>
      </c>
      <c r="S133" s="680" t="s">
        <v>6</v>
      </c>
      <c r="T133" s="680" t="s">
        <v>484</v>
      </c>
      <c r="U133" s="681">
        <v>120</v>
      </c>
      <c r="V133" s="680">
        <v>130.4</v>
      </c>
      <c r="W133" s="680" t="s">
        <v>595</v>
      </c>
      <c r="X133" s="680" t="s">
        <v>485</v>
      </c>
      <c r="Y133" s="680" t="s">
        <v>484</v>
      </c>
      <c r="Z133" s="680" t="s">
        <v>483</v>
      </c>
      <c r="AA133" s="680">
        <f>+U133*G133</f>
        <v>0</v>
      </c>
      <c r="AB133" s="680">
        <f>+U133*H133</f>
        <v>0</v>
      </c>
      <c r="AC133" s="680">
        <f>+U133*I133</f>
        <v>1080</v>
      </c>
      <c r="AD133" s="680">
        <f>+U133*J133</f>
        <v>2640</v>
      </c>
      <c r="AE133" s="680">
        <f>+U133*K133</f>
        <v>0</v>
      </c>
      <c r="AF133" s="680">
        <f>+U133*L133</f>
        <v>0</v>
      </c>
      <c r="AG133" s="680">
        <f>+U133*M133</f>
        <v>0</v>
      </c>
      <c r="AH133" s="680">
        <f>+U133*N133</f>
        <v>0</v>
      </c>
      <c r="AI133" s="681">
        <f>+U133*O133</f>
        <v>1080</v>
      </c>
      <c r="AJ133" s="681">
        <f>+U133*P133</f>
        <v>2640</v>
      </c>
    </row>
    <row r="134" spans="1:36" hidden="1">
      <c r="A134" s="680">
        <v>2212003002</v>
      </c>
      <c r="B134" s="680" t="s">
        <v>159</v>
      </c>
      <c r="C134" s="680" t="s">
        <v>503</v>
      </c>
      <c r="D134" s="680" t="s">
        <v>502</v>
      </c>
      <c r="E134" s="680" t="s">
        <v>489</v>
      </c>
      <c r="F134" s="680" t="s">
        <v>488</v>
      </c>
      <c r="G134" s="680">
        <v>8</v>
      </c>
      <c r="H134" s="680">
        <v>18</v>
      </c>
      <c r="I134" s="680">
        <v>0</v>
      </c>
      <c r="J134" s="680">
        <v>0</v>
      </c>
      <c r="K134" s="680">
        <v>0</v>
      </c>
      <c r="L134" s="680">
        <v>0</v>
      </c>
      <c r="M134" s="680">
        <v>0</v>
      </c>
      <c r="N134" s="680">
        <v>0</v>
      </c>
      <c r="O134" s="680">
        <f>+G134+I134+K134+M134</f>
        <v>8</v>
      </c>
      <c r="P134" s="680">
        <f>+H134+J134+L134+N134</f>
        <v>18</v>
      </c>
      <c r="Q134" s="680" t="s">
        <v>593</v>
      </c>
      <c r="R134" s="680" t="s">
        <v>593</v>
      </c>
      <c r="S134" s="680" t="s">
        <v>6</v>
      </c>
      <c r="T134" s="680" t="s">
        <v>484</v>
      </c>
      <c r="U134" s="681">
        <v>100</v>
      </c>
      <c r="V134" s="680">
        <v>107.58</v>
      </c>
      <c r="W134" s="680" t="s">
        <v>592</v>
      </c>
      <c r="X134" s="680" t="s">
        <v>485</v>
      </c>
      <c r="Y134" s="680" t="s">
        <v>484</v>
      </c>
      <c r="Z134" s="680" t="s">
        <v>483</v>
      </c>
      <c r="AA134" s="680">
        <f>+U134*G134</f>
        <v>800</v>
      </c>
      <c r="AB134" s="680">
        <f>+U134*H134</f>
        <v>1800</v>
      </c>
      <c r="AC134" s="680">
        <f>+U134*I134</f>
        <v>0</v>
      </c>
      <c r="AD134" s="680">
        <f>+U134*J134</f>
        <v>0</v>
      </c>
      <c r="AE134" s="680">
        <f>+U134*K134</f>
        <v>0</v>
      </c>
      <c r="AF134" s="680">
        <f>+U134*L134</f>
        <v>0</v>
      </c>
      <c r="AG134" s="680">
        <f>+U134*M134</f>
        <v>0</v>
      </c>
      <c r="AH134" s="680">
        <f>+U134*N134</f>
        <v>0</v>
      </c>
      <c r="AI134" s="681">
        <f>+U134*O134</f>
        <v>800</v>
      </c>
      <c r="AJ134" s="681">
        <f>+U134*P134</f>
        <v>1800</v>
      </c>
    </row>
    <row r="135" spans="1:36" hidden="1">
      <c r="A135" s="680">
        <v>2212003003</v>
      </c>
      <c r="B135" s="680" t="s">
        <v>160</v>
      </c>
      <c r="C135" s="680" t="s">
        <v>503</v>
      </c>
      <c r="D135" s="680" t="s">
        <v>502</v>
      </c>
      <c r="E135" s="680" t="s">
        <v>489</v>
      </c>
      <c r="F135" s="680" t="s">
        <v>488</v>
      </c>
      <c r="G135" s="680">
        <v>370</v>
      </c>
      <c r="H135" s="680">
        <v>924</v>
      </c>
      <c r="I135" s="680">
        <v>160</v>
      </c>
      <c r="J135" s="680">
        <v>400</v>
      </c>
      <c r="K135" s="680">
        <v>30</v>
      </c>
      <c r="L135" s="680">
        <v>75</v>
      </c>
      <c r="M135" s="680">
        <v>0</v>
      </c>
      <c r="N135" s="680">
        <v>0</v>
      </c>
      <c r="O135" s="680">
        <f>+G135+I135+K135+M135</f>
        <v>560</v>
      </c>
      <c r="P135" s="680">
        <f>+H135+J135+L135+N135</f>
        <v>1399</v>
      </c>
      <c r="Q135" s="680" t="s">
        <v>593</v>
      </c>
      <c r="R135" s="680" t="s">
        <v>593</v>
      </c>
      <c r="S135" s="680" t="s">
        <v>6</v>
      </c>
      <c r="T135" s="680" t="s">
        <v>484</v>
      </c>
      <c r="U135" s="681">
        <v>160</v>
      </c>
      <c r="V135" s="680">
        <v>156</v>
      </c>
      <c r="W135" s="680" t="s">
        <v>592</v>
      </c>
      <c r="X135" s="680" t="s">
        <v>485</v>
      </c>
      <c r="Y135" s="680" t="s">
        <v>484</v>
      </c>
      <c r="Z135" s="680" t="s">
        <v>483</v>
      </c>
      <c r="AA135" s="680">
        <f>+U135*G135</f>
        <v>59200</v>
      </c>
      <c r="AB135" s="680">
        <f>+U135*H135</f>
        <v>147840</v>
      </c>
      <c r="AC135" s="680">
        <f>+U135*I135</f>
        <v>25600</v>
      </c>
      <c r="AD135" s="680">
        <f>+U135*J135</f>
        <v>64000</v>
      </c>
      <c r="AE135" s="680">
        <f>+U135*K135</f>
        <v>4800</v>
      </c>
      <c r="AF135" s="680">
        <f>+U135*L135</f>
        <v>12000</v>
      </c>
      <c r="AG135" s="680">
        <f>+U135*M135</f>
        <v>0</v>
      </c>
      <c r="AH135" s="680">
        <f>+U135*N135</f>
        <v>0</v>
      </c>
      <c r="AI135" s="681">
        <f>+U135*O135</f>
        <v>89600</v>
      </c>
      <c r="AJ135" s="681">
        <f>+U135*P135</f>
        <v>223840</v>
      </c>
    </row>
    <row r="136" spans="1:36" hidden="1">
      <c r="A136" s="680">
        <v>2212003008</v>
      </c>
      <c r="B136" s="680" t="s">
        <v>162</v>
      </c>
      <c r="C136" s="680" t="s">
        <v>503</v>
      </c>
      <c r="D136" s="680" t="s">
        <v>502</v>
      </c>
      <c r="E136" s="680" t="s">
        <v>489</v>
      </c>
      <c r="F136" s="680" t="s">
        <v>488</v>
      </c>
      <c r="G136" s="680">
        <v>72</v>
      </c>
      <c r="H136" s="680">
        <v>180</v>
      </c>
      <c r="I136" s="680">
        <v>24</v>
      </c>
      <c r="J136" s="680">
        <v>60</v>
      </c>
      <c r="K136" s="680">
        <v>0</v>
      </c>
      <c r="L136" s="680">
        <v>0</v>
      </c>
      <c r="M136" s="680">
        <v>0</v>
      </c>
      <c r="N136" s="680">
        <v>0</v>
      </c>
      <c r="O136" s="680">
        <f>+G136+I136+K136+M136</f>
        <v>96</v>
      </c>
      <c r="P136" s="680">
        <f>+H136+J136+L136+N136</f>
        <v>240</v>
      </c>
      <c r="Q136" s="680" t="s">
        <v>593</v>
      </c>
      <c r="R136" s="680" t="s">
        <v>593</v>
      </c>
      <c r="S136" s="680" t="s">
        <v>6</v>
      </c>
      <c r="T136" s="680" t="s">
        <v>484</v>
      </c>
      <c r="U136" s="681">
        <v>188</v>
      </c>
      <c r="V136" s="680">
        <v>175.47</v>
      </c>
      <c r="W136" s="680" t="s">
        <v>592</v>
      </c>
      <c r="X136" s="680" t="s">
        <v>485</v>
      </c>
      <c r="Y136" s="680" t="s">
        <v>484</v>
      </c>
      <c r="Z136" s="680" t="s">
        <v>483</v>
      </c>
      <c r="AA136" s="680">
        <f>+U136*G136</f>
        <v>13536</v>
      </c>
      <c r="AB136" s="680">
        <f>+U136*H136</f>
        <v>33840</v>
      </c>
      <c r="AC136" s="680">
        <f>+U136*I136</f>
        <v>4512</v>
      </c>
      <c r="AD136" s="680">
        <f>+U136*J136</f>
        <v>11280</v>
      </c>
      <c r="AE136" s="680">
        <f>+U136*K136</f>
        <v>0</v>
      </c>
      <c r="AF136" s="680">
        <f>+U136*L136</f>
        <v>0</v>
      </c>
      <c r="AG136" s="680">
        <f>+U136*M136</f>
        <v>0</v>
      </c>
      <c r="AH136" s="680">
        <f>+U136*N136</f>
        <v>0</v>
      </c>
      <c r="AI136" s="681">
        <f>+U136*O136</f>
        <v>18048</v>
      </c>
      <c r="AJ136" s="681">
        <f>+U136*P136</f>
        <v>45120</v>
      </c>
    </row>
    <row r="137" spans="1:36" hidden="1">
      <c r="A137" s="680">
        <v>2212003010</v>
      </c>
      <c r="B137" s="680" t="s">
        <v>164</v>
      </c>
      <c r="C137" s="680" t="s">
        <v>510</v>
      </c>
      <c r="D137" s="680" t="s">
        <v>509</v>
      </c>
      <c r="E137" s="680" t="s">
        <v>489</v>
      </c>
      <c r="F137" s="680" t="s">
        <v>488</v>
      </c>
      <c r="G137" s="680">
        <v>3</v>
      </c>
      <c r="H137" s="680">
        <v>6</v>
      </c>
      <c r="I137" s="680">
        <v>0</v>
      </c>
      <c r="J137" s="680">
        <v>0</v>
      </c>
      <c r="K137" s="680">
        <v>0</v>
      </c>
      <c r="L137" s="680">
        <v>0</v>
      </c>
      <c r="M137" s="680">
        <v>0</v>
      </c>
      <c r="N137" s="680">
        <v>0</v>
      </c>
      <c r="O137" s="680">
        <f>+G137+I137+K137+M137</f>
        <v>3</v>
      </c>
      <c r="P137" s="680">
        <f>+H137+J137+L137+N137</f>
        <v>6</v>
      </c>
      <c r="Q137" s="680" t="s">
        <v>597</v>
      </c>
      <c r="R137" s="680" t="s">
        <v>596</v>
      </c>
      <c r="S137" s="680" t="s">
        <v>6</v>
      </c>
      <c r="T137" s="680" t="s">
        <v>484</v>
      </c>
      <c r="U137" s="681">
        <v>81</v>
      </c>
      <c r="V137" s="680">
        <v>109.34</v>
      </c>
      <c r="W137" s="680" t="s">
        <v>595</v>
      </c>
      <c r="X137" s="680" t="s">
        <v>485</v>
      </c>
      <c r="Y137" s="680" t="s">
        <v>484</v>
      </c>
      <c r="Z137" s="680" t="s">
        <v>483</v>
      </c>
      <c r="AA137" s="680">
        <f>+U137*G137</f>
        <v>243</v>
      </c>
      <c r="AB137" s="680">
        <f>+U137*H137</f>
        <v>486</v>
      </c>
      <c r="AC137" s="680">
        <f>+U137*I137</f>
        <v>0</v>
      </c>
      <c r="AD137" s="680">
        <f>+U137*J137</f>
        <v>0</v>
      </c>
      <c r="AE137" s="680">
        <f>+U137*K137</f>
        <v>0</v>
      </c>
      <c r="AF137" s="680">
        <f>+U137*L137</f>
        <v>0</v>
      </c>
      <c r="AG137" s="680">
        <f>+U137*M137</f>
        <v>0</v>
      </c>
      <c r="AH137" s="680">
        <f>+U137*N137</f>
        <v>0</v>
      </c>
      <c r="AI137" s="681">
        <f>+U137*O137</f>
        <v>243</v>
      </c>
      <c r="AJ137" s="681">
        <f>+U137*P137</f>
        <v>486</v>
      </c>
    </row>
    <row r="138" spans="1:36" hidden="1">
      <c r="A138" s="680">
        <v>2212003011</v>
      </c>
      <c r="B138" s="680" t="s">
        <v>165</v>
      </c>
      <c r="C138" s="680" t="s">
        <v>503</v>
      </c>
      <c r="D138" s="680" t="s">
        <v>502</v>
      </c>
      <c r="E138" s="680" t="s">
        <v>489</v>
      </c>
      <c r="F138" s="680" t="s">
        <v>488</v>
      </c>
      <c r="G138" s="680">
        <v>5</v>
      </c>
      <c r="H138" s="680">
        <v>12</v>
      </c>
      <c r="I138" s="680">
        <v>240</v>
      </c>
      <c r="J138" s="680">
        <v>600</v>
      </c>
      <c r="K138" s="680">
        <v>0</v>
      </c>
      <c r="L138" s="680">
        <v>0</v>
      </c>
      <c r="M138" s="680">
        <v>0</v>
      </c>
      <c r="N138" s="680">
        <v>0</v>
      </c>
      <c r="O138" s="680">
        <f>+G138+I138+K138+M138</f>
        <v>245</v>
      </c>
      <c r="P138" s="680">
        <f>+H138+J138+L138+N138</f>
        <v>612</v>
      </c>
      <c r="Q138" s="680" t="s">
        <v>593</v>
      </c>
      <c r="R138" s="680" t="s">
        <v>593</v>
      </c>
      <c r="S138" s="680" t="s">
        <v>6</v>
      </c>
      <c r="T138" s="680" t="s">
        <v>484</v>
      </c>
      <c r="U138" s="681">
        <v>163</v>
      </c>
      <c r="V138" s="680">
        <v>173.87</v>
      </c>
      <c r="W138" s="680" t="s">
        <v>592</v>
      </c>
      <c r="X138" s="680" t="s">
        <v>485</v>
      </c>
      <c r="Y138" s="680" t="s">
        <v>484</v>
      </c>
      <c r="Z138" s="680" t="s">
        <v>483</v>
      </c>
      <c r="AA138" s="680">
        <f>+U138*G138</f>
        <v>815</v>
      </c>
      <c r="AB138" s="680">
        <f>+U138*H138</f>
        <v>1956</v>
      </c>
      <c r="AC138" s="680">
        <f>+U138*I138</f>
        <v>39120</v>
      </c>
      <c r="AD138" s="680">
        <f>+U138*J138</f>
        <v>97800</v>
      </c>
      <c r="AE138" s="680">
        <f>+U138*K138</f>
        <v>0</v>
      </c>
      <c r="AF138" s="680">
        <f>+U138*L138</f>
        <v>0</v>
      </c>
      <c r="AG138" s="680">
        <f>+U138*M138</f>
        <v>0</v>
      </c>
      <c r="AH138" s="680">
        <f>+U138*N138</f>
        <v>0</v>
      </c>
      <c r="AI138" s="681">
        <f>+U138*O138</f>
        <v>39935</v>
      </c>
      <c r="AJ138" s="681">
        <f>+U138*P138</f>
        <v>99756</v>
      </c>
    </row>
    <row r="139" spans="1:36" hidden="1">
      <c r="A139" s="680">
        <v>2212003012</v>
      </c>
      <c r="B139" s="680" t="s">
        <v>166</v>
      </c>
      <c r="C139" s="680" t="s">
        <v>503</v>
      </c>
      <c r="D139" s="680" t="s">
        <v>502</v>
      </c>
      <c r="E139" s="680" t="s">
        <v>489</v>
      </c>
      <c r="F139" s="680" t="s">
        <v>488</v>
      </c>
      <c r="G139" s="680">
        <v>99</v>
      </c>
      <c r="H139" s="680">
        <v>246</v>
      </c>
      <c r="I139" s="680">
        <v>144</v>
      </c>
      <c r="J139" s="680">
        <v>360</v>
      </c>
      <c r="K139" s="680">
        <v>0</v>
      </c>
      <c r="L139" s="680">
        <v>0</v>
      </c>
      <c r="M139" s="680">
        <v>0</v>
      </c>
      <c r="N139" s="680">
        <v>0</v>
      </c>
      <c r="O139" s="680">
        <f>+G139+I139+K139+M139</f>
        <v>243</v>
      </c>
      <c r="P139" s="680">
        <f>+H139+J139+L139+N139</f>
        <v>606</v>
      </c>
      <c r="Q139" s="680" t="s">
        <v>594</v>
      </c>
      <c r="R139" s="680" t="s">
        <v>594</v>
      </c>
      <c r="S139" s="680" t="s">
        <v>6</v>
      </c>
      <c r="T139" s="680" t="s">
        <v>484</v>
      </c>
      <c r="U139" s="681">
        <v>80</v>
      </c>
      <c r="V139" s="680">
        <v>81.5</v>
      </c>
      <c r="W139" s="680" t="s">
        <v>592</v>
      </c>
      <c r="X139" s="680" t="s">
        <v>485</v>
      </c>
      <c r="Y139" s="680" t="s">
        <v>484</v>
      </c>
      <c r="Z139" s="680" t="s">
        <v>483</v>
      </c>
      <c r="AA139" s="680">
        <f>+U139*G139</f>
        <v>7920</v>
      </c>
      <c r="AB139" s="680">
        <f>+U139*H139</f>
        <v>19680</v>
      </c>
      <c r="AC139" s="680">
        <f>+U139*I139</f>
        <v>11520</v>
      </c>
      <c r="AD139" s="680">
        <f>+U139*J139</f>
        <v>28800</v>
      </c>
      <c r="AE139" s="680">
        <f>+U139*K139</f>
        <v>0</v>
      </c>
      <c r="AF139" s="680">
        <f>+U139*L139</f>
        <v>0</v>
      </c>
      <c r="AG139" s="680">
        <f>+U139*M139</f>
        <v>0</v>
      </c>
      <c r="AH139" s="680">
        <f>+U139*N139</f>
        <v>0</v>
      </c>
      <c r="AI139" s="681">
        <f>+U139*O139</f>
        <v>19440</v>
      </c>
      <c r="AJ139" s="681">
        <f>+U139*P139</f>
        <v>48480</v>
      </c>
    </row>
    <row r="140" spans="1:36" hidden="1">
      <c r="A140" s="680">
        <v>2212003016</v>
      </c>
      <c r="B140" s="680" t="s">
        <v>400</v>
      </c>
      <c r="C140" s="680" t="s">
        <v>491</v>
      </c>
      <c r="D140" s="680" t="s">
        <v>490</v>
      </c>
      <c r="E140" s="680" t="s">
        <v>489</v>
      </c>
      <c r="F140" s="680" t="s">
        <v>488</v>
      </c>
      <c r="G140" s="680">
        <v>3</v>
      </c>
      <c r="H140" s="680">
        <v>7</v>
      </c>
      <c r="I140" s="680">
        <v>162</v>
      </c>
      <c r="J140" s="680">
        <v>405</v>
      </c>
      <c r="K140" s="680">
        <v>0</v>
      </c>
      <c r="L140" s="680">
        <v>0</v>
      </c>
      <c r="M140" s="680">
        <v>0</v>
      </c>
      <c r="N140" s="680">
        <v>0</v>
      </c>
      <c r="O140" s="680">
        <f>+G140+I140+K140+M140</f>
        <v>165</v>
      </c>
      <c r="P140" s="680">
        <f>+H140+J140+L140+N140</f>
        <v>412</v>
      </c>
      <c r="Q140" s="680" t="s">
        <v>495</v>
      </c>
      <c r="R140" s="680" t="s">
        <v>494</v>
      </c>
      <c r="S140" s="680" t="s">
        <v>171</v>
      </c>
      <c r="T140" s="680" t="s">
        <v>484</v>
      </c>
      <c r="U140" s="681">
        <v>72</v>
      </c>
      <c r="V140" s="680">
        <v>75.84</v>
      </c>
      <c r="W140" s="680" t="s">
        <v>493</v>
      </c>
      <c r="X140" s="680" t="s">
        <v>485</v>
      </c>
      <c r="Y140" s="680" t="s">
        <v>484</v>
      </c>
      <c r="Z140" s="680" t="s">
        <v>483</v>
      </c>
      <c r="AA140" s="680">
        <f>+U140*G140</f>
        <v>216</v>
      </c>
      <c r="AB140" s="680">
        <f>+U140*H140</f>
        <v>504</v>
      </c>
      <c r="AC140" s="680">
        <f>+U140*I140</f>
        <v>11664</v>
      </c>
      <c r="AD140" s="680">
        <f>+U140*J140</f>
        <v>29160</v>
      </c>
      <c r="AE140" s="680">
        <f>+U140*K140</f>
        <v>0</v>
      </c>
      <c r="AF140" s="680">
        <f>+U140*L140</f>
        <v>0</v>
      </c>
      <c r="AG140" s="680">
        <f>+U140*M140</f>
        <v>0</v>
      </c>
      <c r="AH140" s="680">
        <f>+U140*N140</f>
        <v>0</v>
      </c>
      <c r="AI140" s="681">
        <f>+U140*O140</f>
        <v>11880</v>
      </c>
      <c r="AJ140" s="681">
        <f>+U140*P140</f>
        <v>29664</v>
      </c>
    </row>
    <row r="141" spans="1:36" hidden="1">
      <c r="A141" s="680">
        <v>2212003017</v>
      </c>
      <c r="B141" s="680" t="s">
        <v>168</v>
      </c>
      <c r="C141" s="680" t="s">
        <v>503</v>
      </c>
      <c r="D141" s="680" t="s">
        <v>502</v>
      </c>
      <c r="E141" s="680" t="s">
        <v>489</v>
      </c>
      <c r="F141" s="680" t="s">
        <v>488</v>
      </c>
      <c r="G141" s="680">
        <v>27</v>
      </c>
      <c r="H141" s="680">
        <v>66</v>
      </c>
      <c r="I141" s="680">
        <v>0</v>
      </c>
      <c r="J141" s="680">
        <v>0</v>
      </c>
      <c r="K141" s="680">
        <v>0</v>
      </c>
      <c r="L141" s="680">
        <v>0</v>
      </c>
      <c r="M141" s="680">
        <v>3</v>
      </c>
      <c r="N141" s="680">
        <v>6</v>
      </c>
      <c r="O141" s="680">
        <f>+G141+I141+K141+M141</f>
        <v>30</v>
      </c>
      <c r="P141" s="680">
        <f>+H141+J141+L141+N141</f>
        <v>72</v>
      </c>
      <c r="Q141" s="680" t="s">
        <v>593</v>
      </c>
      <c r="R141" s="680" t="s">
        <v>593</v>
      </c>
      <c r="S141" s="680" t="s">
        <v>6</v>
      </c>
      <c r="T141" s="680" t="s">
        <v>484</v>
      </c>
      <c r="U141" s="681">
        <v>161</v>
      </c>
      <c r="V141" s="680">
        <v>162.31</v>
      </c>
      <c r="W141" s="680" t="s">
        <v>592</v>
      </c>
      <c r="X141" s="680" t="s">
        <v>485</v>
      </c>
      <c r="Y141" s="680" t="s">
        <v>484</v>
      </c>
      <c r="Z141" s="680" t="s">
        <v>483</v>
      </c>
      <c r="AA141" s="680">
        <f>+U141*G141</f>
        <v>4347</v>
      </c>
      <c r="AB141" s="680">
        <f>+U141*H141</f>
        <v>10626</v>
      </c>
      <c r="AC141" s="680">
        <f>+U141*I141</f>
        <v>0</v>
      </c>
      <c r="AD141" s="680">
        <f>+U141*J141</f>
        <v>0</v>
      </c>
      <c r="AE141" s="680">
        <f>+U141*K141</f>
        <v>0</v>
      </c>
      <c r="AF141" s="680">
        <f>+U141*L141</f>
        <v>0</v>
      </c>
      <c r="AG141" s="680">
        <f>+U141*M141</f>
        <v>483</v>
      </c>
      <c r="AH141" s="680">
        <f>+U141*N141</f>
        <v>966</v>
      </c>
      <c r="AI141" s="681">
        <f>+U141*O141</f>
        <v>4830</v>
      </c>
      <c r="AJ141" s="681">
        <f>+U141*P141</f>
        <v>11592</v>
      </c>
    </row>
    <row r="142" spans="1:36" hidden="1">
      <c r="A142" s="680">
        <v>2212004001</v>
      </c>
      <c r="B142" s="680" t="s">
        <v>5</v>
      </c>
      <c r="C142" s="680" t="s">
        <v>491</v>
      </c>
      <c r="D142" s="680" t="s">
        <v>490</v>
      </c>
      <c r="E142" s="680" t="s">
        <v>489</v>
      </c>
      <c r="F142" s="680" t="s">
        <v>488</v>
      </c>
      <c r="G142" s="680">
        <v>156</v>
      </c>
      <c r="H142" s="680">
        <v>390</v>
      </c>
      <c r="I142" s="680">
        <v>90</v>
      </c>
      <c r="J142" s="680">
        <v>225</v>
      </c>
      <c r="K142" s="680">
        <v>0</v>
      </c>
      <c r="L142" s="680">
        <v>0</v>
      </c>
      <c r="M142" s="680">
        <v>6</v>
      </c>
      <c r="N142" s="680">
        <v>15</v>
      </c>
      <c r="O142" s="680">
        <f>+G142+I142+K142+M142</f>
        <v>252</v>
      </c>
      <c r="P142" s="680">
        <f>+H142+J142+L142+N142</f>
        <v>630</v>
      </c>
      <c r="Q142" s="680" t="s">
        <v>498</v>
      </c>
      <c r="R142" s="680" t="s">
        <v>494</v>
      </c>
      <c r="S142" s="680" t="s">
        <v>6</v>
      </c>
      <c r="T142" s="680" t="s">
        <v>484</v>
      </c>
      <c r="U142" s="681">
        <v>69</v>
      </c>
      <c r="V142" s="680">
        <v>76.540000000000006</v>
      </c>
      <c r="W142" s="680" t="s">
        <v>497</v>
      </c>
      <c r="X142" s="680" t="s">
        <v>485</v>
      </c>
      <c r="Y142" s="680" t="s">
        <v>484</v>
      </c>
      <c r="Z142" s="680" t="s">
        <v>483</v>
      </c>
      <c r="AA142" s="680">
        <f>+U142*G142</f>
        <v>10764</v>
      </c>
      <c r="AB142" s="680">
        <f>+U142*H142</f>
        <v>26910</v>
      </c>
      <c r="AC142" s="680">
        <f>+U142*I142</f>
        <v>6210</v>
      </c>
      <c r="AD142" s="680">
        <f>+U142*J142</f>
        <v>15525</v>
      </c>
      <c r="AE142" s="680">
        <f>+U142*K142</f>
        <v>0</v>
      </c>
      <c r="AF142" s="680">
        <f>+U142*L142</f>
        <v>0</v>
      </c>
      <c r="AG142" s="680">
        <f>+U142*M142</f>
        <v>414</v>
      </c>
      <c r="AH142" s="680">
        <f>+U142*N142</f>
        <v>1035</v>
      </c>
      <c r="AI142" s="681">
        <f>+U142*O142</f>
        <v>17388</v>
      </c>
      <c r="AJ142" s="681">
        <f>+U142*P142</f>
        <v>43470</v>
      </c>
    </row>
    <row r="143" spans="1:36" hidden="1">
      <c r="A143" s="680">
        <v>2212004002</v>
      </c>
      <c r="B143" s="680" t="s">
        <v>7</v>
      </c>
      <c r="C143" s="680" t="s">
        <v>491</v>
      </c>
      <c r="D143" s="680" t="s">
        <v>490</v>
      </c>
      <c r="E143" s="680" t="s">
        <v>489</v>
      </c>
      <c r="F143" s="680" t="s">
        <v>488</v>
      </c>
      <c r="G143" s="680">
        <v>3</v>
      </c>
      <c r="H143" s="680">
        <v>6</v>
      </c>
      <c r="I143" s="680">
        <v>0</v>
      </c>
      <c r="J143" s="680">
        <v>0</v>
      </c>
      <c r="K143" s="680">
        <v>0</v>
      </c>
      <c r="L143" s="680">
        <v>0</v>
      </c>
      <c r="M143" s="680">
        <v>0</v>
      </c>
      <c r="N143" s="680">
        <v>0</v>
      </c>
      <c r="O143" s="680">
        <f>+G143+I143+K143+M143</f>
        <v>3</v>
      </c>
      <c r="P143" s="680">
        <f>+H143+J143+L143+N143</f>
        <v>6</v>
      </c>
      <c r="Q143" s="680" t="s">
        <v>498</v>
      </c>
      <c r="R143" s="680" t="s">
        <v>494</v>
      </c>
      <c r="S143" s="680" t="s">
        <v>8</v>
      </c>
      <c r="T143" s="680" t="s">
        <v>484</v>
      </c>
      <c r="U143" s="681">
        <v>25</v>
      </c>
      <c r="V143" s="680">
        <v>27.17</v>
      </c>
      <c r="W143" s="680" t="s">
        <v>497</v>
      </c>
      <c r="X143" s="680" t="s">
        <v>485</v>
      </c>
      <c r="Y143" s="680" t="s">
        <v>484</v>
      </c>
      <c r="Z143" s="680" t="s">
        <v>483</v>
      </c>
      <c r="AA143" s="680">
        <f>+U143*G143</f>
        <v>75</v>
      </c>
      <c r="AB143" s="680">
        <f>+U143*H143</f>
        <v>150</v>
      </c>
      <c r="AC143" s="680">
        <f>+U143*I143</f>
        <v>0</v>
      </c>
      <c r="AD143" s="680">
        <f>+U143*J143</f>
        <v>0</v>
      </c>
      <c r="AE143" s="680">
        <f>+U143*K143</f>
        <v>0</v>
      </c>
      <c r="AF143" s="680">
        <f>+U143*L143</f>
        <v>0</v>
      </c>
      <c r="AG143" s="680">
        <f>+U143*M143</f>
        <v>0</v>
      </c>
      <c r="AH143" s="680">
        <f>+U143*N143</f>
        <v>0</v>
      </c>
      <c r="AI143" s="681">
        <f>+U143*O143</f>
        <v>75</v>
      </c>
      <c r="AJ143" s="681">
        <f>+U143*P143</f>
        <v>150</v>
      </c>
    </row>
    <row r="144" spans="1:36" hidden="1">
      <c r="A144" s="680">
        <v>2212004003</v>
      </c>
      <c r="B144" s="680" t="s">
        <v>9</v>
      </c>
      <c r="C144" s="680" t="s">
        <v>491</v>
      </c>
      <c r="D144" s="680" t="s">
        <v>490</v>
      </c>
      <c r="E144" s="680" t="s">
        <v>489</v>
      </c>
      <c r="F144" s="680" t="s">
        <v>488</v>
      </c>
      <c r="G144" s="680">
        <v>17</v>
      </c>
      <c r="H144" s="680">
        <v>42</v>
      </c>
      <c r="I144" s="680">
        <v>0</v>
      </c>
      <c r="J144" s="680">
        <v>0</v>
      </c>
      <c r="K144" s="680">
        <v>0</v>
      </c>
      <c r="L144" s="680">
        <v>0</v>
      </c>
      <c r="M144" s="680">
        <v>0</v>
      </c>
      <c r="N144" s="680">
        <v>0</v>
      </c>
      <c r="O144" s="680">
        <f>+G144+I144+K144+M144</f>
        <v>17</v>
      </c>
      <c r="P144" s="680">
        <f>+H144+J144+L144+N144</f>
        <v>42</v>
      </c>
      <c r="Q144" s="680" t="s">
        <v>498</v>
      </c>
      <c r="R144" s="680" t="s">
        <v>494</v>
      </c>
      <c r="S144" s="680" t="s">
        <v>6</v>
      </c>
      <c r="T144" s="680" t="s">
        <v>484</v>
      </c>
      <c r="U144" s="681">
        <v>20</v>
      </c>
      <c r="V144" s="680">
        <v>32.6</v>
      </c>
      <c r="W144" s="680" t="s">
        <v>497</v>
      </c>
      <c r="X144" s="680" t="s">
        <v>485</v>
      </c>
      <c r="Y144" s="680" t="s">
        <v>484</v>
      </c>
      <c r="Z144" s="680" t="s">
        <v>483</v>
      </c>
      <c r="AA144" s="680">
        <f>+U144*G144</f>
        <v>340</v>
      </c>
      <c r="AB144" s="680">
        <f>+U144*H144</f>
        <v>840</v>
      </c>
      <c r="AC144" s="680">
        <f>+U144*I144</f>
        <v>0</v>
      </c>
      <c r="AD144" s="680">
        <f>+U144*J144</f>
        <v>0</v>
      </c>
      <c r="AE144" s="680">
        <f>+U144*K144</f>
        <v>0</v>
      </c>
      <c r="AF144" s="680">
        <f>+U144*L144</f>
        <v>0</v>
      </c>
      <c r="AG144" s="680">
        <f>+U144*M144</f>
        <v>0</v>
      </c>
      <c r="AH144" s="680">
        <f>+U144*N144</f>
        <v>0</v>
      </c>
      <c r="AI144" s="681">
        <f>+U144*O144</f>
        <v>340</v>
      </c>
      <c r="AJ144" s="681">
        <f>+U144*P144</f>
        <v>840</v>
      </c>
    </row>
    <row r="145" spans="1:36" hidden="1">
      <c r="A145" s="680">
        <v>2212004004</v>
      </c>
      <c r="B145" s="680" t="s">
        <v>10</v>
      </c>
      <c r="C145" s="680" t="s">
        <v>491</v>
      </c>
      <c r="D145" s="680" t="s">
        <v>490</v>
      </c>
      <c r="E145" s="680" t="s">
        <v>489</v>
      </c>
      <c r="F145" s="680" t="s">
        <v>488</v>
      </c>
      <c r="G145" s="680">
        <v>448</v>
      </c>
      <c r="H145" s="680">
        <v>1119</v>
      </c>
      <c r="I145" s="680">
        <v>90</v>
      </c>
      <c r="J145" s="680">
        <v>225</v>
      </c>
      <c r="K145" s="680">
        <v>0</v>
      </c>
      <c r="L145" s="680">
        <v>0</v>
      </c>
      <c r="M145" s="680">
        <v>6</v>
      </c>
      <c r="N145" s="680">
        <v>15</v>
      </c>
      <c r="O145" s="680">
        <f>+G145+I145+K145+M145</f>
        <v>544</v>
      </c>
      <c r="P145" s="680">
        <f>+H145+J145+L145+N145</f>
        <v>1359</v>
      </c>
      <c r="Q145" s="680" t="s">
        <v>498</v>
      </c>
      <c r="R145" s="680" t="s">
        <v>494</v>
      </c>
      <c r="S145" s="680" t="s">
        <v>6</v>
      </c>
      <c r="T145" s="680" t="s">
        <v>484</v>
      </c>
      <c r="U145" s="681">
        <v>70</v>
      </c>
      <c r="V145" s="680">
        <v>81.25</v>
      </c>
      <c r="W145" s="680" t="s">
        <v>497</v>
      </c>
      <c r="X145" s="680" t="s">
        <v>485</v>
      </c>
      <c r="Y145" s="680" t="s">
        <v>484</v>
      </c>
      <c r="Z145" s="680" t="s">
        <v>483</v>
      </c>
      <c r="AA145" s="680">
        <f>+U145*G145</f>
        <v>31360</v>
      </c>
      <c r="AB145" s="680">
        <f>+U145*H145</f>
        <v>78330</v>
      </c>
      <c r="AC145" s="680">
        <f>+U145*I145</f>
        <v>6300</v>
      </c>
      <c r="AD145" s="680">
        <f>+U145*J145</f>
        <v>15750</v>
      </c>
      <c r="AE145" s="680">
        <f>+U145*K145</f>
        <v>0</v>
      </c>
      <c r="AF145" s="680">
        <f>+U145*L145</f>
        <v>0</v>
      </c>
      <c r="AG145" s="680">
        <f>+U145*M145</f>
        <v>420</v>
      </c>
      <c r="AH145" s="680">
        <f>+U145*N145</f>
        <v>1050</v>
      </c>
      <c r="AI145" s="681">
        <f>+U145*O145</f>
        <v>38080</v>
      </c>
      <c r="AJ145" s="681">
        <f>+U145*P145</f>
        <v>95130</v>
      </c>
    </row>
    <row r="146" spans="1:36" hidden="1">
      <c r="A146" s="680">
        <v>2212004005</v>
      </c>
      <c r="B146" s="680" t="s">
        <v>11</v>
      </c>
      <c r="C146" s="680" t="s">
        <v>491</v>
      </c>
      <c r="D146" s="680" t="s">
        <v>490</v>
      </c>
      <c r="E146" s="680" t="s">
        <v>489</v>
      </c>
      <c r="F146" s="680" t="s">
        <v>488</v>
      </c>
      <c r="G146" s="680">
        <v>476</v>
      </c>
      <c r="H146" s="680">
        <v>1188</v>
      </c>
      <c r="I146" s="680">
        <v>0</v>
      </c>
      <c r="J146" s="680">
        <v>0</v>
      </c>
      <c r="K146" s="680">
        <v>0</v>
      </c>
      <c r="L146" s="680">
        <v>0</v>
      </c>
      <c r="M146" s="680">
        <v>8</v>
      </c>
      <c r="N146" s="680">
        <v>20</v>
      </c>
      <c r="O146" s="680">
        <f>+G146+I146+K146+M146</f>
        <v>484</v>
      </c>
      <c r="P146" s="680">
        <f>+H146+J146+L146+N146</f>
        <v>1208</v>
      </c>
      <c r="Q146" s="680" t="s">
        <v>498</v>
      </c>
      <c r="R146" s="680" t="s">
        <v>494</v>
      </c>
      <c r="S146" s="680" t="s">
        <v>6</v>
      </c>
      <c r="T146" s="680" t="s">
        <v>484</v>
      </c>
      <c r="U146" s="681">
        <v>78</v>
      </c>
      <c r="V146" s="680">
        <v>87.74</v>
      </c>
      <c r="W146" s="680" t="s">
        <v>497</v>
      </c>
      <c r="X146" s="680" t="s">
        <v>485</v>
      </c>
      <c r="Y146" s="680" t="s">
        <v>484</v>
      </c>
      <c r="Z146" s="680" t="s">
        <v>483</v>
      </c>
      <c r="AA146" s="680">
        <f>+U146*G146</f>
        <v>37128</v>
      </c>
      <c r="AB146" s="680">
        <f>+U146*H146</f>
        <v>92664</v>
      </c>
      <c r="AC146" s="680">
        <f>+U146*I146</f>
        <v>0</v>
      </c>
      <c r="AD146" s="680">
        <f>+U146*J146</f>
        <v>0</v>
      </c>
      <c r="AE146" s="680">
        <f>+U146*K146</f>
        <v>0</v>
      </c>
      <c r="AF146" s="680">
        <f>+U146*L146</f>
        <v>0</v>
      </c>
      <c r="AG146" s="680">
        <f>+U146*M146</f>
        <v>624</v>
      </c>
      <c r="AH146" s="680">
        <f>+U146*N146</f>
        <v>1560</v>
      </c>
      <c r="AI146" s="681">
        <f>+U146*O146</f>
        <v>37752</v>
      </c>
      <c r="AJ146" s="681">
        <f>+U146*P146</f>
        <v>94224</v>
      </c>
    </row>
    <row r="147" spans="1:36" hidden="1">
      <c r="A147" s="680">
        <v>2212004006</v>
      </c>
      <c r="B147" s="680" t="s">
        <v>12</v>
      </c>
      <c r="C147" s="680" t="s">
        <v>491</v>
      </c>
      <c r="D147" s="680" t="s">
        <v>490</v>
      </c>
      <c r="E147" s="680" t="s">
        <v>489</v>
      </c>
      <c r="F147" s="680" t="s">
        <v>488</v>
      </c>
      <c r="G147" s="680">
        <v>757</v>
      </c>
      <c r="H147" s="680">
        <v>1891</v>
      </c>
      <c r="I147" s="680">
        <v>360</v>
      </c>
      <c r="J147" s="680">
        <v>900</v>
      </c>
      <c r="K147" s="680">
        <v>0</v>
      </c>
      <c r="L147" s="680">
        <v>0</v>
      </c>
      <c r="M147" s="680">
        <v>0</v>
      </c>
      <c r="N147" s="680">
        <v>0</v>
      </c>
      <c r="O147" s="680">
        <f>+G147+I147+K147+M147</f>
        <v>1117</v>
      </c>
      <c r="P147" s="680">
        <f>+H147+J147+L147+N147</f>
        <v>2791</v>
      </c>
      <c r="Q147" s="680" t="s">
        <v>498</v>
      </c>
      <c r="R147" s="680" t="s">
        <v>494</v>
      </c>
      <c r="S147" s="680" t="s">
        <v>6</v>
      </c>
      <c r="T147" s="680" t="s">
        <v>484</v>
      </c>
      <c r="U147" s="681">
        <v>30</v>
      </c>
      <c r="V147" s="680">
        <v>32.799999999999997</v>
      </c>
      <c r="W147" s="680" t="s">
        <v>497</v>
      </c>
      <c r="X147" s="680" t="s">
        <v>485</v>
      </c>
      <c r="Y147" s="680" t="s">
        <v>484</v>
      </c>
      <c r="Z147" s="680" t="s">
        <v>483</v>
      </c>
      <c r="AA147" s="680">
        <f>+U147*G147</f>
        <v>22710</v>
      </c>
      <c r="AB147" s="680">
        <f>+U147*H147</f>
        <v>56730</v>
      </c>
      <c r="AC147" s="680">
        <f>+U147*I147</f>
        <v>10800</v>
      </c>
      <c r="AD147" s="680">
        <f>+U147*J147</f>
        <v>27000</v>
      </c>
      <c r="AE147" s="680">
        <f>+U147*K147</f>
        <v>0</v>
      </c>
      <c r="AF147" s="680">
        <f>+U147*L147</f>
        <v>0</v>
      </c>
      <c r="AG147" s="680">
        <f>+U147*M147</f>
        <v>0</v>
      </c>
      <c r="AH147" s="680">
        <f>+U147*N147</f>
        <v>0</v>
      </c>
      <c r="AI147" s="681">
        <f>+U147*O147</f>
        <v>33510</v>
      </c>
      <c r="AJ147" s="681">
        <f>+U147*P147</f>
        <v>83730</v>
      </c>
    </row>
    <row r="148" spans="1:36" hidden="1">
      <c r="A148" s="680">
        <v>2212004007</v>
      </c>
      <c r="B148" s="680" t="s">
        <v>13</v>
      </c>
      <c r="C148" s="680" t="s">
        <v>491</v>
      </c>
      <c r="D148" s="680" t="s">
        <v>490</v>
      </c>
      <c r="E148" s="680" t="s">
        <v>489</v>
      </c>
      <c r="F148" s="680" t="s">
        <v>488</v>
      </c>
      <c r="G148" s="680">
        <v>48</v>
      </c>
      <c r="H148" s="680">
        <v>120</v>
      </c>
      <c r="I148" s="680">
        <v>72</v>
      </c>
      <c r="J148" s="680">
        <v>180</v>
      </c>
      <c r="K148" s="680">
        <v>0</v>
      </c>
      <c r="L148" s="680">
        <v>0</v>
      </c>
      <c r="M148" s="680">
        <v>0</v>
      </c>
      <c r="N148" s="680">
        <v>0</v>
      </c>
      <c r="O148" s="680">
        <f>+G148+I148+K148+M148</f>
        <v>120</v>
      </c>
      <c r="P148" s="680">
        <f>+H148+J148+L148+N148</f>
        <v>300</v>
      </c>
      <c r="Q148" s="680" t="s">
        <v>498</v>
      </c>
      <c r="R148" s="680" t="s">
        <v>494</v>
      </c>
      <c r="S148" s="680" t="s">
        <v>6</v>
      </c>
      <c r="T148" s="680" t="s">
        <v>484</v>
      </c>
      <c r="U148" s="681">
        <v>19</v>
      </c>
      <c r="V148" s="680">
        <v>21.74</v>
      </c>
      <c r="W148" s="680" t="s">
        <v>497</v>
      </c>
      <c r="X148" s="680" t="s">
        <v>485</v>
      </c>
      <c r="Y148" s="680" t="s">
        <v>484</v>
      </c>
      <c r="Z148" s="680" t="s">
        <v>483</v>
      </c>
      <c r="AA148" s="680">
        <f>+U148*G148</f>
        <v>912</v>
      </c>
      <c r="AB148" s="680">
        <f>+U148*H148</f>
        <v>2280</v>
      </c>
      <c r="AC148" s="680">
        <f>+U148*I148</f>
        <v>1368</v>
      </c>
      <c r="AD148" s="680">
        <f>+U148*J148</f>
        <v>3420</v>
      </c>
      <c r="AE148" s="680">
        <f>+U148*K148</f>
        <v>0</v>
      </c>
      <c r="AF148" s="680">
        <f>+U148*L148</f>
        <v>0</v>
      </c>
      <c r="AG148" s="680">
        <f>+U148*M148</f>
        <v>0</v>
      </c>
      <c r="AH148" s="680">
        <f>+U148*N148</f>
        <v>0</v>
      </c>
      <c r="AI148" s="681">
        <f>+U148*O148</f>
        <v>2280</v>
      </c>
      <c r="AJ148" s="681">
        <f>+U148*P148</f>
        <v>5700</v>
      </c>
    </row>
    <row r="149" spans="1:36" hidden="1">
      <c r="A149" s="680">
        <v>2212004008</v>
      </c>
      <c r="B149" s="680" t="s">
        <v>14</v>
      </c>
      <c r="C149" s="680" t="s">
        <v>491</v>
      </c>
      <c r="D149" s="680" t="s">
        <v>490</v>
      </c>
      <c r="E149" s="680" t="s">
        <v>489</v>
      </c>
      <c r="F149" s="680" t="s">
        <v>488</v>
      </c>
      <c r="G149" s="680">
        <v>79</v>
      </c>
      <c r="H149" s="680">
        <v>196</v>
      </c>
      <c r="I149" s="680">
        <v>146</v>
      </c>
      <c r="J149" s="680">
        <v>364</v>
      </c>
      <c r="K149" s="680">
        <v>0</v>
      </c>
      <c r="L149" s="680">
        <v>0</v>
      </c>
      <c r="M149" s="680">
        <v>0</v>
      </c>
      <c r="N149" s="680">
        <v>0</v>
      </c>
      <c r="O149" s="680">
        <f>+G149+I149+K149+M149</f>
        <v>225</v>
      </c>
      <c r="P149" s="680">
        <f>+H149+J149+L149+N149</f>
        <v>560</v>
      </c>
      <c r="Q149" s="680" t="s">
        <v>498</v>
      </c>
      <c r="R149" s="680" t="s">
        <v>494</v>
      </c>
      <c r="S149" s="680" t="s">
        <v>6</v>
      </c>
      <c r="T149" s="680" t="s">
        <v>484</v>
      </c>
      <c r="U149" s="681">
        <v>29</v>
      </c>
      <c r="V149" s="680">
        <v>32.6</v>
      </c>
      <c r="W149" s="680" t="s">
        <v>497</v>
      </c>
      <c r="X149" s="680" t="s">
        <v>485</v>
      </c>
      <c r="Y149" s="680" t="s">
        <v>484</v>
      </c>
      <c r="Z149" s="680" t="s">
        <v>483</v>
      </c>
      <c r="AA149" s="680">
        <f>+U149*G149</f>
        <v>2291</v>
      </c>
      <c r="AB149" s="680">
        <f>+U149*H149</f>
        <v>5684</v>
      </c>
      <c r="AC149" s="680">
        <f>+U149*I149</f>
        <v>4234</v>
      </c>
      <c r="AD149" s="680">
        <f>+U149*J149</f>
        <v>10556</v>
      </c>
      <c r="AE149" s="680">
        <f>+U149*K149</f>
        <v>0</v>
      </c>
      <c r="AF149" s="680">
        <f>+U149*L149</f>
        <v>0</v>
      </c>
      <c r="AG149" s="680">
        <f>+U149*M149</f>
        <v>0</v>
      </c>
      <c r="AH149" s="680">
        <f>+U149*N149</f>
        <v>0</v>
      </c>
      <c r="AI149" s="681">
        <f>+U149*O149</f>
        <v>6525</v>
      </c>
      <c r="AJ149" s="681">
        <f>+U149*P149</f>
        <v>16240</v>
      </c>
    </row>
    <row r="150" spans="1:36" hidden="1">
      <c r="A150" s="680">
        <v>2212004009</v>
      </c>
      <c r="B150" s="680" t="s">
        <v>15</v>
      </c>
      <c r="C150" s="680" t="s">
        <v>491</v>
      </c>
      <c r="D150" s="680" t="s">
        <v>490</v>
      </c>
      <c r="E150" s="680" t="s">
        <v>489</v>
      </c>
      <c r="F150" s="680" t="s">
        <v>488</v>
      </c>
      <c r="G150" s="680">
        <v>365</v>
      </c>
      <c r="H150" s="680">
        <v>912</v>
      </c>
      <c r="I150" s="680">
        <v>209</v>
      </c>
      <c r="J150" s="680">
        <v>522</v>
      </c>
      <c r="K150" s="680">
        <v>0</v>
      </c>
      <c r="L150" s="680">
        <v>0</v>
      </c>
      <c r="M150" s="680">
        <v>8</v>
      </c>
      <c r="N150" s="680">
        <v>20</v>
      </c>
      <c r="O150" s="680">
        <f>+G150+I150+K150+M150</f>
        <v>582</v>
      </c>
      <c r="P150" s="680">
        <f>+H150+J150+L150+N150</f>
        <v>1454</v>
      </c>
      <c r="Q150" s="680" t="s">
        <v>498</v>
      </c>
      <c r="R150" s="680" t="s">
        <v>494</v>
      </c>
      <c r="S150" s="680" t="s">
        <v>6</v>
      </c>
      <c r="T150" s="680" t="s">
        <v>484</v>
      </c>
      <c r="U150" s="681">
        <v>25</v>
      </c>
      <c r="V150" s="680">
        <v>27.09</v>
      </c>
      <c r="W150" s="680" t="s">
        <v>497</v>
      </c>
      <c r="X150" s="680" t="s">
        <v>485</v>
      </c>
      <c r="Y150" s="680" t="s">
        <v>484</v>
      </c>
      <c r="Z150" s="680" t="s">
        <v>483</v>
      </c>
      <c r="AA150" s="680">
        <f>+U150*G150</f>
        <v>9125</v>
      </c>
      <c r="AB150" s="680">
        <f>+U150*H150</f>
        <v>22800</v>
      </c>
      <c r="AC150" s="680">
        <f>+U150*I150</f>
        <v>5225</v>
      </c>
      <c r="AD150" s="680">
        <f>+U150*J150</f>
        <v>13050</v>
      </c>
      <c r="AE150" s="680">
        <f>+U150*K150</f>
        <v>0</v>
      </c>
      <c r="AF150" s="680">
        <f>+U150*L150</f>
        <v>0</v>
      </c>
      <c r="AG150" s="680">
        <f>+U150*M150</f>
        <v>200</v>
      </c>
      <c r="AH150" s="680">
        <f>+U150*N150</f>
        <v>500</v>
      </c>
      <c r="AI150" s="681">
        <f>+U150*O150</f>
        <v>14550</v>
      </c>
      <c r="AJ150" s="681">
        <f>+U150*P150</f>
        <v>36350</v>
      </c>
    </row>
    <row r="151" spans="1:36" hidden="1">
      <c r="A151" s="680">
        <v>2212004011</v>
      </c>
      <c r="B151" s="680" t="s">
        <v>16</v>
      </c>
      <c r="C151" s="680" t="s">
        <v>491</v>
      </c>
      <c r="D151" s="680" t="s">
        <v>490</v>
      </c>
      <c r="E151" s="680" t="s">
        <v>489</v>
      </c>
      <c r="F151" s="680" t="s">
        <v>488</v>
      </c>
      <c r="G151" s="680">
        <v>3204</v>
      </c>
      <c r="H151" s="680">
        <v>8010</v>
      </c>
      <c r="I151" s="680">
        <v>2070</v>
      </c>
      <c r="J151" s="680">
        <v>5175</v>
      </c>
      <c r="K151" s="680">
        <v>0</v>
      </c>
      <c r="L151" s="680">
        <v>0</v>
      </c>
      <c r="M151" s="680">
        <v>12</v>
      </c>
      <c r="N151" s="680">
        <v>30</v>
      </c>
      <c r="O151" s="680">
        <f>+G151+I151+K151+M151</f>
        <v>5286</v>
      </c>
      <c r="P151" s="680">
        <f>+H151+J151+L151+N151</f>
        <v>13215</v>
      </c>
      <c r="Q151" s="680" t="s">
        <v>498</v>
      </c>
      <c r="R151" s="680" t="s">
        <v>494</v>
      </c>
      <c r="S151" s="680" t="s">
        <v>6</v>
      </c>
      <c r="T151" s="680" t="s">
        <v>484</v>
      </c>
      <c r="U151" s="681">
        <v>46</v>
      </c>
      <c r="V151" s="680">
        <v>52.64</v>
      </c>
      <c r="W151" s="680" t="s">
        <v>497</v>
      </c>
      <c r="X151" s="680" t="s">
        <v>485</v>
      </c>
      <c r="Y151" s="680" t="s">
        <v>484</v>
      </c>
      <c r="Z151" s="680" t="s">
        <v>483</v>
      </c>
      <c r="AA151" s="680">
        <f>+U151*G151</f>
        <v>147384</v>
      </c>
      <c r="AB151" s="680">
        <f>+U151*H151</f>
        <v>368460</v>
      </c>
      <c r="AC151" s="680">
        <f>+U151*I151</f>
        <v>95220</v>
      </c>
      <c r="AD151" s="680">
        <f>+U151*J151</f>
        <v>238050</v>
      </c>
      <c r="AE151" s="680">
        <f>+U151*K151</f>
        <v>0</v>
      </c>
      <c r="AF151" s="680">
        <f>+U151*L151</f>
        <v>0</v>
      </c>
      <c r="AG151" s="680">
        <f>+U151*M151</f>
        <v>552</v>
      </c>
      <c r="AH151" s="680">
        <f>+U151*N151</f>
        <v>1380</v>
      </c>
      <c r="AI151" s="681">
        <f>+U151*O151</f>
        <v>243156</v>
      </c>
      <c r="AJ151" s="681">
        <f>+U151*P151</f>
        <v>607890</v>
      </c>
    </row>
    <row r="152" spans="1:36" hidden="1">
      <c r="A152" s="680">
        <v>2212004012</v>
      </c>
      <c r="B152" s="680" t="s">
        <v>17</v>
      </c>
      <c r="C152" s="680" t="s">
        <v>491</v>
      </c>
      <c r="D152" s="680" t="s">
        <v>490</v>
      </c>
      <c r="E152" s="680" t="s">
        <v>489</v>
      </c>
      <c r="F152" s="680" t="s">
        <v>488</v>
      </c>
      <c r="G152" s="680">
        <v>2818</v>
      </c>
      <c r="H152" s="680">
        <v>7044</v>
      </c>
      <c r="I152" s="680">
        <v>630</v>
      </c>
      <c r="J152" s="680">
        <v>1575</v>
      </c>
      <c r="K152" s="680">
        <v>0</v>
      </c>
      <c r="L152" s="680">
        <v>0</v>
      </c>
      <c r="M152" s="680">
        <v>12</v>
      </c>
      <c r="N152" s="680">
        <v>30</v>
      </c>
      <c r="O152" s="680">
        <f>+G152+I152+K152+M152</f>
        <v>3460</v>
      </c>
      <c r="P152" s="680">
        <f>+H152+J152+L152+N152</f>
        <v>8649</v>
      </c>
      <c r="Q152" s="680" t="s">
        <v>498</v>
      </c>
      <c r="R152" s="680" t="s">
        <v>494</v>
      </c>
      <c r="S152" s="680" t="s">
        <v>6</v>
      </c>
      <c r="T152" s="680" t="s">
        <v>484</v>
      </c>
      <c r="U152" s="681">
        <v>49</v>
      </c>
      <c r="V152" s="680">
        <v>53.58</v>
      </c>
      <c r="W152" s="680" t="s">
        <v>497</v>
      </c>
      <c r="X152" s="680" t="s">
        <v>485</v>
      </c>
      <c r="Y152" s="680" t="s">
        <v>484</v>
      </c>
      <c r="Z152" s="680" t="s">
        <v>483</v>
      </c>
      <c r="AA152" s="680">
        <f>+U152*G152</f>
        <v>138082</v>
      </c>
      <c r="AB152" s="680">
        <f>+U152*H152</f>
        <v>345156</v>
      </c>
      <c r="AC152" s="680">
        <f>+U152*I152</f>
        <v>30870</v>
      </c>
      <c r="AD152" s="680">
        <f>+U152*J152</f>
        <v>77175</v>
      </c>
      <c r="AE152" s="680">
        <f>+U152*K152</f>
        <v>0</v>
      </c>
      <c r="AF152" s="680">
        <f>+U152*L152</f>
        <v>0</v>
      </c>
      <c r="AG152" s="680">
        <f>+U152*M152</f>
        <v>588</v>
      </c>
      <c r="AH152" s="680">
        <f>+U152*N152</f>
        <v>1470</v>
      </c>
      <c r="AI152" s="681">
        <f>+U152*O152</f>
        <v>169540</v>
      </c>
      <c r="AJ152" s="681">
        <f>+U152*P152</f>
        <v>423801</v>
      </c>
    </row>
    <row r="153" spans="1:36" hidden="1">
      <c r="A153" s="680">
        <v>2212004013</v>
      </c>
      <c r="B153" s="680" t="s">
        <v>18</v>
      </c>
      <c r="C153" s="680" t="s">
        <v>491</v>
      </c>
      <c r="D153" s="680" t="s">
        <v>490</v>
      </c>
      <c r="E153" s="680" t="s">
        <v>489</v>
      </c>
      <c r="F153" s="680" t="s">
        <v>488</v>
      </c>
      <c r="G153" s="680">
        <v>1542</v>
      </c>
      <c r="H153" s="680">
        <v>3853</v>
      </c>
      <c r="I153" s="680">
        <v>1115</v>
      </c>
      <c r="J153" s="680">
        <v>2786</v>
      </c>
      <c r="K153" s="680">
        <v>0</v>
      </c>
      <c r="L153" s="680">
        <v>0</v>
      </c>
      <c r="M153" s="680">
        <v>10</v>
      </c>
      <c r="N153" s="680">
        <v>25</v>
      </c>
      <c r="O153" s="680">
        <f>+G153+I153+K153+M153</f>
        <v>2667</v>
      </c>
      <c r="P153" s="680">
        <f>+H153+J153+L153+N153</f>
        <v>6664</v>
      </c>
      <c r="Q153" s="680" t="s">
        <v>498</v>
      </c>
      <c r="R153" s="680" t="s">
        <v>494</v>
      </c>
      <c r="S153" s="680" t="s">
        <v>6</v>
      </c>
      <c r="T153" s="680" t="s">
        <v>484</v>
      </c>
      <c r="U153" s="681">
        <v>23</v>
      </c>
      <c r="V153" s="680">
        <v>25</v>
      </c>
      <c r="W153" s="680" t="s">
        <v>497</v>
      </c>
      <c r="X153" s="680" t="s">
        <v>485</v>
      </c>
      <c r="Y153" s="680" t="s">
        <v>484</v>
      </c>
      <c r="Z153" s="680" t="s">
        <v>483</v>
      </c>
      <c r="AA153" s="680">
        <f>+U153*G153</f>
        <v>35466</v>
      </c>
      <c r="AB153" s="680">
        <f>+U153*H153</f>
        <v>88619</v>
      </c>
      <c r="AC153" s="680">
        <f>+U153*I153</f>
        <v>25645</v>
      </c>
      <c r="AD153" s="680">
        <f>+U153*J153</f>
        <v>64078</v>
      </c>
      <c r="AE153" s="680">
        <f>+U153*K153</f>
        <v>0</v>
      </c>
      <c r="AF153" s="680">
        <f>+U153*L153</f>
        <v>0</v>
      </c>
      <c r="AG153" s="680">
        <f>+U153*M153</f>
        <v>230</v>
      </c>
      <c r="AH153" s="680">
        <f>+U153*N153</f>
        <v>575</v>
      </c>
      <c r="AI153" s="681">
        <f>+U153*O153</f>
        <v>61341</v>
      </c>
      <c r="AJ153" s="681">
        <f>+U153*P153</f>
        <v>153272</v>
      </c>
    </row>
    <row r="154" spans="1:36" hidden="1">
      <c r="A154" s="680">
        <v>2212004014</v>
      </c>
      <c r="B154" s="680" t="s">
        <v>19</v>
      </c>
      <c r="C154" s="680" t="s">
        <v>491</v>
      </c>
      <c r="D154" s="680" t="s">
        <v>490</v>
      </c>
      <c r="E154" s="680" t="s">
        <v>489</v>
      </c>
      <c r="F154" s="680" t="s">
        <v>488</v>
      </c>
      <c r="G154" s="680">
        <v>1379</v>
      </c>
      <c r="H154" s="680">
        <v>3447</v>
      </c>
      <c r="I154" s="680">
        <v>900</v>
      </c>
      <c r="J154" s="680">
        <v>2250</v>
      </c>
      <c r="K154" s="680">
        <v>0</v>
      </c>
      <c r="L154" s="680">
        <v>0</v>
      </c>
      <c r="M154" s="680">
        <v>10</v>
      </c>
      <c r="N154" s="680">
        <v>25</v>
      </c>
      <c r="O154" s="680">
        <f>+G154+I154+K154+M154</f>
        <v>2289</v>
      </c>
      <c r="P154" s="680">
        <f>+H154+J154+L154+N154</f>
        <v>5722</v>
      </c>
      <c r="Q154" s="680" t="s">
        <v>498</v>
      </c>
      <c r="R154" s="680" t="s">
        <v>494</v>
      </c>
      <c r="S154" s="680" t="s">
        <v>6</v>
      </c>
      <c r="T154" s="680" t="s">
        <v>484</v>
      </c>
      <c r="U154" s="681">
        <v>20</v>
      </c>
      <c r="V154" s="680">
        <v>22.82</v>
      </c>
      <c r="W154" s="680" t="s">
        <v>497</v>
      </c>
      <c r="X154" s="680" t="s">
        <v>485</v>
      </c>
      <c r="Y154" s="680" t="s">
        <v>484</v>
      </c>
      <c r="Z154" s="680" t="s">
        <v>483</v>
      </c>
      <c r="AA154" s="680">
        <f>+U154*G154</f>
        <v>27580</v>
      </c>
      <c r="AB154" s="680">
        <f>+U154*H154</f>
        <v>68940</v>
      </c>
      <c r="AC154" s="680">
        <f>+U154*I154</f>
        <v>18000</v>
      </c>
      <c r="AD154" s="680">
        <f>+U154*J154</f>
        <v>45000</v>
      </c>
      <c r="AE154" s="680">
        <f>+U154*K154</f>
        <v>0</v>
      </c>
      <c r="AF154" s="680">
        <f>+U154*L154</f>
        <v>0</v>
      </c>
      <c r="AG154" s="680">
        <f>+U154*M154</f>
        <v>200</v>
      </c>
      <c r="AH154" s="680">
        <f>+U154*N154</f>
        <v>500</v>
      </c>
      <c r="AI154" s="681">
        <f>+U154*O154</f>
        <v>45780</v>
      </c>
      <c r="AJ154" s="681">
        <f>+U154*P154</f>
        <v>114440</v>
      </c>
    </row>
    <row r="155" spans="1:36" hidden="1">
      <c r="A155" s="680">
        <v>2212004015</v>
      </c>
      <c r="B155" s="680" t="s">
        <v>20</v>
      </c>
      <c r="C155" s="680" t="s">
        <v>491</v>
      </c>
      <c r="D155" s="680" t="s">
        <v>490</v>
      </c>
      <c r="E155" s="680" t="s">
        <v>489</v>
      </c>
      <c r="F155" s="680" t="s">
        <v>488</v>
      </c>
      <c r="G155" s="680">
        <v>5199</v>
      </c>
      <c r="H155" s="680">
        <v>12996</v>
      </c>
      <c r="I155" s="680">
        <v>1530</v>
      </c>
      <c r="J155" s="680">
        <v>3825</v>
      </c>
      <c r="K155" s="680">
        <v>0</v>
      </c>
      <c r="L155" s="680">
        <v>0</v>
      </c>
      <c r="M155" s="680">
        <v>0</v>
      </c>
      <c r="N155" s="680">
        <v>0</v>
      </c>
      <c r="O155" s="680">
        <f>+G155+I155+K155+M155</f>
        <v>6729</v>
      </c>
      <c r="P155" s="680">
        <f>+H155+J155+L155+N155</f>
        <v>16821</v>
      </c>
      <c r="Q155" s="680" t="s">
        <v>498</v>
      </c>
      <c r="R155" s="680" t="s">
        <v>494</v>
      </c>
      <c r="S155" s="680" t="s">
        <v>6</v>
      </c>
      <c r="T155" s="680" t="s">
        <v>484</v>
      </c>
      <c r="U155" s="681">
        <v>23</v>
      </c>
      <c r="V155" s="680">
        <v>26</v>
      </c>
      <c r="W155" s="680" t="s">
        <v>497</v>
      </c>
      <c r="X155" s="680" t="s">
        <v>485</v>
      </c>
      <c r="Y155" s="680" t="s">
        <v>484</v>
      </c>
      <c r="Z155" s="680" t="s">
        <v>483</v>
      </c>
      <c r="AA155" s="680">
        <f>+U155*G155</f>
        <v>119577</v>
      </c>
      <c r="AB155" s="680">
        <f>+U155*H155</f>
        <v>298908</v>
      </c>
      <c r="AC155" s="680">
        <f>+U155*I155</f>
        <v>35190</v>
      </c>
      <c r="AD155" s="680">
        <f>+U155*J155</f>
        <v>87975</v>
      </c>
      <c r="AE155" s="680">
        <f>+U155*K155</f>
        <v>0</v>
      </c>
      <c r="AF155" s="680">
        <f>+U155*L155</f>
        <v>0</v>
      </c>
      <c r="AG155" s="680">
        <f>+U155*M155</f>
        <v>0</v>
      </c>
      <c r="AH155" s="680">
        <f>+U155*N155</f>
        <v>0</v>
      </c>
      <c r="AI155" s="681">
        <f>+U155*O155</f>
        <v>154767</v>
      </c>
      <c r="AJ155" s="681">
        <f>+U155*P155</f>
        <v>386883</v>
      </c>
    </row>
    <row r="156" spans="1:36" hidden="1">
      <c r="A156" s="680">
        <v>2212004016</v>
      </c>
      <c r="B156" s="680" t="s">
        <v>21</v>
      </c>
      <c r="C156" s="680" t="s">
        <v>491</v>
      </c>
      <c r="D156" s="680" t="s">
        <v>490</v>
      </c>
      <c r="E156" s="680" t="s">
        <v>489</v>
      </c>
      <c r="F156" s="680" t="s">
        <v>488</v>
      </c>
      <c r="G156" s="680">
        <v>1270</v>
      </c>
      <c r="H156" s="680">
        <v>3174</v>
      </c>
      <c r="I156" s="680">
        <v>0</v>
      </c>
      <c r="J156" s="680">
        <v>0</v>
      </c>
      <c r="K156" s="680">
        <v>0</v>
      </c>
      <c r="L156" s="680">
        <v>0</v>
      </c>
      <c r="M156" s="680">
        <v>12</v>
      </c>
      <c r="N156" s="680">
        <v>30</v>
      </c>
      <c r="O156" s="680">
        <f>+G156+I156+K156+M156</f>
        <v>1282</v>
      </c>
      <c r="P156" s="680">
        <f>+H156+J156+L156+N156</f>
        <v>3204</v>
      </c>
      <c r="Q156" s="680" t="s">
        <v>498</v>
      </c>
      <c r="R156" s="680" t="s">
        <v>494</v>
      </c>
      <c r="S156" s="680" t="s">
        <v>6</v>
      </c>
      <c r="T156" s="680" t="s">
        <v>484</v>
      </c>
      <c r="U156" s="681">
        <v>50</v>
      </c>
      <c r="V156" s="680">
        <v>54.84</v>
      </c>
      <c r="W156" s="680" t="s">
        <v>497</v>
      </c>
      <c r="X156" s="680" t="s">
        <v>485</v>
      </c>
      <c r="Y156" s="680" t="s">
        <v>484</v>
      </c>
      <c r="Z156" s="680" t="s">
        <v>483</v>
      </c>
      <c r="AA156" s="680">
        <f>+U156*G156</f>
        <v>63500</v>
      </c>
      <c r="AB156" s="680">
        <f>+U156*H156</f>
        <v>158700</v>
      </c>
      <c r="AC156" s="680">
        <f>+U156*I156</f>
        <v>0</v>
      </c>
      <c r="AD156" s="680">
        <f>+U156*J156</f>
        <v>0</v>
      </c>
      <c r="AE156" s="680">
        <f>+U156*K156</f>
        <v>0</v>
      </c>
      <c r="AF156" s="680">
        <f>+U156*L156</f>
        <v>0</v>
      </c>
      <c r="AG156" s="680">
        <f>+U156*M156</f>
        <v>600</v>
      </c>
      <c r="AH156" s="680">
        <f>+U156*N156</f>
        <v>1500</v>
      </c>
      <c r="AI156" s="681">
        <f>+U156*O156</f>
        <v>64100</v>
      </c>
      <c r="AJ156" s="681">
        <f>+U156*P156</f>
        <v>160200</v>
      </c>
    </row>
    <row r="157" spans="1:36" hidden="1">
      <c r="A157" s="680">
        <v>2212004017</v>
      </c>
      <c r="B157" s="680" t="s">
        <v>22</v>
      </c>
      <c r="C157" s="680" t="s">
        <v>491</v>
      </c>
      <c r="D157" s="680" t="s">
        <v>490</v>
      </c>
      <c r="E157" s="680" t="s">
        <v>489</v>
      </c>
      <c r="F157" s="680" t="s">
        <v>488</v>
      </c>
      <c r="G157" s="680">
        <v>3163</v>
      </c>
      <c r="H157" s="680">
        <v>7906</v>
      </c>
      <c r="I157" s="680">
        <v>2160</v>
      </c>
      <c r="J157" s="680">
        <v>5400</v>
      </c>
      <c r="K157" s="680">
        <v>0</v>
      </c>
      <c r="L157" s="680">
        <v>0</v>
      </c>
      <c r="M157" s="680">
        <v>0</v>
      </c>
      <c r="N157" s="680">
        <v>0</v>
      </c>
      <c r="O157" s="680">
        <f>+G157+I157+K157+M157</f>
        <v>5323</v>
      </c>
      <c r="P157" s="680">
        <f>+H157+J157+L157+N157</f>
        <v>13306</v>
      </c>
      <c r="Q157" s="680" t="s">
        <v>498</v>
      </c>
      <c r="R157" s="680" t="s">
        <v>494</v>
      </c>
      <c r="S157" s="680" t="s">
        <v>6</v>
      </c>
      <c r="T157" s="680" t="s">
        <v>484</v>
      </c>
      <c r="U157" s="681">
        <v>49</v>
      </c>
      <c r="V157" s="680">
        <v>54.67</v>
      </c>
      <c r="W157" s="680" t="s">
        <v>497</v>
      </c>
      <c r="X157" s="680" t="s">
        <v>485</v>
      </c>
      <c r="Y157" s="680" t="s">
        <v>484</v>
      </c>
      <c r="Z157" s="680" t="s">
        <v>483</v>
      </c>
      <c r="AA157" s="680">
        <f>+U157*G157</f>
        <v>154987</v>
      </c>
      <c r="AB157" s="680">
        <f>+U157*H157</f>
        <v>387394</v>
      </c>
      <c r="AC157" s="680">
        <f>+U157*I157</f>
        <v>105840</v>
      </c>
      <c r="AD157" s="680">
        <f>+U157*J157</f>
        <v>264600</v>
      </c>
      <c r="AE157" s="680">
        <f>+U157*K157</f>
        <v>0</v>
      </c>
      <c r="AF157" s="680">
        <f>+U157*L157</f>
        <v>0</v>
      </c>
      <c r="AG157" s="680">
        <f>+U157*M157</f>
        <v>0</v>
      </c>
      <c r="AH157" s="680">
        <f>+U157*N157</f>
        <v>0</v>
      </c>
      <c r="AI157" s="681">
        <f>+U157*O157</f>
        <v>260827</v>
      </c>
      <c r="AJ157" s="681">
        <f>+U157*P157</f>
        <v>651994</v>
      </c>
    </row>
    <row r="158" spans="1:36" hidden="1">
      <c r="A158" s="680">
        <v>2212004018</v>
      </c>
      <c r="B158" s="680" t="s">
        <v>23</v>
      </c>
      <c r="C158" s="680" t="s">
        <v>491</v>
      </c>
      <c r="D158" s="680" t="s">
        <v>490</v>
      </c>
      <c r="E158" s="680" t="s">
        <v>489</v>
      </c>
      <c r="F158" s="680" t="s">
        <v>488</v>
      </c>
      <c r="G158" s="680">
        <v>1669</v>
      </c>
      <c r="H158" s="680">
        <v>4171</v>
      </c>
      <c r="I158" s="680">
        <v>1908</v>
      </c>
      <c r="J158" s="680">
        <v>4770</v>
      </c>
      <c r="K158" s="680">
        <v>0</v>
      </c>
      <c r="L158" s="680">
        <v>0</v>
      </c>
      <c r="M158" s="680">
        <v>6</v>
      </c>
      <c r="N158" s="680">
        <v>15</v>
      </c>
      <c r="O158" s="680">
        <f>+G158+I158+K158+M158</f>
        <v>3583</v>
      </c>
      <c r="P158" s="680">
        <f>+H158+J158+L158+N158</f>
        <v>8956</v>
      </c>
      <c r="Q158" s="680" t="s">
        <v>498</v>
      </c>
      <c r="R158" s="680" t="s">
        <v>494</v>
      </c>
      <c r="S158" s="680" t="s">
        <v>6</v>
      </c>
      <c r="T158" s="680" t="s">
        <v>484</v>
      </c>
      <c r="U158" s="681">
        <v>20</v>
      </c>
      <c r="V158" s="680">
        <v>25</v>
      </c>
      <c r="W158" s="680" t="s">
        <v>497</v>
      </c>
      <c r="X158" s="680" t="s">
        <v>485</v>
      </c>
      <c r="Y158" s="680" t="s">
        <v>484</v>
      </c>
      <c r="Z158" s="680" t="s">
        <v>483</v>
      </c>
      <c r="AA158" s="680">
        <f>+U158*G158</f>
        <v>33380</v>
      </c>
      <c r="AB158" s="680">
        <f>+U158*H158</f>
        <v>83420</v>
      </c>
      <c r="AC158" s="680">
        <f>+U158*I158</f>
        <v>38160</v>
      </c>
      <c r="AD158" s="680">
        <f>+U158*J158</f>
        <v>95400</v>
      </c>
      <c r="AE158" s="680">
        <f>+U158*K158</f>
        <v>0</v>
      </c>
      <c r="AF158" s="680">
        <f>+U158*L158</f>
        <v>0</v>
      </c>
      <c r="AG158" s="680">
        <f>+U158*M158</f>
        <v>120</v>
      </c>
      <c r="AH158" s="680">
        <f>+U158*N158</f>
        <v>300</v>
      </c>
      <c r="AI158" s="681">
        <f>+U158*O158</f>
        <v>71660</v>
      </c>
      <c r="AJ158" s="681">
        <f>+U158*P158</f>
        <v>179120</v>
      </c>
    </row>
    <row r="159" spans="1:36" hidden="1">
      <c r="A159" s="680">
        <v>2212004019</v>
      </c>
      <c r="B159" s="680" t="s">
        <v>24</v>
      </c>
      <c r="C159" s="680" t="s">
        <v>491</v>
      </c>
      <c r="D159" s="680" t="s">
        <v>490</v>
      </c>
      <c r="E159" s="680" t="s">
        <v>489</v>
      </c>
      <c r="F159" s="680" t="s">
        <v>488</v>
      </c>
      <c r="G159" s="680">
        <v>279</v>
      </c>
      <c r="H159" s="680">
        <v>696</v>
      </c>
      <c r="I159" s="680">
        <v>0</v>
      </c>
      <c r="J159" s="680">
        <v>0</v>
      </c>
      <c r="K159" s="680">
        <v>0</v>
      </c>
      <c r="L159" s="680">
        <v>0</v>
      </c>
      <c r="M159" s="680">
        <v>0</v>
      </c>
      <c r="N159" s="680">
        <v>0</v>
      </c>
      <c r="O159" s="680">
        <f>+G159+I159+K159+M159</f>
        <v>279</v>
      </c>
      <c r="P159" s="680">
        <f>+H159+J159+L159+N159</f>
        <v>696</v>
      </c>
      <c r="Q159" s="680" t="s">
        <v>498</v>
      </c>
      <c r="R159" s="680" t="s">
        <v>494</v>
      </c>
      <c r="S159" s="680" t="s">
        <v>6</v>
      </c>
      <c r="T159" s="680" t="s">
        <v>484</v>
      </c>
      <c r="U159" s="681">
        <v>25</v>
      </c>
      <c r="V159" s="680">
        <v>30.43</v>
      </c>
      <c r="W159" s="680" t="s">
        <v>497</v>
      </c>
      <c r="X159" s="680" t="s">
        <v>485</v>
      </c>
      <c r="Y159" s="680" t="s">
        <v>484</v>
      </c>
      <c r="Z159" s="680" t="s">
        <v>483</v>
      </c>
      <c r="AA159" s="680">
        <f>+U159*G159</f>
        <v>6975</v>
      </c>
      <c r="AB159" s="680">
        <f>+U159*H159</f>
        <v>17400</v>
      </c>
      <c r="AC159" s="680">
        <f>+U159*I159</f>
        <v>0</v>
      </c>
      <c r="AD159" s="680">
        <f>+U159*J159</f>
        <v>0</v>
      </c>
      <c r="AE159" s="680">
        <f>+U159*K159</f>
        <v>0</v>
      </c>
      <c r="AF159" s="680">
        <f>+U159*L159</f>
        <v>0</v>
      </c>
      <c r="AG159" s="680">
        <f>+U159*M159</f>
        <v>0</v>
      </c>
      <c r="AH159" s="680">
        <f>+U159*N159</f>
        <v>0</v>
      </c>
      <c r="AI159" s="681">
        <f>+U159*O159</f>
        <v>6975</v>
      </c>
      <c r="AJ159" s="681">
        <f>+U159*P159</f>
        <v>17400</v>
      </c>
    </row>
    <row r="160" spans="1:36" hidden="1">
      <c r="A160" s="680">
        <v>2212004020</v>
      </c>
      <c r="B160" s="680" t="s">
        <v>25</v>
      </c>
      <c r="C160" s="680" t="s">
        <v>491</v>
      </c>
      <c r="D160" s="680" t="s">
        <v>490</v>
      </c>
      <c r="E160" s="680" t="s">
        <v>489</v>
      </c>
      <c r="F160" s="680" t="s">
        <v>488</v>
      </c>
      <c r="G160" s="680">
        <v>4671</v>
      </c>
      <c r="H160" s="680">
        <v>11676</v>
      </c>
      <c r="I160" s="680">
        <v>1280</v>
      </c>
      <c r="J160" s="680">
        <v>3200</v>
      </c>
      <c r="K160" s="680">
        <v>0</v>
      </c>
      <c r="L160" s="680">
        <v>0</v>
      </c>
      <c r="M160" s="680">
        <v>0</v>
      </c>
      <c r="N160" s="680">
        <v>0</v>
      </c>
      <c r="O160" s="680">
        <f>+G160+I160+K160+M160</f>
        <v>5951</v>
      </c>
      <c r="P160" s="680">
        <f>+H160+J160+L160+N160</f>
        <v>14876</v>
      </c>
      <c r="Q160" s="680" t="s">
        <v>498</v>
      </c>
      <c r="R160" s="680" t="s">
        <v>494</v>
      </c>
      <c r="S160" s="680" t="s">
        <v>6</v>
      </c>
      <c r="T160" s="680" t="s">
        <v>484</v>
      </c>
      <c r="U160" s="681">
        <v>21</v>
      </c>
      <c r="V160" s="680">
        <v>24.92</v>
      </c>
      <c r="W160" s="680" t="s">
        <v>497</v>
      </c>
      <c r="X160" s="680" t="s">
        <v>485</v>
      </c>
      <c r="Y160" s="680" t="s">
        <v>484</v>
      </c>
      <c r="Z160" s="680" t="s">
        <v>483</v>
      </c>
      <c r="AA160" s="680">
        <f>+U160*G160</f>
        <v>98091</v>
      </c>
      <c r="AB160" s="680">
        <f>+U160*H160</f>
        <v>245196</v>
      </c>
      <c r="AC160" s="680">
        <f>+U160*I160</f>
        <v>26880</v>
      </c>
      <c r="AD160" s="680">
        <f>+U160*J160</f>
        <v>67200</v>
      </c>
      <c r="AE160" s="680">
        <f>+U160*K160</f>
        <v>0</v>
      </c>
      <c r="AF160" s="680">
        <f>+U160*L160</f>
        <v>0</v>
      </c>
      <c r="AG160" s="680">
        <f>+U160*M160</f>
        <v>0</v>
      </c>
      <c r="AH160" s="680">
        <f>+U160*N160</f>
        <v>0</v>
      </c>
      <c r="AI160" s="681">
        <f>+U160*O160</f>
        <v>124971</v>
      </c>
      <c r="AJ160" s="681">
        <f>+U160*P160</f>
        <v>312396</v>
      </c>
    </row>
    <row r="161" spans="1:36" hidden="1">
      <c r="A161" s="680">
        <v>2212004021</v>
      </c>
      <c r="B161" s="680" t="s">
        <v>26</v>
      </c>
      <c r="C161" s="680" t="s">
        <v>491</v>
      </c>
      <c r="D161" s="680" t="s">
        <v>490</v>
      </c>
      <c r="E161" s="680" t="s">
        <v>489</v>
      </c>
      <c r="F161" s="680" t="s">
        <v>488</v>
      </c>
      <c r="G161" s="680">
        <v>1048</v>
      </c>
      <c r="H161" s="680">
        <v>2619</v>
      </c>
      <c r="I161" s="680">
        <v>270</v>
      </c>
      <c r="J161" s="680">
        <v>675</v>
      </c>
      <c r="K161" s="680">
        <v>0</v>
      </c>
      <c r="L161" s="680">
        <v>0</v>
      </c>
      <c r="M161" s="680">
        <v>0</v>
      </c>
      <c r="N161" s="680">
        <v>0</v>
      </c>
      <c r="O161" s="680">
        <f>+G161+I161+K161+M161</f>
        <v>1318</v>
      </c>
      <c r="P161" s="680">
        <f>+H161+J161+L161+N161</f>
        <v>3294</v>
      </c>
      <c r="Q161" s="680" t="s">
        <v>498</v>
      </c>
      <c r="R161" s="680" t="s">
        <v>494</v>
      </c>
      <c r="S161" s="680" t="s">
        <v>6</v>
      </c>
      <c r="T161" s="680" t="s">
        <v>484</v>
      </c>
      <c r="U161" s="681">
        <v>15</v>
      </c>
      <c r="V161" s="680">
        <v>14.26</v>
      </c>
      <c r="W161" s="680" t="s">
        <v>497</v>
      </c>
      <c r="X161" s="680" t="s">
        <v>485</v>
      </c>
      <c r="Y161" s="680" t="s">
        <v>484</v>
      </c>
      <c r="Z161" s="680" t="s">
        <v>483</v>
      </c>
      <c r="AA161" s="680">
        <f>+U161*G161</f>
        <v>15720</v>
      </c>
      <c r="AB161" s="680">
        <f>+U161*H161</f>
        <v>39285</v>
      </c>
      <c r="AC161" s="680">
        <f>+U161*I161</f>
        <v>4050</v>
      </c>
      <c r="AD161" s="680">
        <f>+U161*J161</f>
        <v>10125</v>
      </c>
      <c r="AE161" s="680">
        <f>+U161*K161</f>
        <v>0</v>
      </c>
      <c r="AF161" s="680">
        <f>+U161*L161</f>
        <v>0</v>
      </c>
      <c r="AG161" s="680">
        <f>+U161*M161</f>
        <v>0</v>
      </c>
      <c r="AH161" s="680">
        <f>+U161*N161</f>
        <v>0</v>
      </c>
      <c r="AI161" s="681">
        <f>+U161*O161</f>
        <v>19770</v>
      </c>
      <c r="AJ161" s="681">
        <f>+U161*P161</f>
        <v>49410</v>
      </c>
    </row>
    <row r="162" spans="1:36" hidden="1">
      <c r="A162" s="680">
        <v>2212004023</v>
      </c>
      <c r="B162" s="680" t="s">
        <v>28</v>
      </c>
      <c r="C162" s="680" t="s">
        <v>491</v>
      </c>
      <c r="D162" s="680" t="s">
        <v>490</v>
      </c>
      <c r="E162" s="680" t="s">
        <v>489</v>
      </c>
      <c r="F162" s="680" t="s">
        <v>488</v>
      </c>
      <c r="G162" s="680">
        <v>53</v>
      </c>
      <c r="H162" s="680">
        <v>132</v>
      </c>
      <c r="I162" s="680">
        <v>0</v>
      </c>
      <c r="J162" s="680">
        <v>0</v>
      </c>
      <c r="K162" s="680">
        <v>0</v>
      </c>
      <c r="L162" s="680">
        <v>0</v>
      </c>
      <c r="M162" s="680">
        <v>0</v>
      </c>
      <c r="N162" s="680">
        <v>0</v>
      </c>
      <c r="O162" s="680">
        <f>+G162+I162+K162+M162</f>
        <v>53</v>
      </c>
      <c r="P162" s="680">
        <f>+H162+J162+L162+N162</f>
        <v>132</v>
      </c>
      <c r="Q162" s="680" t="s">
        <v>498</v>
      </c>
      <c r="R162" s="680" t="s">
        <v>494</v>
      </c>
      <c r="S162" s="680" t="s">
        <v>6</v>
      </c>
      <c r="T162" s="680" t="s">
        <v>484</v>
      </c>
      <c r="U162" s="681">
        <v>18</v>
      </c>
      <c r="V162" s="680">
        <v>20.78</v>
      </c>
      <c r="W162" s="680" t="s">
        <v>497</v>
      </c>
      <c r="X162" s="680" t="s">
        <v>485</v>
      </c>
      <c r="Y162" s="680" t="s">
        <v>484</v>
      </c>
      <c r="Z162" s="680" t="s">
        <v>483</v>
      </c>
      <c r="AA162" s="680">
        <f>+U162*G162</f>
        <v>954</v>
      </c>
      <c r="AB162" s="680">
        <f>+U162*H162</f>
        <v>2376</v>
      </c>
      <c r="AC162" s="680">
        <f>+U162*I162</f>
        <v>0</v>
      </c>
      <c r="AD162" s="680">
        <f>+U162*J162</f>
        <v>0</v>
      </c>
      <c r="AE162" s="680">
        <f>+U162*K162</f>
        <v>0</v>
      </c>
      <c r="AF162" s="680">
        <f>+U162*L162</f>
        <v>0</v>
      </c>
      <c r="AG162" s="680">
        <f>+U162*M162</f>
        <v>0</v>
      </c>
      <c r="AH162" s="680">
        <f>+U162*N162</f>
        <v>0</v>
      </c>
      <c r="AI162" s="681">
        <f>+U162*O162</f>
        <v>954</v>
      </c>
      <c r="AJ162" s="681">
        <f>+U162*P162</f>
        <v>2376</v>
      </c>
    </row>
    <row r="163" spans="1:36" hidden="1">
      <c r="A163" s="680">
        <v>2212004025</v>
      </c>
      <c r="B163" s="680" t="s">
        <v>29</v>
      </c>
      <c r="C163" s="680" t="s">
        <v>491</v>
      </c>
      <c r="D163" s="680" t="s">
        <v>490</v>
      </c>
      <c r="E163" s="680" t="s">
        <v>489</v>
      </c>
      <c r="F163" s="680" t="s">
        <v>488</v>
      </c>
      <c r="G163" s="680">
        <v>130</v>
      </c>
      <c r="H163" s="680">
        <v>324</v>
      </c>
      <c r="I163" s="680">
        <v>0</v>
      </c>
      <c r="J163" s="680">
        <v>0</v>
      </c>
      <c r="K163" s="680">
        <v>0</v>
      </c>
      <c r="L163" s="680">
        <v>0</v>
      </c>
      <c r="M163" s="680">
        <v>10</v>
      </c>
      <c r="N163" s="680">
        <v>25</v>
      </c>
      <c r="O163" s="680">
        <f>+G163+I163+K163+M163</f>
        <v>140</v>
      </c>
      <c r="P163" s="680">
        <f>+H163+J163+L163+N163</f>
        <v>349</v>
      </c>
      <c r="Q163" s="680" t="s">
        <v>498</v>
      </c>
      <c r="R163" s="680" t="s">
        <v>494</v>
      </c>
      <c r="S163" s="680" t="s">
        <v>6</v>
      </c>
      <c r="T163" s="680" t="s">
        <v>484</v>
      </c>
      <c r="U163" s="681">
        <v>20</v>
      </c>
      <c r="V163" s="680">
        <v>27.17</v>
      </c>
      <c r="W163" s="680" t="s">
        <v>497</v>
      </c>
      <c r="X163" s="680" t="s">
        <v>485</v>
      </c>
      <c r="Y163" s="680" t="s">
        <v>484</v>
      </c>
      <c r="Z163" s="680" t="s">
        <v>483</v>
      </c>
      <c r="AA163" s="680">
        <f>+U163*G163</f>
        <v>2600</v>
      </c>
      <c r="AB163" s="680">
        <f>+U163*H163</f>
        <v>6480</v>
      </c>
      <c r="AC163" s="680">
        <f>+U163*I163</f>
        <v>0</v>
      </c>
      <c r="AD163" s="680">
        <f>+U163*J163</f>
        <v>0</v>
      </c>
      <c r="AE163" s="680">
        <f>+U163*K163</f>
        <v>0</v>
      </c>
      <c r="AF163" s="680">
        <f>+U163*L163</f>
        <v>0</v>
      </c>
      <c r="AG163" s="680">
        <f>+U163*M163</f>
        <v>200</v>
      </c>
      <c r="AH163" s="680">
        <f>+U163*N163</f>
        <v>500</v>
      </c>
      <c r="AI163" s="681">
        <f>+U163*O163</f>
        <v>2800</v>
      </c>
      <c r="AJ163" s="681">
        <f>+U163*P163</f>
        <v>6980</v>
      </c>
    </row>
    <row r="164" spans="1:36" hidden="1">
      <c r="A164" s="680">
        <v>2212004028</v>
      </c>
      <c r="B164" s="680" t="s">
        <v>30</v>
      </c>
      <c r="C164" s="680" t="s">
        <v>491</v>
      </c>
      <c r="D164" s="680" t="s">
        <v>490</v>
      </c>
      <c r="E164" s="680" t="s">
        <v>489</v>
      </c>
      <c r="F164" s="680" t="s">
        <v>488</v>
      </c>
      <c r="G164" s="680">
        <v>60</v>
      </c>
      <c r="H164" s="680">
        <v>150</v>
      </c>
      <c r="I164" s="680">
        <v>0</v>
      </c>
      <c r="J164" s="680">
        <v>0</v>
      </c>
      <c r="K164" s="680">
        <v>0</v>
      </c>
      <c r="L164" s="680">
        <v>0</v>
      </c>
      <c r="M164" s="680">
        <v>0</v>
      </c>
      <c r="N164" s="680">
        <v>0</v>
      </c>
      <c r="O164" s="680">
        <f>+G164+I164+K164+M164</f>
        <v>60</v>
      </c>
      <c r="P164" s="680">
        <f>+H164+J164+L164+N164</f>
        <v>150</v>
      </c>
      <c r="Q164" s="680" t="s">
        <v>498</v>
      </c>
      <c r="R164" s="680" t="s">
        <v>494</v>
      </c>
      <c r="S164" s="680" t="s">
        <v>6</v>
      </c>
      <c r="T164" s="680" t="s">
        <v>484</v>
      </c>
      <c r="U164" s="681">
        <v>25</v>
      </c>
      <c r="V164" s="680">
        <v>29.25</v>
      </c>
      <c r="W164" s="680" t="s">
        <v>497</v>
      </c>
      <c r="X164" s="680" t="s">
        <v>485</v>
      </c>
      <c r="Y164" s="680" t="s">
        <v>484</v>
      </c>
      <c r="Z164" s="680" t="s">
        <v>483</v>
      </c>
      <c r="AA164" s="680">
        <f>+U164*G164</f>
        <v>1500</v>
      </c>
      <c r="AB164" s="680">
        <f>+U164*H164</f>
        <v>3750</v>
      </c>
      <c r="AC164" s="680">
        <f>+U164*I164</f>
        <v>0</v>
      </c>
      <c r="AD164" s="680">
        <f>+U164*J164</f>
        <v>0</v>
      </c>
      <c r="AE164" s="680">
        <f>+U164*K164</f>
        <v>0</v>
      </c>
      <c r="AF164" s="680">
        <f>+U164*L164</f>
        <v>0</v>
      </c>
      <c r="AG164" s="680">
        <f>+U164*M164</f>
        <v>0</v>
      </c>
      <c r="AH164" s="680">
        <f>+U164*N164</f>
        <v>0</v>
      </c>
      <c r="AI164" s="681">
        <f>+U164*O164</f>
        <v>1500</v>
      </c>
      <c r="AJ164" s="681">
        <f>+U164*P164</f>
        <v>3750</v>
      </c>
    </row>
    <row r="165" spans="1:36" hidden="1">
      <c r="A165" s="680">
        <v>2212004029</v>
      </c>
      <c r="B165" s="680" t="s">
        <v>31</v>
      </c>
      <c r="C165" s="680" t="s">
        <v>491</v>
      </c>
      <c r="D165" s="680" t="s">
        <v>490</v>
      </c>
      <c r="E165" s="680" t="s">
        <v>489</v>
      </c>
      <c r="F165" s="680" t="s">
        <v>488</v>
      </c>
      <c r="G165" s="680">
        <v>428</v>
      </c>
      <c r="H165" s="680">
        <v>1068</v>
      </c>
      <c r="I165" s="680">
        <v>0</v>
      </c>
      <c r="J165" s="680">
        <v>0</v>
      </c>
      <c r="K165" s="680">
        <v>0</v>
      </c>
      <c r="L165" s="680">
        <v>0</v>
      </c>
      <c r="M165" s="680">
        <v>12</v>
      </c>
      <c r="N165" s="680">
        <v>30</v>
      </c>
      <c r="O165" s="680">
        <f>+G165+I165+K165+M165</f>
        <v>440</v>
      </c>
      <c r="P165" s="680">
        <f>+H165+J165+L165+N165</f>
        <v>1098</v>
      </c>
      <c r="Q165" s="680" t="s">
        <v>498</v>
      </c>
      <c r="R165" s="680" t="s">
        <v>494</v>
      </c>
      <c r="S165" s="680" t="s">
        <v>6</v>
      </c>
      <c r="T165" s="680" t="s">
        <v>484</v>
      </c>
      <c r="U165" s="681">
        <v>80</v>
      </c>
      <c r="V165" s="680">
        <v>98.7</v>
      </c>
      <c r="W165" s="680" t="s">
        <v>497</v>
      </c>
      <c r="X165" s="680" t="s">
        <v>485</v>
      </c>
      <c r="Y165" s="680" t="s">
        <v>484</v>
      </c>
      <c r="Z165" s="680" t="s">
        <v>483</v>
      </c>
      <c r="AA165" s="680">
        <f>+U165*G165</f>
        <v>34240</v>
      </c>
      <c r="AB165" s="680">
        <f>+U165*H165</f>
        <v>85440</v>
      </c>
      <c r="AC165" s="680">
        <f>+U165*I165</f>
        <v>0</v>
      </c>
      <c r="AD165" s="680">
        <f>+U165*J165</f>
        <v>0</v>
      </c>
      <c r="AE165" s="680">
        <f>+U165*K165</f>
        <v>0</v>
      </c>
      <c r="AF165" s="680">
        <f>+U165*L165</f>
        <v>0</v>
      </c>
      <c r="AG165" s="680">
        <f>+U165*M165</f>
        <v>960</v>
      </c>
      <c r="AH165" s="680">
        <f>+U165*N165</f>
        <v>2400</v>
      </c>
      <c r="AI165" s="681">
        <f>+U165*O165</f>
        <v>35200</v>
      </c>
      <c r="AJ165" s="681">
        <f>+U165*P165</f>
        <v>87840</v>
      </c>
    </row>
    <row r="166" spans="1:36" hidden="1">
      <c r="A166" s="680">
        <v>2212004030</v>
      </c>
      <c r="B166" s="680" t="s">
        <v>32</v>
      </c>
      <c r="C166" s="680" t="s">
        <v>491</v>
      </c>
      <c r="D166" s="680" t="s">
        <v>490</v>
      </c>
      <c r="E166" s="680" t="s">
        <v>489</v>
      </c>
      <c r="F166" s="680" t="s">
        <v>488</v>
      </c>
      <c r="G166" s="680">
        <v>284</v>
      </c>
      <c r="H166" s="680">
        <v>708</v>
      </c>
      <c r="I166" s="680">
        <v>1520</v>
      </c>
      <c r="J166" s="680">
        <v>3800</v>
      </c>
      <c r="K166" s="680">
        <v>0</v>
      </c>
      <c r="L166" s="680">
        <v>0</v>
      </c>
      <c r="M166" s="680">
        <v>0</v>
      </c>
      <c r="N166" s="680">
        <v>0</v>
      </c>
      <c r="O166" s="680">
        <f>+G166+I166+K166+M166</f>
        <v>1804</v>
      </c>
      <c r="P166" s="680">
        <f>+H166+J166+L166+N166</f>
        <v>4508</v>
      </c>
      <c r="Q166" s="680" t="s">
        <v>498</v>
      </c>
      <c r="R166" s="680" t="s">
        <v>494</v>
      </c>
      <c r="S166" s="680" t="s">
        <v>6</v>
      </c>
      <c r="T166" s="680" t="s">
        <v>484</v>
      </c>
      <c r="U166" s="681">
        <v>80</v>
      </c>
      <c r="V166" s="680">
        <v>92.94</v>
      </c>
      <c r="W166" s="680" t="s">
        <v>497</v>
      </c>
      <c r="X166" s="680" t="s">
        <v>485</v>
      </c>
      <c r="Y166" s="680" t="s">
        <v>484</v>
      </c>
      <c r="Z166" s="680" t="s">
        <v>483</v>
      </c>
      <c r="AA166" s="680">
        <f>+U166*G166</f>
        <v>22720</v>
      </c>
      <c r="AB166" s="680">
        <f>+U166*H166</f>
        <v>56640</v>
      </c>
      <c r="AC166" s="680">
        <f>+U166*I166</f>
        <v>121600</v>
      </c>
      <c r="AD166" s="680">
        <f>+U166*J166</f>
        <v>304000</v>
      </c>
      <c r="AE166" s="680">
        <f>+U166*K166</f>
        <v>0</v>
      </c>
      <c r="AF166" s="680">
        <f>+U166*L166</f>
        <v>0</v>
      </c>
      <c r="AG166" s="680">
        <f>+U166*M166</f>
        <v>0</v>
      </c>
      <c r="AH166" s="680">
        <f>+U166*N166</f>
        <v>0</v>
      </c>
      <c r="AI166" s="681">
        <f>+U166*O166</f>
        <v>144320</v>
      </c>
      <c r="AJ166" s="681">
        <f>+U166*P166</f>
        <v>360640</v>
      </c>
    </row>
    <row r="167" spans="1:36" hidden="1">
      <c r="A167" s="680">
        <v>2212004031</v>
      </c>
      <c r="B167" s="680" t="s">
        <v>33</v>
      </c>
      <c r="C167" s="680" t="s">
        <v>491</v>
      </c>
      <c r="D167" s="680" t="s">
        <v>490</v>
      </c>
      <c r="E167" s="680" t="s">
        <v>489</v>
      </c>
      <c r="F167" s="680" t="s">
        <v>488</v>
      </c>
      <c r="G167" s="680">
        <v>12</v>
      </c>
      <c r="H167" s="680">
        <v>30</v>
      </c>
      <c r="I167" s="680">
        <v>0</v>
      </c>
      <c r="J167" s="680">
        <v>0</v>
      </c>
      <c r="K167" s="680">
        <v>0</v>
      </c>
      <c r="L167" s="680">
        <v>0</v>
      </c>
      <c r="M167" s="680">
        <v>0</v>
      </c>
      <c r="N167" s="680">
        <v>0</v>
      </c>
      <c r="O167" s="680">
        <f>+G167+I167+K167+M167</f>
        <v>12</v>
      </c>
      <c r="P167" s="680">
        <f>+H167+J167+L167+N167</f>
        <v>30</v>
      </c>
      <c r="Q167" s="680" t="s">
        <v>498</v>
      </c>
      <c r="R167" s="680" t="s">
        <v>494</v>
      </c>
      <c r="S167" s="680" t="s">
        <v>6</v>
      </c>
      <c r="T167" s="680" t="s">
        <v>484</v>
      </c>
      <c r="U167" s="681">
        <v>20</v>
      </c>
      <c r="V167" s="680">
        <v>27.17</v>
      </c>
      <c r="W167" s="680" t="s">
        <v>497</v>
      </c>
      <c r="X167" s="680" t="s">
        <v>485</v>
      </c>
      <c r="Y167" s="680" t="s">
        <v>484</v>
      </c>
      <c r="Z167" s="680" t="s">
        <v>483</v>
      </c>
      <c r="AA167" s="680">
        <f>+U167*G167</f>
        <v>240</v>
      </c>
      <c r="AB167" s="680">
        <f>+U167*H167</f>
        <v>600</v>
      </c>
      <c r="AC167" s="680">
        <f>+U167*I167</f>
        <v>0</v>
      </c>
      <c r="AD167" s="680">
        <f>+U167*J167</f>
        <v>0</v>
      </c>
      <c r="AE167" s="680">
        <f>+U167*K167</f>
        <v>0</v>
      </c>
      <c r="AF167" s="680">
        <f>+U167*L167</f>
        <v>0</v>
      </c>
      <c r="AG167" s="680">
        <f>+U167*M167</f>
        <v>0</v>
      </c>
      <c r="AH167" s="680">
        <f>+U167*N167</f>
        <v>0</v>
      </c>
      <c r="AI167" s="681">
        <f>+U167*O167</f>
        <v>240</v>
      </c>
      <c r="AJ167" s="681">
        <f>+U167*P167</f>
        <v>600</v>
      </c>
    </row>
    <row r="168" spans="1:36" hidden="1">
      <c r="A168" s="680">
        <v>2212004032</v>
      </c>
      <c r="B168" s="680" t="s">
        <v>34</v>
      </c>
      <c r="C168" s="680" t="s">
        <v>491</v>
      </c>
      <c r="D168" s="680" t="s">
        <v>490</v>
      </c>
      <c r="E168" s="680" t="s">
        <v>489</v>
      </c>
      <c r="F168" s="680" t="s">
        <v>488</v>
      </c>
      <c r="G168" s="680">
        <v>3</v>
      </c>
      <c r="H168" s="680">
        <v>6</v>
      </c>
      <c r="I168" s="680">
        <v>6</v>
      </c>
      <c r="J168" s="680">
        <v>13</v>
      </c>
      <c r="K168" s="680">
        <v>0</v>
      </c>
      <c r="L168" s="680">
        <v>0</v>
      </c>
      <c r="M168" s="680">
        <v>0</v>
      </c>
      <c r="N168" s="680">
        <v>0</v>
      </c>
      <c r="O168" s="680">
        <f>+G168+I168+K168+M168</f>
        <v>9</v>
      </c>
      <c r="P168" s="680">
        <f>+H168+J168+L168+N168</f>
        <v>19</v>
      </c>
      <c r="Q168" s="680" t="s">
        <v>517</v>
      </c>
      <c r="R168" s="680" t="s">
        <v>517</v>
      </c>
      <c r="S168" s="680" t="s">
        <v>6</v>
      </c>
      <c r="T168" s="680" t="s">
        <v>484</v>
      </c>
      <c r="U168" s="681">
        <v>150</v>
      </c>
      <c r="V168" s="680">
        <v>163</v>
      </c>
      <c r="W168" s="680" t="s">
        <v>500</v>
      </c>
      <c r="X168" s="680" t="s">
        <v>485</v>
      </c>
      <c r="Y168" s="680" t="s">
        <v>484</v>
      </c>
      <c r="Z168" s="680" t="s">
        <v>483</v>
      </c>
      <c r="AA168" s="680">
        <f>+U168*G168</f>
        <v>450</v>
      </c>
      <c r="AB168" s="680">
        <f>+U168*H168</f>
        <v>900</v>
      </c>
      <c r="AC168" s="680">
        <f>+U168*I168</f>
        <v>900</v>
      </c>
      <c r="AD168" s="680">
        <f>+U168*J168</f>
        <v>1950</v>
      </c>
      <c r="AE168" s="680">
        <f>+U168*K168</f>
        <v>0</v>
      </c>
      <c r="AF168" s="680">
        <f>+U168*L168</f>
        <v>0</v>
      </c>
      <c r="AG168" s="680">
        <f>+U168*M168</f>
        <v>0</v>
      </c>
      <c r="AH168" s="680">
        <f>+U168*N168</f>
        <v>0</v>
      </c>
      <c r="AI168" s="681">
        <f>+U168*O168</f>
        <v>1350</v>
      </c>
      <c r="AJ168" s="681">
        <f>+U168*P168</f>
        <v>2850</v>
      </c>
    </row>
    <row r="169" spans="1:36" hidden="1">
      <c r="A169" s="680">
        <v>2212004035</v>
      </c>
      <c r="B169" s="680" t="s">
        <v>36</v>
      </c>
      <c r="C169" s="680" t="s">
        <v>491</v>
      </c>
      <c r="D169" s="680" t="s">
        <v>490</v>
      </c>
      <c r="E169" s="680" t="s">
        <v>489</v>
      </c>
      <c r="F169" s="680" t="s">
        <v>488</v>
      </c>
      <c r="G169" s="680">
        <v>5</v>
      </c>
      <c r="H169" s="680">
        <v>12</v>
      </c>
      <c r="I169" s="680">
        <v>0</v>
      </c>
      <c r="J169" s="680">
        <v>0</v>
      </c>
      <c r="K169" s="680">
        <v>0</v>
      </c>
      <c r="L169" s="680">
        <v>0</v>
      </c>
      <c r="M169" s="680">
        <v>0</v>
      </c>
      <c r="N169" s="680">
        <v>0</v>
      </c>
      <c r="O169" s="680">
        <f>+G169+I169+K169+M169</f>
        <v>5</v>
      </c>
      <c r="P169" s="680">
        <f>+H169+J169+L169+N169</f>
        <v>12</v>
      </c>
      <c r="Q169" s="680" t="s">
        <v>498</v>
      </c>
      <c r="R169" s="680" t="s">
        <v>494</v>
      </c>
      <c r="S169" s="680" t="s">
        <v>6</v>
      </c>
      <c r="T169" s="680" t="s">
        <v>484</v>
      </c>
      <c r="U169" s="681">
        <v>17</v>
      </c>
      <c r="V169" s="680">
        <v>32.5</v>
      </c>
      <c r="W169" s="680" t="s">
        <v>497</v>
      </c>
      <c r="X169" s="680" t="s">
        <v>485</v>
      </c>
      <c r="Y169" s="680" t="s">
        <v>484</v>
      </c>
      <c r="Z169" s="680" t="s">
        <v>483</v>
      </c>
      <c r="AA169" s="680">
        <f>+U169*G169</f>
        <v>85</v>
      </c>
      <c r="AB169" s="680">
        <f>+U169*H169</f>
        <v>204</v>
      </c>
      <c r="AC169" s="680">
        <f>+U169*I169</f>
        <v>0</v>
      </c>
      <c r="AD169" s="680">
        <f>+U169*J169</f>
        <v>0</v>
      </c>
      <c r="AE169" s="680">
        <f>+U169*K169</f>
        <v>0</v>
      </c>
      <c r="AF169" s="680">
        <f>+U169*L169</f>
        <v>0</v>
      </c>
      <c r="AG169" s="680">
        <f>+U169*M169</f>
        <v>0</v>
      </c>
      <c r="AH169" s="680">
        <f>+U169*N169</f>
        <v>0</v>
      </c>
      <c r="AI169" s="681">
        <f>+U169*O169</f>
        <v>85</v>
      </c>
      <c r="AJ169" s="681">
        <f>+U169*P169</f>
        <v>204</v>
      </c>
    </row>
    <row r="170" spans="1:36" hidden="1">
      <c r="A170" s="680">
        <v>2212004041</v>
      </c>
      <c r="B170" s="680" t="s">
        <v>199</v>
      </c>
      <c r="C170" s="680" t="s">
        <v>510</v>
      </c>
      <c r="D170" s="680" t="s">
        <v>509</v>
      </c>
      <c r="E170" s="680" t="s">
        <v>489</v>
      </c>
      <c r="F170" s="680" t="s">
        <v>488</v>
      </c>
      <c r="G170" s="680">
        <v>3</v>
      </c>
      <c r="H170" s="680">
        <v>6</v>
      </c>
      <c r="I170" s="680">
        <v>0</v>
      </c>
      <c r="J170" s="680">
        <v>0</v>
      </c>
      <c r="K170" s="680">
        <v>0</v>
      </c>
      <c r="L170" s="680">
        <v>0</v>
      </c>
      <c r="M170" s="680">
        <v>0</v>
      </c>
      <c r="N170" s="680">
        <v>0</v>
      </c>
      <c r="O170" s="680">
        <f>+G170+I170+K170+M170</f>
        <v>3</v>
      </c>
      <c r="P170" s="680">
        <f>+H170+J170+L170+N170</f>
        <v>6</v>
      </c>
      <c r="Q170" s="680" t="s">
        <v>532</v>
      </c>
      <c r="R170" s="680" t="s">
        <v>531</v>
      </c>
      <c r="S170" s="680" t="s">
        <v>6</v>
      </c>
      <c r="T170" s="680" t="s">
        <v>484</v>
      </c>
      <c r="U170" s="681">
        <v>19</v>
      </c>
      <c r="V170" s="680">
        <v>10.97</v>
      </c>
      <c r="W170" s="680" t="s">
        <v>530</v>
      </c>
      <c r="X170" s="680" t="s">
        <v>485</v>
      </c>
      <c r="Y170" s="680" t="s">
        <v>484</v>
      </c>
      <c r="Z170" s="680" t="s">
        <v>483</v>
      </c>
      <c r="AA170" s="680">
        <f>+U170*G170</f>
        <v>57</v>
      </c>
      <c r="AB170" s="680">
        <f>+U170*H170</f>
        <v>114</v>
      </c>
      <c r="AC170" s="680">
        <f>+U170*I170</f>
        <v>0</v>
      </c>
      <c r="AD170" s="680">
        <f>+U170*J170</f>
        <v>0</v>
      </c>
      <c r="AE170" s="680">
        <f>+U170*K170</f>
        <v>0</v>
      </c>
      <c r="AF170" s="680">
        <f>+U170*L170</f>
        <v>0</v>
      </c>
      <c r="AG170" s="680">
        <f>+U170*M170</f>
        <v>0</v>
      </c>
      <c r="AH170" s="680">
        <f>+U170*N170</f>
        <v>0</v>
      </c>
      <c r="AI170" s="681">
        <f>+U170*O170</f>
        <v>57</v>
      </c>
      <c r="AJ170" s="681">
        <f>+U170*P170</f>
        <v>114</v>
      </c>
    </row>
    <row r="171" spans="1:36" hidden="1">
      <c r="A171" s="680">
        <v>2212004044</v>
      </c>
      <c r="B171" s="680" t="s">
        <v>591</v>
      </c>
      <c r="C171" s="680" t="s">
        <v>491</v>
      </c>
      <c r="D171" s="680" t="s">
        <v>490</v>
      </c>
      <c r="E171" s="680" t="s">
        <v>489</v>
      </c>
      <c r="F171" s="680" t="s">
        <v>488</v>
      </c>
      <c r="G171" s="680">
        <v>0</v>
      </c>
      <c r="H171" s="680">
        <v>0</v>
      </c>
      <c r="I171" s="680">
        <v>9</v>
      </c>
      <c r="J171" s="680">
        <v>22</v>
      </c>
      <c r="K171" s="680">
        <v>0</v>
      </c>
      <c r="L171" s="680">
        <v>0</v>
      </c>
      <c r="M171" s="680">
        <v>0</v>
      </c>
      <c r="N171" s="680">
        <v>0</v>
      </c>
      <c r="O171" s="680">
        <f>+G171+I171+K171+M171</f>
        <v>9</v>
      </c>
      <c r="P171" s="680">
        <f>+H171+J171+L171+N171</f>
        <v>22</v>
      </c>
      <c r="Q171" s="680" t="s">
        <v>498</v>
      </c>
      <c r="R171" s="680" t="s">
        <v>494</v>
      </c>
      <c r="S171" s="680" t="s">
        <v>42</v>
      </c>
      <c r="T171" s="680" t="s">
        <v>484</v>
      </c>
      <c r="U171" s="681">
        <v>20</v>
      </c>
      <c r="V171" s="680">
        <v>21.87</v>
      </c>
      <c r="W171" s="680" t="s">
        <v>497</v>
      </c>
      <c r="X171" s="680" t="s">
        <v>485</v>
      </c>
      <c r="Y171" s="680" t="s">
        <v>484</v>
      </c>
      <c r="Z171" s="680" t="s">
        <v>483</v>
      </c>
      <c r="AA171" s="680">
        <f>+U171*G171</f>
        <v>0</v>
      </c>
      <c r="AB171" s="680">
        <f>+U171*H171</f>
        <v>0</v>
      </c>
      <c r="AC171" s="680">
        <f>+U171*I171</f>
        <v>180</v>
      </c>
      <c r="AD171" s="680">
        <f>+U171*J171</f>
        <v>440</v>
      </c>
      <c r="AE171" s="680">
        <f>+U171*K171</f>
        <v>0</v>
      </c>
      <c r="AF171" s="680">
        <f>+U171*L171</f>
        <v>0</v>
      </c>
      <c r="AG171" s="680">
        <f>+U171*M171</f>
        <v>0</v>
      </c>
      <c r="AH171" s="680">
        <f>+U171*N171</f>
        <v>0</v>
      </c>
      <c r="AI171" s="681">
        <f>+U171*O171</f>
        <v>180</v>
      </c>
      <c r="AJ171" s="681">
        <f>+U171*P171</f>
        <v>440</v>
      </c>
    </row>
    <row r="172" spans="1:36" hidden="1">
      <c r="A172" s="680">
        <v>2212004045</v>
      </c>
      <c r="B172" s="680" t="s">
        <v>233</v>
      </c>
      <c r="C172" s="680" t="s">
        <v>510</v>
      </c>
      <c r="D172" s="680" t="s">
        <v>509</v>
      </c>
      <c r="E172" s="680" t="s">
        <v>489</v>
      </c>
      <c r="F172" s="680" t="s">
        <v>488</v>
      </c>
      <c r="G172" s="680">
        <v>24</v>
      </c>
      <c r="H172" s="680">
        <v>60</v>
      </c>
      <c r="I172" s="680">
        <v>0</v>
      </c>
      <c r="J172" s="680">
        <v>0</v>
      </c>
      <c r="K172" s="680">
        <v>0</v>
      </c>
      <c r="L172" s="680">
        <v>0</v>
      </c>
      <c r="M172" s="680">
        <v>0</v>
      </c>
      <c r="N172" s="680">
        <v>0</v>
      </c>
      <c r="O172" s="680">
        <f>+G172+I172+K172+M172</f>
        <v>24</v>
      </c>
      <c r="P172" s="680">
        <f>+H172+J172+L172+N172</f>
        <v>60</v>
      </c>
      <c r="Q172" s="680" t="s">
        <v>532</v>
      </c>
      <c r="R172" s="680" t="s">
        <v>531</v>
      </c>
      <c r="S172" s="680" t="s">
        <v>6</v>
      </c>
      <c r="T172" s="680" t="s">
        <v>484</v>
      </c>
      <c r="U172" s="681">
        <v>19</v>
      </c>
      <c r="V172" s="680">
        <v>21.74</v>
      </c>
      <c r="W172" s="680" t="s">
        <v>530</v>
      </c>
      <c r="X172" s="680" t="s">
        <v>485</v>
      </c>
      <c r="Y172" s="680" t="s">
        <v>484</v>
      </c>
      <c r="Z172" s="680" t="s">
        <v>483</v>
      </c>
      <c r="AA172" s="680">
        <f>+U172*G172</f>
        <v>456</v>
      </c>
      <c r="AB172" s="680">
        <f>+U172*H172</f>
        <v>1140</v>
      </c>
      <c r="AC172" s="680">
        <f>+U172*I172</f>
        <v>0</v>
      </c>
      <c r="AD172" s="680">
        <f>+U172*J172</f>
        <v>0</v>
      </c>
      <c r="AE172" s="680">
        <f>+U172*K172</f>
        <v>0</v>
      </c>
      <c r="AF172" s="680">
        <f>+U172*L172</f>
        <v>0</v>
      </c>
      <c r="AG172" s="680">
        <f>+U172*M172</f>
        <v>0</v>
      </c>
      <c r="AH172" s="680">
        <f>+U172*N172</f>
        <v>0</v>
      </c>
      <c r="AI172" s="681">
        <f>+U172*O172</f>
        <v>456</v>
      </c>
      <c r="AJ172" s="681">
        <f>+U172*P172</f>
        <v>1140</v>
      </c>
    </row>
    <row r="173" spans="1:36" hidden="1">
      <c r="A173" s="680">
        <v>2212005001</v>
      </c>
      <c r="B173" s="680" t="s">
        <v>590</v>
      </c>
      <c r="C173" s="680" t="s">
        <v>491</v>
      </c>
      <c r="D173" s="680" t="s">
        <v>490</v>
      </c>
      <c r="E173" s="680" t="s">
        <v>489</v>
      </c>
      <c r="F173" s="680" t="s">
        <v>488</v>
      </c>
      <c r="G173" s="680">
        <v>0</v>
      </c>
      <c r="H173" s="680">
        <v>0</v>
      </c>
      <c r="I173" s="680">
        <v>120</v>
      </c>
      <c r="J173" s="680">
        <v>300</v>
      </c>
      <c r="K173" s="680">
        <v>0</v>
      </c>
      <c r="L173" s="680">
        <v>0</v>
      </c>
      <c r="M173" s="680">
        <v>0</v>
      </c>
      <c r="N173" s="680">
        <v>0</v>
      </c>
      <c r="O173" s="680">
        <f>+G173+I173+K173+M173</f>
        <v>120</v>
      </c>
      <c r="P173" s="680">
        <f>+H173+J173+L173+N173</f>
        <v>300</v>
      </c>
      <c r="Q173" s="680" t="s">
        <v>587</v>
      </c>
      <c r="R173" s="680" t="s">
        <v>587</v>
      </c>
      <c r="S173" s="680" t="s">
        <v>8</v>
      </c>
      <c r="T173" s="680" t="s">
        <v>484</v>
      </c>
      <c r="U173" s="681">
        <v>12</v>
      </c>
      <c r="V173" s="680">
        <v>11.96</v>
      </c>
      <c r="W173" s="680" t="s">
        <v>563</v>
      </c>
      <c r="X173" s="680" t="s">
        <v>485</v>
      </c>
      <c r="Y173" s="680" t="s">
        <v>484</v>
      </c>
      <c r="Z173" s="680" t="s">
        <v>483</v>
      </c>
      <c r="AA173" s="680">
        <f>+U173*G173</f>
        <v>0</v>
      </c>
      <c r="AB173" s="680">
        <f>+U173*H173</f>
        <v>0</v>
      </c>
      <c r="AC173" s="680">
        <f>+U173*I173</f>
        <v>1440</v>
      </c>
      <c r="AD173" s="680">
        <f>+U173*J173</f>
        <v>3600</v>
      </c>
      <c r="AE173" s="680">
        <f>+U173*K173</f>
        <v>0</v>
      </c>
      <c r="AF173" s="680">
        <f>+U173*L173</f>
        <v>0</v>
      </c>
      <c r="AG173" s="680">
        <f>+U173*M173</f>
        <v>0</v>
      </c>
      <c r="AH173" s="680">
        <f>+U173*N173</f>
        <v>0</v>
      </c>
      <c r="AI173" s="681">
        <f>+U173*O173</f>
        <v>1440</v>
      </c>
      <c r="AJ173" s="681">
        <f>+U173*P173</f>
        <v>3600</v>
      </c>
    </row>
    <row r="174" spans="1:36" hidden="1">
      <c r="A174" s="680">
        <v>2212005002</v>
      </c>
      <c r="B174" s="680" t="s">
        <v>589</v>
      </c>
      <c r="C174" s="680" t="s">
        <v>491</v>
      </c>
      <c r="D174" s="680" t="s">
        <v>490</v>
      </c>
      <c r="E174" s="680" t="s">
        <v>489</v>
      </c>
      <c r="F174" s="680" t="s">
        <v>488</v>
      </c>
      <c r="G174" s="680">
        <v>0</v>
      </c>
      <c r="H174" s="680">
        <v>0</v>
      </c>
      <c r="I174" s="680">
        <v>72</v>
      </c>
      <c r="J174" s="680">
        <v>180</v>
      </c>
      <c r="K174" s="680">
        <v>0</v>
      </c>
      <c r="L174" s="680">
        <v>0</v>
      </c>
      <c r="M174" s="680">
        <v>0</v>
      </c>
      <c r="N174" s="680">
        <v>0</v>
      </c>
      <c r="O174" s="680">
        <f>+G174+I174+K174+M174</f>
        <v>72</v>
      </c>
      <c r="P174" s="680">
        <f>+H174+J174+L174+N174</f>
        <v>180</v>
      </c>
      <c r="Q174" s="680" t="s">
        <v>587</v>
      </c>
      <c r="R174" s="680" t="s">
        <v>587</v>
      </c>
      <c r="S174" s="680" t="s">
        <v>8</v>
      </c>
      <c r="T174" s="680" t="s">
        <v>484</v>
      </c>
      <c r="U174" s="681">
        <v>12</v>
      </c>
      <c r="V174" s="680">
        <v>11.92</v>
      </c>
      <c r="W174" s="680" t="s">
        <v>563</v>
      </c>
      <c r="X174" s="680" t="s">
        <v>485</v>
      </c>
      <c r="Y174" s="680" t="s">
        <v>484</v>
      </c>
      <c r="Z174" s="680" t="s">
        <v>483</v>
      </c>
      <c r="AA174" s="680">
        <f>+U174*G174</f>
        <v>0</v>
      </c>
      <c r="AB174" s="680">
        <f>+U174*H174</f>
        <v>0</v>
      </c>
      <c r="AC174" s="680">
        <f>+U174*I174</f>
        <v>864</v>
      </c>
      <c r="AD174" s="680">
        <f>+U174*J174</f>
        <v>2160</v>
      </c>
      <c r="AE174" s="680">
        <f>+U174*K174</f>
        <v>0</v>
      </c>
      <c r="AF174" s="680">
        <f>+U174*L174</f>
        <v>0</v>
      </c>
      <c r="AG174" s="680">
        <f>+U174*M174</f>
        <v>0</v>
      </c>
      <c r="AH174" s="680">
        <f>+U174*N174</f>
        <v>0</v>
      </c>
      <c r="AI174" s="681">
        <f>+U174*O174</f>
        <v>864</v>
      </c>
      <c r="AJ174" s="681">
        <f>+U174*P174</f>
        <v>2160</v>
      </c>
    </row>
    <row r="175" spans="1:36" hidden="1">
      <c r="A175" s="680">
        <v>2212005004</v>
      </c>
      <c r="B175" s="680" t="s">
        <v>588</v>
      </c>
      <c r="C175" s="680" t="s">
        <v>491</v>
      </c>
      <c r="D175" s="680" t="s">
        <v>490</v>
      </c>
      <c r="E175" s="680" t="s">
        <v>489</v>
      </c>
      <c r="F175" s="680" t="s">
        <v>488</v>
      </c>
      <c r="G175" s="680">
        <v>0</v>
      </c>
      <c r="H175" s="680">
        <v>0</v>
      </c>
      <c r="I175" s="680">
        <v>120</v>
      </c>
      <c r="J175" s="680">
        <v>300</v>
      </c>
      <c r="K175" s="680">
        <v>0</v>
      </c>
      <c r="L175" s="680">
        <v>0</v>
      </c>
      <c r="M175" s="680">
        <v>0</v>
      </c>
      <c r="N175" s="680">
        <v>0</v>
      </c>
      <c r="O175" s="680">
        <f>+G175+I175+K175+M175</f>
        <v>120</v>
      </c>
      <c r="P175" s="680">
        <f>+H175+J175+L175+N175</f>
        <v>300</v>
      </c>
      <c r="Q175" s="680" t="s">
        <v>587</v>
      </c>
      <c r="R175" s="680" t="s">
        <v>587</v>
      </c>
      <c r="S175" s="680" t="s">
        <v>8</v>
      </c>
      <c r="T175" s="680" t="s">
        <v>484</v>
      </c>
      <c r="U175" s="681">
        <v>12</v>
      </c>
      <c r="V175" s="680">
        <v>12.07</v>
      </c>
      <c r="W175" s="680" t="s">
        <v>563</v>
      </c>
      <c r="X175" s="680" t="s">
        <v>485</v>
      </c>
      <c r="Y175" s="680" t="s">
        <v>484</v>
      </c>
      <c r="Z175" s="680" t="s">
        <v>483</v>
      </c>
      <c r="AA175" s="680">
        <f>+U175*G175</f>
        <v>0</v>
      </c>
      <c r="AB175" s="680">
        <f>+U175*H175</f>
        <v>0</v>
      </c>
      <c r="AC175" s="680">
        <f>+U175*I175</f>
        <v>1440</v>
      </c>
      <c r="AD175" s="680">
        <f>+U175*J175</f>
        <v>3600</v>
      </c>
      <c r="AE175" s="680">
        <f>+U175*K175</f>
        <v>0</v>
      </c>
      <c r="AF175" s="680">
        <f>+U175*L175</f>
        <v>0</v>
      </c>
      <c r="AG175" s="680">
        <f>+U175*M175</f>
        <v>0</v>
      </c>
      <c r="AH175" s="680">
        <f>+U175*N175</f>
        <v>0</v>
      </c>
      <c r="AI175" s="681">
        <f>+U175*O175</f>
        <v>1440</v>
      </c>
      <c r="AJ175" s="681">
        <f>+U175*P175</f>
        <v>3600</v>
      </c>
    </row>
    <row r="176" spans="1:36" hidden="1">
      <c r="A176" s="680">
        <v>2212005007</v>
      </c>
      <c r="B176" s="680" t="s">
        <v>586</v>
      </c>
      <c r="C176" s="680" t="s">
        <v>491</v>
      </c>
      <c r="D176" s="680" t="s">
        <v>490</v>
      </c>
      <c r="E176" s="680" t="s">
        <v>489</v>
      </c>
      <c r="F176" s="680" t="s">
        <v>488</v>
      </c>
      <c r="G176" s="680">
        <v>65</v>
      </c>
      <c r="H176" s="680">
        <v>162</v>
      </c>
      <c r="I176" s="680">
        <v>0</v>
      </c>
      <c r="J176" s="680">
        <v>0</v>
      </c>
      <c r="K176" s="680">
        <v>0</v>
      </c>
      <c r="L176" s="680">
        <v>0</v>
      </c>
      <c r="M176" s="680">
        <v>0</v>
      </c>
      <c r="N176" s="680">
        <v>0</v>
      </c>
      <c r="O176" s="680">
        <f>+G176+I176+K176+M176</f>
        <v>65</v>
      </c>
      <c r="P176" s="680">
        <f>+H176+J176+L176+N176</f>
        <v>162</v>
      </c>
      <c r="Q176" s="680" t="s">
        <v>585</v>
      </c>
      <c r="R176" s="680" t="s">
        <v>585</v>
      </c>
      <c r="S176" s="680" t="s">
        <v>171</v>
      </c>
      <c r="T176" s="680" t="s">
        <v>484</v>
      </c>
      <c r="U176" s="681">
        <v>27</v>
      </c>
      <c r="V176" s="680">
        <v>22.96</v>
      </c>
      <c r="W176" s="680" t="s">
        <v>563</v>
      </c>
      <c r="X176" s="680" t="s">
        <v>485</v>
      </c>
      <c r="Y176" s="680" t="s">
        <v>484</v>
      </c>
      <c r="Z176" s="680" t="s">
        <v>483</v>
      </c>
      <c r="AA176" s="680">
        <f>+U176*G176</f>
        <v>1755</v>
      </c>
      <c r="AB176" s="680">
        <f>+U176*H176</f>
        <v>4374</v>
      </c>
      <c r="AC176" s="680">
        <f>+U176*I176</f>
        <v>0</v>
      </c>
      <c r="AD176" s="680">
        <f>+U176*J176</f>
        <v>0</v>
      </c>
      <c r="AE176" s="680">
        <f>+U176*K176</f>
        <v>0</v>
      </c>
      <c r="AF176" s="680">
        <f>+U176*L176</f>
        <v>0</v>
      </c>
      <c r="AG176" s="680">
        <f>+U176*M176</f>
        <v>0</v>
      </c>
      <c r="AH176" s="680">
        <f>+U176*N176</f>
        <v>0</v>
      </c>
      <c r="AI176" s="681">
        <f>+U176*O176</f>
        <v>1755</v>
      </c>
      <c r="AJ176" s="681">
        <f>+U176*P176</f>
        <v>4374</v>
      </c>
    </row>
    <row r="177" spans="1:36">
      <c r="A177" s="680">
        <v>2212005011</v>
      </c>
      <c r="B177" s="680" t="s">
        <v>584</v>
      </c>
      <c r="C177" s="680" t="s">
        <v>519</v>
      </c>
      <c r="D177" s="680" t="s">
        <v>518</v>
      </c>
      <c r="E177" s="680" t="s">
        <v>489</v>
      </c>
      <c r="F177" s="680" t="s">
        <v>488</v>
      </c>
      <c r="G177" s="680">
        <v>3</v>
      </c>
      <c r="H177" s="680">
        <v>6</v>
      </c>
      <c r="I177" s="680">
        <v>5</v>
      </c>
      <c r="J177" s="680">
        <v>11</v>
      </c>
      <c r="K177" s="680">
        <v>0</v>
      </c>
      <c r="L177" s="680">
        <v>0</v>
      </c>
      <c r="M177" s="680">
        <v>0</v>
      </c>
      <c r="N177" s="680">
        <v>0</v>
      </c>
      <c r="O177" s="680">
        <f>+G177+I177+K177+M177</f>
        <v>8</v>
      </c>
      <c r="P177" s="680">
        <f>+H177+J177+L177+N177</f>
        <v>17</v>
      </c>
      <c r="Q177" s="680" t="s">
        <v>583</v>
      </c>
      <c r="R177" s="680" t="s">
        <v>583</v>
      </c>
      <c r="S177" s="680" t="s">
        <v>423</v>
      </c>
      <c r="T177" s="680" t="s">
        <v>484</v>
      </c>
      <c r="U177" s="681">
        <v>200</v>
      </c>
      <c r="V177" s="680">
        <v>211.9</v>
      </c>
      <c r="W177" s="680" t="s">
        <v>565</v>
      </c>
      <c r="X177" s="680" t="s">
        <v>485</v>
      </c>
      <c r="Y177" s="680" t="s">
        <v>484</v>
      </c>
      <c r="Z177" s="680" t="s">
        <v>483</v>
      </c>
      <c r="AA177" s="680">
        <f>+U177*G177</f>
        <v>600</v>
      </c>
      <c r="AB177" s="680">
        <f>+U177*H177</f>
        <v>1200</v>
      </c>
      <c r="AC177" s="680">
        <f>+U177*I177</f>
        <v>1000</v>
      </c>
      <c r="AD177" s="680">
        <f>+U177*J177</f>
        <v>2200</v>
      </c>
      <c r="AE177" s="680">
        <f>+U177*K177</f>
        <v>0</v>
      </c>
      <c r="AF177" s="680">
        <f>+U177*L177</f>
        <v>0</v>
      </c>
      <c r="AG177" s="680">
        <f>+U177*M177</f>
        <v>0</v>
      </c>
      <c r="AH177" s="680">
        <f>+U177*N177</f>
        <v>0</v>
      </c>
      <c r="AI177" s="681">
        <f>+U177*O177</f>
        <v>1600</v>
      </c>
      <c r="AJ177" s="681">
        <f>+U177*P177</f>
        <v>3400</v>
      </c>
    </row>
    <row r="178" spans="1:36" hidden="1">
      <c r="A178" s="680">
        <v>2212005015</v>
      </c>
      <c r="B178" s="680" t="s">
        <v>582</v>
      </c>
      <c r="C178" s="680" t="s">
        <v>491</v>
      </c>
      <c r="D178" s="680" t="s">
        <v>490</v>
      </c>
      <c r="E178" s="680" t="s">
        <v>489</v>
      </c>
      <c r="F178" s="680" t="s">
        <v>488</v>
      </c>
      <c r="G178" s="680">
        <v>132</v>
      </c>
      <c r="H178" s="680">
        <v>330</v>
      </c>
      <c r="I178" s="680">
        <v>1620</v>
      </c>
      <c r="J178" s="680">
        <v>4050</v>
      </c>
      <c r="K178" s="680">
        <v>0</v>
      </c>
      <c r="L178" s="680">
        <v>0</v>
      </c>
      <c r="M178" s="680">
        <v>0</v>
      </c>
      <c r="N178" s="680">
        <v>0</v>
      </c>
      <c r="O178" s="680">
        <f>+G178+I178+K178+M178</f>
        <v>1752</v>
      </c>
      <c r="P178" s="680">
        <f>+H178+J178+L178+N178</f>
        <v>4380</v>
      </c>
      <c r="Q178" s="680" t="s">
        <v>581</v>
      </c>
      <c r="R178" s="680" t="s">
        <v>580</v>
      </c>
      <c r="S178" s="680" t="s">
        <v>8</v>
      </c>
      <c r="T178" s="680" t="s">
        <v>484</v>
      </c>
      <c r="U178" s="681">
        <v>21</v>
      </c>
      <c r="V178" s="680">
        <v>18.420000000000002</v>
      </c>
      <c r="W178" s="680" t="s">
        <v>563</v>
      </c>
      <c r="X178" s="680" t="s">
        <v>485</v>
      </c>
      <c r="Y178" s="680" t="s">
        <v>484</v>
      </c>
      <c r="Z178" s="680" t="s">
        <v>483</v>
      </c>
      <c r="AA178" s="680">
        <f>+U178*G178</f>
        <v>2772</v>
      </c>
      <c r="AB178" s="680">
        <f>+U178*H178</f>
        <v>6930</v>
      </c>
      <c r="AC178" s="680">
        <f>+U178*I178</f>
        <v>34020</v>
      </c>
      <c r="AD178" s="680">
        <f>+U178*J178</f>
        <v>85050</v>
      </c>
      <c r="AE178" s="680">
        <f>+U178*K178</f>
        <v>0</v>
      </c>
      <c r="AF178" s="680">
        <f>+U178*L178</f>
        <v>0</v>
      </c>
      <c r="AG178" s="680">
        <f>+U178*M178</f>
        <v>0</v>
      </c>
      <c r="AH178" s="680">
        <f>+U178*N178</f>
        <v>0</v>
      </c>
      <c r="AI178" s="681">
        <f>+U178*O178</f>
        <v>36792</v>
      </c>
      <c r="AJ178" s="681">
        <f>+U178*P178</f>
        <v>91980</v>
      </c>
    </row>
    <row r="179" spans="1:36">
      <c r="A179" s="680">
        <v>2212005016</v>
      </c>
      <c r="B179" s="680" t="s">
        <v>179</v>
      </c>
      <c r="C179" s="680" t="s">
        <v>519</v>
      </c>
      <c r="D179" s="680" t="s">
        <v>518</v>
      </c>
      <c r="E179" s="680" t="s">
        <v>489</v>
      </c>
      <c r="F179" s="680" t="s">
        <v>488</v>
      </c>
      <c r="G179" s="680">
        <v>190</v>
      </c>
      <c r="H179" s="680">
        <v>474</v>
      </c>
      <c r="I179" s="680">
        <v>0</v>
      </c>
      <c r="J179" s="680">
        <v>0</v>
      </c>
      <c r="K179" s="680">
        <v>0</v>
      </c>
      <c r="L179" s="680">
        <v>0</v>
      </c>
      <c r="M179" s="680">
        <v>0</v>
      </c>
      <c r="N179" s="680">
        <v>0</v>
      </c>
      <c r="O179" s="680">
        <f>+G179+I179+K179+M179</f>
        <v>190</v>
      </c>
      <c r="P179" s="680">
        <f>+H179+J179+L179+N179</f>
        <v>474</v>
      </c>
      <c r="Q179" s="680" t="s">
        <v>579</v>
      </c>
      <c r="R179" s="680" t="s">
        <v>579</v>
      </c>
      <c r="S179" s="680" t="s">
        <v>6</v>
      </c>
      <c r="T179" s="680" t="s">
        <v>484</v>
      </c>
      <c r="U179" s="681">
        <v>140</v>
      </c>
      <c r="V179" s="680">
        <v>151.34</v>
      </c>
      <c r="W179" s="680" t="s">
        <v>565</v>
      </c>
      <c r="X179" s="680" t="s">
        <v>485</v>
      </c>
      <c r="Y179" s="680" t="s">
        <v>484</v>
      </c>
      <c r="Z179" s="680" t="s">
        <v>483</v>
      </c>
      <c r="AA179" s="680">
        <f>+U179*G179</f>
        <v>26600</v>
      </c>
      <c r="AB179" s="680">
        <f>+U179*H179</f>
        <v>66360</v>
      </c>
      <c r="AC179" s="680">
        <f>+U179*I179</f>
        <v>0</v>
      </c>
      <c r="AD179" s="680">
        <f>+U179*J179</f>
        <v>0</v>
      </c>
      <c r="AE179" s="680">
        <f>+U179*K179</f>
        <v>0</v>
      </c>
      <c r="AF179" s="680">
        <f>+U179*L179</f>
        <v>0</v>
      </c>
      <c r="AG179" s="680">
        <f>+U179*M179</f>
        <v>0</v>
      </c>
      <c r="AH179" s="680">
        <f>+U179*N179</f>
        <v>0</v>
      </c>
      <c r="AI179" s="681">
        <f>+U179*O179</f>
        <v>26600</v>
      </c>
      <c r="AJ179" s="681">
        <f>+U179*P179</f>
        <v>66360</v>
      </c>
    </row>
    <row r="180" spans="1:36">
      <c r="A180" s="680">
        <v>2212005017</v>
      </c>
      <c r="B180" s="680" t="s">
        <v>180</v>
      </c>
      <c r="C180" s="680" t="s">
        <v>519</v>
      </c>
      <c r="D180" s="680" t="s">
        <v>518</v>
      </c>
      <c r="E180" s="680" t="s">
        <v>489</v>
      </c>
      <c r="F180" s="680" t="s">
        <v>488</v>
      </c>
      <c r="G180" s="680">
        <v>749</v>
      </c>
      <c r="H180" s="680">
        <v>1872</v>
      </c>
      <c r="I180" s="680">
        <v>0</v>
      </c>
      <c r="J180" s="680">
        <v>0</v>
      </c>
      <c r="K180" s="680">
        <v>0</v>
      </c>
      <c r="L180" s="680">
        <v>0</v>
      </c>
      <c r="M180" s="680">
        <v>0</v>
      </c>
      <c r="N180" s="680">
        <v>0</v>
      </c>
      <c r="O180" s="680">
        <f>+G180+I180+K180+M180</f>
        <v>749</v>
      </c>
      <c r="P180" s="680">
        <f>+H180+J180+L180+N180</f>
        <v>1872</v>
      </c>
      <c r="Q180" s="680" t="s">
        <v>577</v>
      </c>
      <c r="R180" s="680" t="s">
        <v>577</v>
      </c>
      <c r="S180" s="680" t="s">
        <v>6</v>
      </c>
      <c r="T180" s="680" t="s">
        <v>484</v>
      </c>
      <c r="U180" s="681">
        <v>123</v>
      </c>
      <c r="V180" s="680">
        <v>133.38999999999999</v>
      </c>
      <c r="W180" s="680" t="s">
        <v>565</v>
      </c>
      <c r="X180" s="680" t="s">
        <v>485</v>
      </c>
      <c r="Y180" s="680" t="s">
        <v>484</v>
      </c>
      <c r="Z180" s="680" t="s">
        <v>483</v>
      </c>
      <c r="AA180" s="680">
        <f>+U180*G180</f>
        <v>92127</v>
      </c>
      <c r="AB180" s="680">
        <f>+U180*H180</f>
        <v>230256</v>
      </c>
      <c r="AC180" s="680">
        <f>+U180*I180</f>
        <v>0</v>
      </c>
      <c r="AD180" s="680">
        <f>+U180*J180</f>
        <v>0</v>
      </c>
      <c r="AE180" s="680">
        <f>+U180*K180</f>
        <v>0</v>
      </c>
      <c r="AF180" s="680">
        <f>+U180*L180</f>
        <v>0</v>
      </c>
      <c r="AG180" s="680">
        <f>+U180*M180</f>
        <v>0</v>
      </c>
      <c r="AH180" s="680">
        <f>+U180*N180</f>
        <v>0</v>
      </c>
      <c r="AI180" s="681">
        <f>+U180*O180</f>
        <v>92127</v>
      </c>
      <c r="AJ180" s="681">
        <f>+U180*P180</f>
        <v>230256</v>
      </c>
    </row>
    <row r="181" spans="1:36">
      <c r="A181" s="680">
        <v>2212005018</v>
      </c>
      <c r="B181" s="680" t="s">
        <v>181</v>
      </c>
      <c r="C181" s="680" t="s">
        <v>519</v>
      </c>
      <c r="D181" s="680" t="s">
        <v>518</v>
      </c>
      <c r="E181" s="680" t="s">
        <v>489</v>
      </c>
      <c r="F181" s="680" t="s">
        <v>488</v>
      </c>
      <c r="G181" s="680">
        <v>29</v>
      </c>
      <c r="H181" s="680">
        <v>72</v>
      </c>
      <c r="I181" s="680">
        <v>0</v>
      </c>
      <c r="J181" s="680">
        <v>0</v>
      </c>
      <c r="K181" s="680">
        <v>0</v>
      </c>
      <c r="L181" s="680">
        <v>0</v>
      </c>
      <c r="M181" s="680">
        <v>0</v>
      </c>
      <c r="N181" s="680">
        <v>0</v>
      </c>
      <c r="O181" s="680">
        <f>+G181+I181+K181+M181</f>
        <v>29</v>
      </c>
      <c r="P181" s="680">
        <f>+H181+J181+L181+N181</f>
        <v>72</v>
      </c>
      <c r="Q181" s="680" t="s">
        <v>578</v>
      </c>
      <c r="R181" s="680" t="s">
        <v>578</v>
      </c>
      <c r="S181" s="680" t="s">
        <v>6</v>
      </c>
      <c r="T181" s="680" t="s">
        <v>484</v>
      </c>
      <c r="U181" s="681">
        <v>25</v>
      </c>
      <c r="V181" s="680">
        <v>54.34</v>
      </c>
      <c r="W181" s="680" t="s">
        <v>565</v>
      </c>
      <c r="X181" s="680" t="s">
        <v>485</v>
      </c>
      <c r="Y181" s="680" t="s">
        <v>484</v>
      </c>
      <c r="Z181" s="680" t="s">
        <v>483</v>
      </c>
      <c r="AA181" s="680">
        <f>+U181*G181</f>
        <v>725</v>
      </c>
      <c r="AB181" s="680">
        <f>+U181*H181</f>
        <v>1800</v>
      </c>
      <c r="AC181" s="680">
        <f>+U181*I181</f>
        <v>0</v>
      </c>
      <c r="AD181" s="680">
        <f>+U181*J181</f>
        <v>0</v>
      </c>
      <c r="AE181" s="680">
        <f>+U181*K181</f>
        <v>0</v>
      </c>
      <c r="AF181" s="680">
        <f>+U181*L181</f>
        <v>0</v>
      </c>
      <c r="AG181" s="680">
        <f>+U181*M181</f>
        <v>0</v>
      </c>
      <c r="AH181" s="680">
        <f>+U181*N181</f>
        <v>0</v>
      </c>
      <c r="AI181" s="681">
        <f>+U181*O181</f>
        <v>725</v>
      </c>
      <c r="AJ181" s="681">
        <f>+U181*P181</f>
        <v>1800</v>
      </c>
    </row>
    <row r="182" spans="1:36">
      <c r="A182" s="680">
        <v>2212005019</v>
      </c>
      <c r="B182" s="680" t="s">
        <v>182</v>
      </c>
      <c r="C182" s="680" t="s">
        <v>519</v>
      </c>
      <c r="D182" s="680" t="s">
        <v>518</v>
      </c>
      <c r="E182" s="680" t="s">
        <v>489</v>
      </c>
      <c r="F182" s="680" t="s">
        <v>488</v>
      </c>
      <c r="G182" s="680">
        <v>22</v>
      </c>
      <c r="H182" s="680">
        <v>54</v>
      </c>
      <c r="I182" s="680">
        <v>0</v>
      </c>
      <c r="J182" s="680">
        <v>0</v>
      </c>
      <c r="K182" s="680">
        <v>0</v>
      </c>
      <c r="L182" s="680">
        <v>0</v>
      </c>
      <c r="M182" s="680">
        <v>0</v>
      </c>
      <c r="N182" s="680">
        <v>0</v>
      </c>
      <c r="O182" s="680">
        <f>+G182+I182+K182+M182</f>
        <v>22</v>
      </c>
      <c r="P182" s="680">
        <f>+H182+J182+L182+N182</f>
        <v>54</v>
      </c>
      <c r="Q182" s="680" t="s">
        <v>577</v>
      </c>
      <c r="R182" s="680" t="s">
        <v>577</v>
      </c>
      <c r="S182" s="680" t="s">
        <v>6</v>
      </c>
      <c r="T182" s="680" t="s">
        <v>484</v>
      </c>
      <c r="U182" s="681">
        <v>136</v>
      </c>
      <c r="V182" s="680">
        <v>146.69999999999999</v>
      </c>
      <c r="W182" s="680" t="s">
        <v>565</v>
      </c>
      <c r="X182" s="680" t="s">
        <v>485</v>
      </c>
      <c r="Y182" s="680" t="s">
        <v>484</v>
      </c>
      <c r="Z182" s="680" t="s">
        <v>483</v>
      </c>
      <c r="AA182" s="680">
        <f>+U182*G182</f>
        <v>2992</v>
      </c>
      <c r="AB182" s="680">
        <f>+U182*H182</f>
        <v>7344</v>
      </c>
      <c r="AC182" s="680">
        <f>+U182*I182</f>
        <v>0</v>
      </c>
      <c r="AD182" s="680">
        <f>+U182*J182</f>
        <v>0</v>
      </c>
      <c r="AE182" s="680">
        <f>+U182*K182</f>
        <v>0</v>
      </c>
      <c r="AF182" s="680">
        <f>+U182*L182</f>
        <v>0</v>
      </c>
      <c r="AG182" s="680">
        <f>+U182*M182</f>
        <v>0</v>
      </c>
      <c r="AH182" s="680">
        <f>+U182*N182</f>
        <v>0</v>
      </c>
      <c r="AI182" s="681">
        <f>+U182*O182</f>
        <v>2992</v>
      </c>
      <c r="AJ182" s="681">
        <f>+U182*P182</f>
        <v>7344</v>
      </c>
    </row>
    <row r="183" spans="1:36">
      <c r="A183" s="680">
        <v>2212005020</v>
      </c>
      <c r="B183" s="680" t="s">
        <v>183</v>
      </c>
      <c r="C183" s="680" t="s">
        <v>519</v>
      </c>
      <c r="D183" s="680" t="s">
        <v>518</v>
      </c>
      <c r="E183" s="680" t="s">
        <v>489</v>
      </c>
      <c r="F183" s="680" t="s">
        <v>488</v>
      </c>
      <c r="G183" s="680">
        <v>15</v>
      </c>
      <c r="H183" s="680">
        <v>36</v>
      </c>
      <c r="I183" s="680">
        <v>0</v>
      </c>
      <c r="J183" s="680">
        <v>0</v>
      </c>
      <c r="K183" s="680">
        <v>0</v>
      </c>
      <c r="L183" s="680">
        <v>0</v>
      </c>
      <c r="M183" s="680">
        <v>0</v>
      </c>
      <c r="N183" s="680">
        <v>0</v>
      </c>
      <c r="O183" s="680">
        <f>+G183+I183+K183+M183</f>
        <v>15</v>
      </c>
      <c r="P183" s="680">
        <f>+H183+J183+L183+N183</f>
        <v>36</v>
      </c>
      <c r="Q183" s="680" t="s">
        <v>576</v>
      </c>
      <c r="R183" s="680" t="s">
        <v>576</v>
      </c>
      <c r="S183" s="680" t="s">
        <v>6</v>
      </c>
      <c r="T183" s="680" t="s">
        <v>484</v>
      </c>
      <c r="U183" s="681">
        <v>50</v>
      </c>
      <c r="V183" s="680">
        <v>162.5</v>
      </c>
      <c r="W183" s="680" t="s">
        <v>565</v>
      </c>
      <c r="X183" s="680" t="s">
        <v>485</v>
      </c>
      <c r="Y183" s="680" t="s">
        <v>484</v>
      </c>
      <c r="Z183" s="680" t="s">
        <v>483</v>
      </c>
      <c r="AA183" s="680">
        <f>+U183*G183</f>
        <v>750</v>
      </c>
      <c r="AB183" s="680">
        <f>+U183*H183</f>
        <v>1800</v>
      </c>
      <c r="AC183" s="680">
        <f>+U183*I183</f>
        <v>0</v>
      </c>
      <c r="AD183" s="680">
        <f>+U183*J183</f>
        <v>0</v>
      </c>
      <c r="AE183" s="680">
        <f>+U183*K183</f>
        <v>0</v>
      </c>
      <c r="AF183" s="680">
        <f>+U183*L183</f>
        <v>0</v>
      </c>
      <c r="AG183" s="680">
        <f>+U183*M183</f>
        <v>0</v>
      </c>
      <c r="AH183" s="680">
        <f>+U183*N183</f>
        <v>0</v>
      </c>
      <c r="AI183" s="681">
        <f>+U183*O183</f>
        <v>750</v>
      </c>
      <c r="AJ183" s="681">
        <f>+U183*P183</f>
        <v>1800</v>
      </c>
    </row>
    <row r="184" spans="1:36">
      <c r="A184" s="680">
        <v>2212005021</v>
      </c>
      <c r="B184" s="680" t="s">
        <v>184</v>
      </c>
      <c r="C184" s="680" t="s">
        <v>519</v>
      </c>
      <c r="D184" s="680" t="s">
        <v>518</v>
      </c>
      <c r="E184" s="680" t="s">
        <v>489</v>
      </c>
      <c r="F184" s="680" t="s">
        <v>488</v>
      </c>
      <c r="G184" s="680">
        <v>147</v>
      </c>
      <c r="H184" s="680">
        <v>366</v>
      </c>
      <c r="I184" s="680">
        <v>0</v>
      </c>
      <c r="J184" s="680">
        <v>0</v>
      </c>
      <c r="K184" s="680">
        <v>0</v>
      </c>
      <c r="L184" s="680">
        <v>0</v>
      </c>
      <c r="M184" s="680">
        <v>0</v>
      </c>
      <c r="N184" s="680">
        <v>0</v>
      </c>
      <c r="O184" s="680">
        <f>+G184+I184+K184+M184</f>
        <v>147</v>
      </c>
      <c r="P184" s="680">
        <f>+H184+J184+L184+N184</f>
        <v>366</v>
      </c>
      <c r="Q184" s="680" t="s">
        <v>575</v>
      </c>
      <c r="R184" s="680" t="s">
        <v>575</v>
      </c>
      <c r="S184" s="680" t="s">
        <v>6</v>
      </c>
      <c r="T184" s="680" t="s">
        <v>484</v>
      </c>
      <c r="U184" s="681">
        <v>138</v>
      </c>
      <c r="V184" s="680">
        <v>150.25</v>
      </c>
      <c r="W184" s="680" t="s">
        <v>565</v>
      </c>
      <c r="X184" s="680" t="s">
        <v>485</v>
      </c>
      <c r="Y184" s="680" t="s">
        <v>484</v>
      </c>
      <c r="Z184" s="680" t="s">
        <v>483</v>
      </c>
      <c r="AA184" s="680">
        <f>+U184*G184</f>
        <v>20286</v>
      </c>
      <c r="AB184" s="680">
        <f>+U184*H184</f>
        <v>50508</v>
      </c>
      <c r="AC184" s="680">
        <f>+U184*I184</f>
        <v>0</v>
      </c>
      <c r="AD184" s="680">
        <f>+U184*J184</f>
        <v>0</v>
      </c>
      <c r="AE184" s="680">
        <f>+U184*K184</f>
        <v>0</v>
      </c>
      <c r="AF184" s="680">
        <f>+U184*L184</f>
        <v>0</v>
      </c>
      <c r="AG184" s="680">
        <f>+U184*M184</f>
        <v>0</v>
      </c>
      <c r="AH184" s="680">
        <f>+U184*N184</f>
        <v>0</v>
      </c>
      <c r="AI184" s="681">
        <f>+U184*O184</f>
        <v>20286</v>
      </c>
      <c r="AJ184" s="681">
        <f>+U184*P184</f>
        <v>50508</v>
      </c>
    </row>
    <row r="185" spans="1:36">
      <c r="A185" s="680">
        <v>2212005022</v>
      </c>
      <c r="B185" s="680" t="s">
        <v>185</v>
      </c>
      <c r="C185" s="680" t="s">
        <v>519</v>
      </c>
      <c r="D185" s="680" t="s">
        <v>518</v>
      </c>
      <c r="E185" s="680" t="s">
        <v>489</v>
      </c>
      <c r="F185" s="680" t="s">
        <v>488</v>
      </c>
      <c r="G185" s="680">
        <v>116</v>
      </c>
      <c r="H185" s="680">
        <v>288</v>
      </c>
      <c r="I185" s="680">
        <v>0</v>
      </c>
      <c r="J185" s="680">
        <v>0</v>
      </c>
      <c r="K185" s="680">
        <v>0</v>
      </c>
      <c r="L185" s="680">
        <v>0</v>
      </c>
      <c r="M185" s="680">
        <v>0</v>
      </c>
      <c r="N185" s="680">
        <v>0</v>
      </c>
      <c r="O185" s="680">
        <f>+G185+I185+K185+M185</f>
        <v>116</v>
      </c>
      <c r="P185" s="680">
        <f>+H185+J185+L185+N185</f>
        <v>288</v>
      </c>
      <c r="Q185" s="680" t="s">
        <v>575</v>
      </c>
      <c r="R185" s="680" t="s">
        <v>575</v>
      </c>
      <c r="S185" s="680" t="s">
        <v>6</v>
      </c>
      <c r="T185" s="680" t="s">
        <v>484</v>
      </c>
      <c r="U185" s="681">
        <v>139</v>
      </c>
      <c r="V185" s="680">
        <v>120.27</v>
      </c>
      <c r="W185" s="680" t="s">
        <v>565</v>
      </c>
      <c r="X185" s="680" t="s">
        <v>485</v>
      </c>
      <c r="Y185" s="680" t="s">
        <v>484</v>
      </c>
      <c r="Z185" s="680" t="s">
        <v>483</v>
      </c>
      <c r="AA185" s="680">
        <f>+U185*G185</f>
        <v>16124</v>
      </c>
      <c r="AB185" s="680">
        <f>+U185*H185</f>
        <v>40032</v>
      </c>
      <c r="AC185" s="680">
        <f>+U185*I185</f>
        <v>0</v>
      </c>
      <c r="AD185" s="680">
        <f>+U185*J185</f>
        <v>0</v>
      </c>
      <c r="AE185" s="680">
        <f>+U185*K185</f>
        <v>0</v>
      </c>
      <c r="AF185" s="680">
        <f>+U185*L185</f>
        <v>0</v>
      </c>
      <c r="AG185" s="680">
        <f>+U185*M185</f>
        <v>0</v>
      </c>
      <c r="AH185" s="680">
        <f>+U185*N185</f>
        <v>0</v>
      </c>
      <c r="AI185" s="681">
        <f>+U185*O185</f>
        <v>16124</v>
      </c>
      <c r="AJ185" s="681">
        <f>+U185*P185</f>
        <v>40032</v>
      </c>
    </row>
    <row r="186" spans="1:36">
      <c r="A186" s="680">
        <v>2212005023</v>
      </c>
      <c r="B186" s="680" t="s">
        <v>186</v>
      </c>
      <c r="C186" s="680" t="s">
        <v>519</v>
      </c>
      <c r="D186" s="680" t="s">
        <v>518</v>
      </c>
      <c r="E186" s="680" t="s">
        <v>489</v>
      </c>
      <c r="F186" s="680" t="s">
        <v>488</v>
      </c>
      <c r="G186" s="680">
        <v>1054</v>
      </c>
      <c r="H186" s="680">
        <v>2634</v>
      </c>
      <c r="I186" s="680">
        <v>0</v>
      </c>
      <c r="J186" s="680">
        <v>0</v>
      </c>
      <c r="K186" s="680">
        <v>0</v>
      </c>
      <c r="L186" s="680">
        <v>0</v>
      </c>
      <c r="M186" s="680">
        <v>0</v>
      </c>
      <c r="N186" s="680">
        <v>0</v>
      </c>
      <c r="O186" s="680">
        <f>+G186+I186+K186+M186</f>
        <v>1054</v>
      </c>
      <c r="P186" s="680">
        <f>+H186+J186+L186+N186</f>
        <v>2634</v>
      </c>
      <c r="Q186" s="680" t="s">
        <v>572</v>
      </c>
      <c r="R186" s="680" t="s">
        <v>567</v>
      </c>
      <c r="S186" s="680" t="s">
        <v>171</v>
      </c>
      <c r="T186" s="680" t="s">
        <v>484</v>
      </c>
      <c r="U186" s="681">
        <v>39</v>
      </c>
      <c r="V186" s="680">
        <v>42.38</v>
      </c>
      <c r="W186" s="680" t="s">
        <v>565</v>
      </c>
      <c r="X186" s="680" t="s">
        <v>485</v>
      </c>
      <c r="Y186" s="680" t="s">
        <v>484</v>
      </c>
      <c r="Z186" s="680" t="s">
        <v>483</v>
      </c>
      <c r="AA186" s="680">
        <f>+U186*G186</f>
        <v>41106</v>
      </c>
      <c r="AB186" s="680">
        <f>+U186*H186</f>
        <v>102726</v>
      </c>
      <c r="AC186" s="680">
        <f>+U186*I186</f>
        <v>0</v>
      </c>
      <c r="AD186" s="680">
        <f>+U186*J186</f>
        <v>0</v>
      </c>
      <c r="AE186" s="680">
        <f>+U186*K186</f>
        <v>0</v>
      </c>
      <c r="AF186" s="680">
        <f>+U186*L186</f>
        <v>0</v>
      </c>
      <c r="AG186" s="680">
        <f>+U186*M186</f>
        <v>0</v>
      </c>
      <c r="AH186" s="680">
        <f>+U186*N186</f>
        <v>0</v>
      </c>
      <c r="AI186" s="681">
        <f>+U186*O186</f>
        <v>41106</v>
      </c>
      <c r="AJ186" s="681">
        <f>+U186*P186</f>
        <v>102726</v>
      </c>
    </row>
    <row r="187" spans="1:36">
      <c r="A187" s="680">
        <v>2212005024</v>
      </c>
      <c r="B187" s="680" t="s">
        <v>187</v>
      </c>
      <c r="C187" s="680" t="s">
        <v>519</v>
      </c>
      <c r="D187" s="680" t="s">
        <v>518</v>
      </c>
      <c r="E187" s="680" t="s">
        <v>489</v>
      </c>
      <c r="F187" s="680" t="s">
        <v>488</v>
      </c>
      <c r="G187" s="680">
        <v>1301</v>
      </c>
      <c r="H187" s="680">
        <v>3252</v>
      </c>
      <c r="I187" s="680">
        <v>0</v>
      </c>
      <c r="J187" s="680">
        <v>0</v>
      </c>
      <c r="K187" s="680">
        <v>0</v>
      </c>
      <c r="L187" s="680">
        <v>0</v>
      </c>
      <c r="M187" s="680">
        <v>0</v>
      </c>
      <c r="N187" s="680">
        <v>0</v>
      </c>
      <c r="O187" s="680">
        <f>+G187+I187+K187+M187</f>
        <v>1301</v>
      </c>
      <c r="P187" s="680">
        <f>+H187+J187+L187+N187</f>
        <v>3252</v>
      </c>
      <c r="Q187" s="680" t="s">
        <v>572</v>
      </c>
      <c r="R187" s="680" t="s">
        <v>567</v>
      </c>
      <c r="S187" s="680" t="s">
        <v>171</v>
      </c>
      <c r="T187" s="680" t="s">
        <v>484</v>
      </c>
      <c r="U187" s="681">
        <v>30</v>
      </c>
      <c r="V187" s="680">
        <v>42.38</v>
      </c>
      <c r="W187" s="680" t="s">
        <v>565</v>
      </c>
      <c r="X187" s="680" t="s">
        <v>485</v>
      </c>
      <c r="Y187" s="680" t="s">
        <v>484</v>
      </c>
      <c r="Z187" s="680" t="s">
        <v>483</v>
      </c>
      <c r="AA187" s="680">
        <f>+U187*G187</f>
        <v>39030</v>
      </c>
      <c r="AB187" s="680">
        <f>+U187*H187</f>
        <v>97560</v>
      </c>
      <c r="AC187" s="680">
        <f>+U187*I187</f>
        <v>0</v>
      </c>
      <c r="AD187" s="680">
        <f>+U187*J187</f>
        <v>0</v>
      </c>
      <c r="AE187" s="680">
        <f>+U187*K187</f>
        <v>0</v>
      </c>
      <c r="AF187" s="680">
        <f>+U187*L187</f>
        <v>0</v>
      </c>
      <c r="AG187" s="680">
        <f>+U187*M187</f>
        <v>0</v>
      </c>
      <c r="AH187" s="680">
        <f>+U187*N187</f>
        <v>0</v>
      </c>
      <c r="AI187" s="681">
        <f>+U187*O187</f>
        <v>39030</v>
      </c>
      <c r="AJ187" s="681">
        <f>+U187*P187</f>
        <v>97560</v>
      </c>
    </row>
    <row r="188" spans="1:36">
      <c r="A188" s="680">
        <v>2212005026</v>
      </c>
      <c r="B188" s="680" t="s">
        <v>188</v>
      </c>
      <c r="C188" s="680" t="s">
        <v>519</v>
      </c>
      <c r="D188" s="680" t="s">
        <v>518</v>
      </c>
      <c r="E188" s="680" t="s">
        <v>489</v>
      </c>
      <c r="F188" s="680" t="s">
        <v>488</v>
      </c>
      <c r="G188" s="680">
        <v>202</v>
      </c>
      <c r="H188" s="680">
        <v>504</v>
      </c>
      <c r="I188" s="680">
        <v>36</v>
      </c>
      <c r="J188" s="680">
        <v>90</v>
      </c>
      <c r="K188" s="680">
        <v>0</v>
      </c>
      <c r="L188" s="680">
        <v>0</v>
      </c>
      <c r="M188" s="680">
        <v>0</v>
      </c>
      <c r="N188" s="680">
        <v>0</v>
      </c>
      <c r="O188" s="680">
        <f>+G188+I188+K188+M188</f>
        <v>238</v>
      </c>
      <c r="P188" s="680">
        <f>+H188+J188+L188+N188</f>
        <v>594</v>
      </c>
      <c r="Q188" s="680" t="s">
        <v>575</v>
      </c>
      <c r="R188" s="680" t="s">
        <v>575</v>
      </c>
      <c r="S188" s="680" t="s">
        <v>6</v>
      </c>
      <c r="T188" s="680" t="s">
        <v>484</v>
      </c>
      <c r="U188" s="681">
        <v>12.05</v>
      </c>
      <c r="V188" s="680">
        <v>113.75</v>
      </c>
      <c r="W188" s="680" t="s">
        <v>565</v>
      </c>
      <c r="X188" s="680" t="s">
        <v>485</v>
      </c>
      <c r="Y188" s="680" t="s">
        <v>484</v>
      </c>
      <c r="Z188" s="680" t="s">
        <v>483</v>
      </c>
      <c r="AA188" s="680">
        <f>+U188*G188</f>
        <v>2434.1000000000004</v>
      </c>
      <c r="AB188" s="680">
        <f>+U188*H188</f>
        <v>6073.2000000000007</v>
      </c>
      <c r="AC188" s="680">
        <f>+U188*I188</f>
        <v>433.8</v>
      </c>
      <c r="AD188" s="680">
        <f>+U188*J188</f>
        <v>1084.5</v>
      </c>
      <c r="AE188" s="680">
        <f>+U188*K188</f>
        <v>0</v>
      </c>
      <c r="AF188" s="680">
        <f>+U188*L188</f>
        <v>0</v>
      </c>
      <c r="AG188" s="680">
        <f>+U188*M188</f>
        <v>0</v>
      </c>
      <c r="AH188" s="680">
        <f>+U188*N188</f>
        <v>0</v>
      </c>
      <c r="AI188" s="681">
        <f>+U188*O188</f>
        <v>2867.9</v>
      </c>
      <c r="AJ188" s="681">
        <f>+U188*P188</f>
        <v>7157.7000000000007</v>
      </c>
    </row>
    <row r="189" spans="1:36">
      <c r="A189" s="680">
        <v>2212005027</v>
      </c>
      <c r="B189" s="680" t="s">
        <v>189</v>
      </c>
      <c r="C189" s="680" t="s">
        <v>519</v>
      </c>
      <c r="D189" s="680" t="s">
        <v>518</v>
      </c>
      <c r="E189" s="680" t="s">
        <v>489</v>
      </c>
      <c r="F189" s="680" t="s">
        <v>488</v>
      </c>
      <c r="G189" s="680">
        <v>3</v>
      </c>
      <c r="H189" s="680">
        <v>6</v>
      </c>
      <c r="I189" s="680">
        <v>0</v>
      </c>
      <c r="J189" s="680">
        <v>0</v>
      </c>
      <c r="K189" s="680">
        <v>0</v>
      </c>
      <c r="L189" s="680">
        <v>0</v>
      </c>
      <c r="M189" s="680">
        <v>0</v>
      </c>
      <c r="N189" s="680">
        <v>0</v>
      </c>
      <c r="O189" s="680">
        <f>+G189+I189+K189+M189</f>
        <v>3</v>
      </c>
      <c r="P189" s="680">
        <f>+H189+J189+L189+N189</f>
        <v>6</v>
      </c>
      <c r="Q189" s="680" t="s">
        <v>572</v>
      </c>
      <c r="R189" s="680" t="s">
        <v>567</v>
      </c>
      <c r="S189" s="680" t="s">
        <v>6</v>
      </c>
      <c r="T189" s="680" t="s">
        <v>484</v>
      </c>
      <c r="U189" s="681">
        <v>39</v>
      </c>
      <c r="V189" s="680">
        <v>43.87</v>
      </c>
      <c r="W189" s="680" t="s">
        <v>565</v>
      </c>
      <c r="X189" s="680" t="s">
        <v>485</v>
      </c>
      <c r="Y189" s="680" t="s">
        <v>484</v>
      </c>
      <c r="Z189" s="680" t="s">
        <v>483</v>
      </c>
      <c r="AA189" s="680">
        <f>+U189*G189</f>
        <v>117</v>
      </c>
      <c r="AB189" s="680">
        <f>+U189*H189</f>
        <v>234</v>
      </c>
      <c r="AC189" s="680">
        <f>+U189*I189</f>
        <v>0</v>
      </c>
      <c r="AD189" s="680">
        <f>+U189*J189</f>
        <v>0</v>
      </c>
      <c r="AE189" s="680">
        <f>+U189*K189</f>
        <v>0</v>
      </c>
      <c r="AF189" s="680">
        <f>+U189*L189</f>
        <v>0</v>
      </c>
      <c r="AG189" s="680">
        <f>+U189*M189</f>
        <v>0</v>
      </c>
      <c r="AH189" s="680">
        <f>+U189*N189</f>
        <v>0</v>
      </c>
      <c r="AI189" s="681">
        <f>+U189*O189</f>
        <v>117</v>
      </c>
      <c r="AJ189" s="681">
        <f>+U189*P189</f>
        <v>234</v>
      </c>
    </row>
    <row r="190" spans="1:36">
      <c r="A190" s="680">
        <v>2212005028</v>
      </c>
      <c r="B190" s="680" t="s">
        <v>574</v>
      </c>
      <c r="C190" s="680" t="s">
        <v>519</v>
      </c>
      <c r="D190" s="680" t="s">
        <v>518</v>
      </c>
      <c r="E190" s="680" t="s">
        <v>489</v>
      </c>
      <c r="F190" s="680" t="s">
        <v>488</v>
      </c>
      <c r="G190" s="680">
        <v>591</v>
      </c>
      <c r="H190" s="680">
        <v>1476</v>
      </c>
      <c r="I190" s="680">
        <v>108</v>
      </c>
      <c r="J190" s="680">
        <v>270</v>
      </c>
      <c r="K190" s="680">
        <v>0</v>
      </c>
      <c r="L190" s="680">
        <v>0</v>
      </c>
      <c r="M190" s="680">
        <v>0</v>
      </c>
      <c r="N190" s="680">
        <v>0</v>
      </c>
      <c r="O190" s="680">
        <f>+G190+I190+K190+M190</f>
        <v>699</v>
      </c>
      <c r="P190" s="680">
        <f>+H190+J190+L190+N190</f>
        <v>1746</v>
      </c>
      <c r="Q190" s="680" t="s">
        <v>569</v>
      </c>
      <c r="R190" s="680" t="s">
        <v>569</v>
      </c>
      <c r="S190" s="680" t="s">
        <v>177</v>
      </c>
      <c r="T190" s="680" t="s">
        <v>484</v>
      </c>
      <c r="U190" s="681">
        <v>52</v>
      </c>
      <c r="V190" s="680">
        <v>52.48</v>
      </c>
      <c r="W190" s="680" t="s">
        <v>565</v>
      </c>
      <c r="X190" s="680" t="s">
        <v>485</v>
      </c>
      <c r="Y190" s="680" t="s">
        <v>484</v>
      </c>
      <c r="Z190" s="680" t="s">
        <v>483</v>
      </c>
      <c r="AA190" s="680">
        <f>+U190*G190</f>
        <v>30732</v>
      </c>
      <c r="AB190" s="680">
        <f>+U190*H190</f>
        <v>76752</v>
      </c>
      <c r="AC190" s="680">
        <f>+U190*I190</f>
        <v>5616</v>
      </c>
      <c r="AD190" s="680">
        <f>+U190*J190</f>
        <v>14040</v>
      </c>
      <c r="AE190" s="680">
        <f>+U190*K190</f>
        <v>0</v>
      </c>
      <c r="AF190" s="680">
        <f>+U190*L190</f>
        <v>0</v>
      </c>
      <c r="AG190" s="680">
        <f>+U190*M190</f>
        <v>0</v>
      </c>
      <c r="AH190" s="680">
        <f>+U190*N190</f>
        <v>0</v>
      </c>
      <c r="AI190" s="681">
        <f>+U190*O190</f>
        <v>36348</v>
      </c>
      <c r="AJ190" s="681">
        <f>+U190*P190</f>
        <v>90792</v>
      </c>
    </row>
    <row r="191" spans="1:36" hidden="1">
      <c r="A191" s="680">
        <v>2212005032</v>
      </c>
      <c r="B191" s="680" t="s">
        <v>191</v>
      </c>
      <c r="C191" s="680" t="s">
        <v>491</v>
      </c>
      <c r="D191" s="680" t="s">
        <v>490</v>
      </c>
      <c r="E191" s="680" t="s">
        <v>489</v>
      </c>
      <c r="F191" s="680" t="s">
        <v>488</v>
      </c>
      <c r="G191" s="680">
        <v>0</v>
      </c>
      <c r="H191" s="680">
        <v>0</v>
      </c>
      <c r="I191" s="680">
        <v>81</v>
      </c>
      <c r="J191" s="680">
        <v>202</v>
      </c>
      <c r="K191" s="680">
        <v>0</v>
      </c>
      <c r="L191" s="680">
        <v>0</v>
      </c>
      <c r="M191" s="680">
        <v>0</v>
      </c>
      <c r="N191" s="680">
        <v>0</v>
      </c>
      <c r="O191" s="680">
        <f>+G191+I191+K191+M191</f>
        <v>81</v>
      </c>
      <c r="P191" s="680">
        <f>+H191+J191+L191+N191</f>
        <v>202</v>
      </c>
      <c r="Q191" s="680" t="s">
        <v>495</v>
      </c>
      <c r="R191" s="680" t="s">
        <v>494</v>
      </c>
      <c r="S191" s="680" t="s">
        <v>177</v>
      </c>
      <c r="T191" s="680" t="s">
        <v>484</v>
      </c>
      <c r="U191" s="681">
        <v>350</v>
      </c>
      <c r="V191" s="680">
        <v>380.34</v>
      </c>
      <c r="W191" s="680" t="s">
        <v>493</v>
      </c>
      <c r="X191" s="680" t="s">
        <v>485</v>
      </c>
      <c r="Y191" s="680" t="s">
        <v>484</v>
      </c>
      <c r="Z191" s="680" t="s">
        <v>483</v>
      </c>
      <c r="AA191" s="680">
        <f>+U191*G191</f>
        <v>0</v>
      </c>
      <c r="AB191" s="680">
        <f>+U191*H191</f>
        <v>0</v>
      </c>
      <c r="AC191" s="680">
        <f>+U191*I191</f>
        <v>28350</v>
      </c>
      <c r="AD191" s="680">
        <f>+U191*J191</f>
        <v>70700</v>
      </c>
      <c r="AE191" s="680">
        <f>+U191*K191</f>
        <v>0</v>
      </c>
      <c r="AF191" s="680">
        <f>+U191*L191</f>
        <v>0</v>
      </c>
      <c r="AG191" s="680">
        <f>+U191*M191</f>
        <v>0</v>
      </c>
      <c r="AH191" s="680">
        <f>+U191*N191</f>
        <v>0</v>
      </c>
      <c r="AI191" s="681">
        <f>+U191*O191</f>
        <v>28350</v>
      </c>
      <c r="AJ191" s="681">
        <f>+U191*P191</f>
        <v>70700</v>
      </c>
    </row>
    <row r="192" spans="1:36">
      <c r="A192" s="680">
        <v>2212005033</v>
      </c>
      <c r="B192" s="680" t="s">
        <v>573</v>
      </c>
      <c r="C192" s="680" t="s">
        <v>519</v>
      </c>
      <c r="D192" s="680" t="s">
        <v>518</v>
      </c>
      <c r="E192" s="680" t="s">
        <v>489</v>
      </c>
      <c r="F192" s="680" t="s">
        <v>488</v>
      </c>
      <c r="G192" s="680">
        <v>0</v>
      </c>
      <c r="H192" s="680">
        <v>0</v>
      </c>
      <c r="I192" s="680">
        <v>6480</v>
      </c>
      <c r="J192" s="680">
        <v>16200</v>
      </c>
      <c r="K192" s="680">
        <v>130</v>
      </c>
      <c r="L192" s="680">
        <v>325</v>
      </c>
      <c r="M192" s="680">
        <v>0</v>
      </c>
      <c r="N192" s="680">
        <v>0</v>
      </c>
      <c r="O192" s="680">
        <f>+G192+I192+K192+M192</f>
        <v>6610</v>
      </c>
      <c r="P192" s="680">
        <f>+H192+J192+L192+N192</f>
        <v>16525</v>
      </c>
      <c r="Q192" s="680" t="s">
        <v>572</v>
      </c>
      <c r="R192" s="680" t="s">
        <v>567</v>
      </c>
      <c r="S192" s="680" t="s">
        <v>8</v>
      </c>
      <c r="T192" s="680" t="s">
        <v>484</v>
      </c>
      <c r="U192" s="681">
        <v>13.2</v>
      </c>
      <c r="V192" s="680">
        <v>14.35</v>
      </c>
      <c r="W192" s="680" t="s">
        <v>565</v>
      </c>
      <c r="X192" s="680" t="s">
        <v>485</v>
      </c>
      <c r="Y192" s="680" t="s">
        <v>484</v>
      </c>
      <c r="Z192" s="680" t="s">
        <v>483</v>
      </c>
      <c r="AA192" s="680">
        <f>+U192*G192</f>
        <v>0</v>
      </c>
      <c r="AB192" s="680">
        <f>+U192*H192</f>
        <v>0</v>
      </c>
      <c r="AC192" s="680">
        <f>+U192*I192</f>
        <v>85536</v>
      </c>
      <c r="AD192" s="680">
        <f>+U192*J192</f>
        <v>213840</v>
      </c>
      <c r="AE192" s="680">
        <f>+U192*K192</f>
        <v>1716</v>
      </c>
      <c r="AF192" s="680">
        <f>+U192*L192</f>
        <v>4290</v>
      </c>
      <c r="AG192" s="680">
        <f>+U192*M192</f>
        <v>0</v>
      </c>
      <c r="AH192" s="680">
        <f>+U192*N192</f>
        <v>0</v>
      </c>
      <c r="AI192" s="681">
        <f>+U192*O192</f>
        <v>87252</v>
      </c>
      <c r="AJ192" s="681">
        <f>+U192*P192</f>
        <v>218130</v>
      </c>
    </row>
    <row r="193" spans="1:36">
      <c r="A193" s="680">
        <v>2212005034</v>
      </c>
      <c r="B193" s="680" t="s">
        <v>192</v>
      </c>
      <c r="C193" s="680" t="s">
        <v>519</v>
      </c>
      <c r="D193" s="680" t="s">
        <v>518</v>
      </c>
      <c r="E193" s="680" t="s">
        <v>489</v>
      </c>
      <c r="F193" s="680" t="s">
        <v>488</v>
      </c>
      <c r="G193" s="680">
        <v>0</v>
      </c>
      <c r="H193" s="680">
        <v>0</v>
      </c>
      <c r="I193" s="680">
        <v>180</v>
      </c>
      <c r="J193" s="680">
        <v>450</v>
      </c>
      <c r="K193" s="680">
        <v>0</v>
      </c>
      <c r="L193" s="680">
        <v>0</v>
      </c>
      <c r="M193" s="680">
        <v>0</v>
      </c>
      <c r="N193" s="680">
        <v>0</v>
      </c>
      <c r="O193" s="680">
        <f>+G193+I193+K193+M193</f>
        <v>180</v>
      </c>
      <c r="P193" s="680">
        <f>+H193+J193+L193+N193</f>
        <v>450</v>
      </c>
      <c r="Q193" s="680" t="s">
        <v>571</v>
      </c>
      <c r="R193" s="680" t="s">
        <v>571</v>
      </c>
      <c r="S193" s="680" t="s">
        <v>6</v>
      </c>
      <c r="T193" s="680" t="s">
        <v>484</v>
      </c>
      <c r="U193" s="681">
        <v>16</v>
      </c>
      <c r="V193" s="680">
        <v>176.59</v>
      </c>
      <c r="W193" s="680" t="s">
        <v>565</v>
      </c>
      <c r="X193" s="680" t="s">
        <v>485</v>
      </c>
      <c r="Y193" s="680" t="s">
        <v>484</v>
      </c>
      <c r="Z193" s="680" t="s">
        <v>483</v>
      </c>
      <c r="AA193" s="680">
        <f>+U193*G193</f>
        <v>0</v>
      </c>
      <c r="AB193" s="680">
        <f>+U193*H193</f>
        <v>0</v>
      </c>
      <c r="AC193" s="680">
        <f>+U193*I193</f>
        <v>2880</v>
      </c>
      <c r="AD193" s="680">
        <f>+U193*J193</f>
        <v>7200</v>
      </c>
      <c r="AE193" s="680">
        <f>+U193*K193</f>
        <v>0</v>
      </c>
      <c r="AF193" s="680">
        <f>+U193*L193</f>
        <v>0</v>
      </c>
      <c r="AG193" s="680">
        <f>+U193*M193</f>
        <v>0</v>
      </c>
      <c r="AH193" s="680">
        <f>+U193*N193</f>
        <v>0</v>
      </c>
      <c r="AI193" s="681">
        <f>+U193*O193</f>
        <v>2880</v>
      </c>
      <c r="AJ193" s="681">
        <f>+U193*P193</f>
        <v>7200</v>
      </c>
    </row>
    <row r="194" spans="1:36">
      <c r="A194" s="680">
        <v>2212005035</v>
      </c>
      <c r="B194" s="680" t="s">
        <v>570</v>
      </c>
      <c r="C194" s="680" t="s">
        <v>519</v>
      </c>
      <c r="D194" s="680" t="s">
        <v>518</v>
      </c>
      <c r="E194" s="680" t="s">
        <v>489</v>
      </c>
      <c r="F194" s="680" t="s">
        <v>488</v>
      </c>
      <c r="G194" s="680">
        <v>111</v>
      </c>
      <c r="H194" s="680">
        <v>276</v>
      </c>
      <c r="I194" s="680">
        <v>1800</v>
      </c>
      <c r="J194" s="680">
        <v>4500</v>
      </c>
      <c r="K194" s="680">
        <v>110</v>
      </c>
      <c r="L194" s="680">
        <v>275</v>
      </c>
      <c r="M194" s="680">
        <v>0</v>
      </c>
      <c r="N194" s="680">
        <v>0</v>
      </c>
      <c r="O194" s="680">
        <f>+G194+I194+K194+M194</f>
        <v>2021</v>
      </c>
      <c r="P194" s="680">
        <f>+H194+J194+L194+N194</f>
        <v>5051</v>
      </c>
      <c r="Q194" s="680" t="s">
        <v>569</v>
      </c>
      <c r="R194" s="680" t="s">
        <v>569</v>
      </c>
      <c r="S194" s="680" t="s">
        <v>8</v>
      </c>
      <c r="T194" s="680" t="s">
        <v>484</v>
      </c>
      <c r="U194" s="681">
        <v>15</v>
      </c>
      <c r="V194" s="680">
        <v>15.36</v>
      </c>
      <c r="W194" s="680" t="s">
        <v>565</v>
      </c>
      <c r="X194" s="680" t="s">
        <v>485</v>
      </c>
      <c r="Y194" s="680" t="s">
        <v>484</v>
      </c>
      <c r="Z194" s="680" t="s">
        <v>483</v>
      </c>
      <c r="AA194" s="680">
        <f>+U194*G194</f>
        <v>1665</v>
      </c>
      <c r="AB194" s="680">
        <f>+U194*H194</f>
        <v>4140</v>
      </c>
      <c r="AC194" s="680">
        <f>+U194*I194</f>
        <v>27000</v>
      </c>
      <c r="AD194" s="680">
        <f>+U194*J194</f>
        <v>67500</v>
      </c>
      <c r="AE194" s="680">
        <f>+U194*K194</f>
        <v>1650</v>
      </c>
      <c r="AF194" s="680">
        <f>+U194*L194</f>
        <v>4125</v>
      </c>
      <c r="AG194" s="680">
        <f>+U194*M194</f>
        <v>0</v>
      </c>
      <c r="AH194" s="680">
        <f>+U194*N194</f>
        <v>0</v>
      </c>
      <c r="AI194" s="681">
        <f>+U194*O194</f>
        <v>30315</v>
      </c>
      <c r="AJ194" s="681">
        <f>+U194*P194</f>
        <v>75765</v>
      </c>
    </row>
    <row r="195" spans="1:36">
      <c r="A195" s="680">
        <v>2212005038</v>
      </c>
      <c r="B195" s="680" t="s">
        <v>195</v>
      </c>
      <c r="C195" s="680" t="s">
        <v>519</v>
      </c>
      <c r="D195" s="680" t="s">
        <v>518</v>
      </c>
      <c r="E195" s="680" t="s">
        <v>489</v>
      </c>
      <c r="F195" s="680" t="s">
        <v>488</v>
      </c>
      <c r="G195" s="680">
        <v>3</v>
      </c>
      <c r="H195" s="680">
        <v>6</v>
      </c>
      <c r="I195" s="680">
        <v>0</v>
      </c>
      <c r="J195" s="680">
        <v>0</v>
      </c>
      <c r="K195" s="680">
        <v>0</v>
      </c>
      <c r="L195" s="680">
        <v>0</v>
      </c>
      <c r="M195" s="680">
        <v>0</v>
      </c>
      <c r="N195" s="680">
        <v>0</v>
      </c>
      <c r="O195" s="680">
        <f>+G195+I195+K195+M195</f>
        <v>3</v>
      </c>
      <c r="P195" s="680">
        <f>+H195+J195+L195+N195</f>
        <v>6</v>
      </c>
      <c r="Q195" s="680" t="s">
        <v>568</v>
      </c>
      <c r="R195" s="680" t="s">
        <v>567</v>
      </c>
      <c r="S195" s="680" t="s">
        <v>171</v>
      </c>
      <c r="T195" s="680" t="s">
        <v>484</v>
      </c>
      <c r="U195" s="681">
        <v>39</v>
      </c>
      <c r="V195" s="680">
        <v>43.74</v>
      </c>
      <c r="W195" s="680" t="s">
        <v>565</v>
      </c>
      <c r="X195" s="680" t="s">
        <v>485</v>
      </c>
      <c r="Y195" s="680" t="s">
        <v>484</v>
      </c>
      <c r="Z195" s="680" t="s">
        <v>483</v>
      </c>
      <c r="AA195" s="680">
        <f>+U195*G195</f>
        <v>117</v>
      </c>
      <c r="AB195" s="680">
        <f>+U195*H195</f>
        <v>234</v>
      </c>
      <c r="AC195" s="680">
        <f>+U195*I195</f>
        <v>0</v>
      </c>
      <c r="AD195" s="680">
        <f>+U195*J195</f>
        <v>0</v>
      </c>
      <c r="AE195" s="680">
        <f>+U195*K195</f>
        <v>0</v>
      </c>
      <c r="AF195" s="680">
        <f>+U195*L195</f>
        <v>0</v>
      </c>
      <c r="AG195" s="680">
        <f>+U195*M195</f>
        <v>0</v>
      </c>
      <c r="AH195" s="680">
        <f>+U195*N195</f>
        <v>0</v>
      </c>
      <c r="AI195" s="681">
        <f>+U195*O195</f>
        <v>117</v>
      </c>
      <c r="AJ195" s="681">
        <f>+U195*P195</f>
        <v>234</v>
      </c>
    </row>
    <row r="196" spans="1:36">
      <c r="A196" s="680">
        <v>2212005041</v>
      </c>
      <c r="B196" s="680" t="s">
        <v>196</v>
      </c>
      <c r="C196" s="680" t="s">
        <v>519</v>
      </c>
      <c r="D196" s="680" t="s">
        <v>518</v>
      </c>
      <c r="E196" s="680" t="s">
        <v>489</v>
      </c>
      <c r="F196" s="680" t="s">
        <v>488</v>
      </c>
      <c r="G196" s="680">
        <v>22</v>
      </c>
      <c r="H196" s="680">
        <v>54</v>
      </c>
      <c r="I196" s="680">
        <v>5</v>
      </c>
      <c r="J196" s="680">
        <v>11</v>
      </c>
      <c r="K196" s="680">
        <v>0</v>
      </c>
      <c r="L196" s="680">
        <v>0</v>
      </c>
      <c r="M196" s="680">
        <v>0</v>
      </c>
      <c r="N196" s="680">
        <v>0</v>
      </c>
      <c r="O196" s="680">
        <f>+G196+I196+K196+M196</f>
        <v>27</v>
      </c>
      <c r="P196" s="680">
        <f>+H196+J196+L196+N196</f>
        <v>65</v>
      </c>
      <c r="Q196" s="680" t="s">
        <v>566</v>
      </c>
      <c r="R196" s="680" t="s">
        <v>566</v>
      </c>
      <c r="S196" s="680" t="s">
        <v>6</v>
      </c>
      <c r="T196" s="680" t="s">
        <v>484</v>
      </c>
      <c r="U196" s="681">
        <v>200</v>
      </c>
      <c r="V196" s="680">
        <v>239.07</v>
      </c>
      <c r="W196" s="680" t="s">
        <v>565</v>
      </c>
      <c r="X196" s="680" t="s">
        <v>485</v>
      </c>
      <c r="Y196" s="680" t="s">
        <v>484</v>
      </c>
      <c r="Z196" s="680" t="s">
        <v>483</v>
      </c>
      <c r="AA196" s="680">
        <f>+U196*G196</f>
        <v>4400</v>
      </c>
      <c r="AB196" s="680">
        <f>+U196*H196</f>
        <v>10800</v>
      </c>
      <c r="AC196" s="680">
        <f>+U196*I196</f>
        <v>1000</v>
      </c>
      <c r="AD196" s="680">
        <f>+U196*J196</f>
        <v>2200</v>
      </c>
      <c r="AE196" s="680">
        <f>+U196*K196</f>
        <v>0</v>
      </c>
      <c r="AF196" s="680">
        <f>+U196*L196</f>
        <v>0</v>
      </c>
      <c r="AG196" s="680">
        <f>+U196*M196</f>
        <v>0</v>
      </c>
      <c r="AH196" s="680">
        <f>+U196*N196</f>
        <v>0</v>
      </c>
      <c r="AI196" s="681">
        <f>+U196*O196</f>
        <v>5400</v>
      </c>
      <c r="AJ196" s="681">
        <f>+U196*P196</f>
        <v>13000</v>
      </c>
    </row>
    <row r="197" spans="1:36" hidden="1">
      <c r="A197" s="680">
        <v>2212005042</v>
      </c>
      <c r="B197" s="680" t="s">
        <v>197</v>
      </c>
      <c r="C197" s="680" t="s">
        <v>491</v>
      </c>
      <c r="D197" s="680" t="s">
        <v>490</v>
      </c>
      <c r="E197" s="680" t="s">
        <v>489</v>
      </c>
      <c r="F197" s="680" t="s">
        <v>488</v>
      </c>
      <c r="G197" s="680">
        <v>9040</v>
      </c>
      <c r="H197" s="680">
        <v>22599</v>
      </c>
      <c r="I197" s="680">
        <v>1620</v>
      </c>
      <c r="J197" s="680">
        <v>4050</v>
      </c>
      <c r="K197" s="680">
        <v>0</v>
      </c>
      <c r="L197" s="680">
        <v>0</v>
      </c>
      <c r="M197" s="680">
        <v>0</v>
      </c>
      <c r="N197" s="680">
        <v>0</v>
      </c>
      <c r="O197" s="680">
        <f>+G197+I197+K197+M197</f>
        <v>10660</v>
      </c>
      <c r="P197" s="680">
        <f>+H197+J197+L197+N197</f>
        <v>26649</v>
      </c>
      <c r="Q197" s="680" t="s">
        <v>564</v>
      </c>
      <c r="R197" s="680" t="s">
        <v>564</v>
      </c>
      <c r="S197" s="680" t="s">
        <v>171</v>
      </c>
      <c r="T197" s="680" t="s">
        <v>484</v>
      </c>
      <c r="U197" s="681">
        <v>28.2</v>
      </c>
      <c r="V197" s="680">
        <v>35.86</v>
      </c>
      <c r="W197" s="680" t="s">
        <v>563</v>
      </c>
      <c r="X197" s="680" t="s">
        <v>485</v>
      </c>
      <c r="Y197" s="680" t="s">
        <v>484</v>
      </c>
      <c r="Z197" s="680" t="s">
        <v>483</v>
      </c>
      <c r="AA197" s="680">
        <f>+U197*G197</f>
        <v>254928</v>
      </c>
      <c r="AB197" s="680">
        <f>+U197*H197</f>
        <v>637291.79999999993</v>
      </c>
      <c r="AC197" s="680">
        <f>+U197*I197</f>
        <v>45684</v>
      </c>
      <c r="AD197" s="680">
        <f>+U197*J197</f>
        <v>114210</v>
      </c>
      <c r="AE197" s="680">
        <f>+U197*K197</f>
        <v>0</v>
      </c>
      <c r="AF197" s="680">
        <f>+U197*L197</f>
        <v>0</v>
      </c>
      <c r="AG197" s="680">
        <f>+U197*M197</f>
        <v>0</v>
      </c>
      <c r="AH197" s="680">
        <f>+U197*N197</f>
        <v>0</v>
      </c>
      <c r="AI197" s="681">
        <f>+U197*O197</f>
        <v>300612</v>
      </c>
      <c r="AJ197" s="681">
        <f>+U197*P197</f>
        <v>751501.79999999993</v>
      </c>
    </row>
    <row r="198" spans="1:36" hidden="1">
      <c r="A198" s="680">
        <v>2212006001</v>
      </c>
      <c r="B198" s="680" t="s">
        <v>138</v>
      </c>
      <c r="C198" s="680" t="s">
        <v>559</v>
      </c>
      <c r="D198" s="680" t="s">
        <v>558</v>
      </c>
      <c r="E198" s="680" t="s">
        <v>489</v>
      </c>
      <c r="F198" s="680" t="s">
        <v>488</v>
      </c>
      <c r="G198" s="680">
        <v>3125</v>
      </c>
      <c r="H198" s="680">
        <v>7812</v>
      </c>
      <c r="I198" s="680">
        <v>1236</v>
      </c>
      <c r="J198" s="680">
        <v>3089</v>
      </c>
      <c r="K198" s="680">
        <v>0</v>
      </c>
      <c r="L198" s="680">
        <v>0</v>
      </c>
      <c r="M198" s="680">
        <v>0</v>
      </c>
      <c r="N198" s="680">
        <v>0</v>
      </c>
      <c r="O198" s="680">
        <f>+G198+I198+K198+M198</f>
        <v>4361</v>
      </c>
      <c r="P198" s="680">
        <f>+H198+J198+L198+N198</f>
        <v>10901</v>
      </c>
      <c r="Q198" s="680" t="s">
        <v>557</v>
      </c>
      <c r="R198" s="680" t="s">
        <v>557</v>
      </c>
      <c r="S198" s="680" t="s">
        <v>6</v>
      </c>
      <c r="T198" s="680" t="s">
        <v>484</v>
      </c>
      <c r="U198" s="681">
        <v>97</v>
      </c>
      <c r="V198" s="680">
        <v>128.91999999999999</v>
      </c>
      <c r="W198" s="680" t="s">
        <v>556</v>
      </c>
      <c r="X198" s="680" t="s">
        <v>485</v>
      </c>
      <c r="Y198" s="680" t="s">
        <v>484</v>
      </c>
      <c r="Z198" s="680" t="s">
        <v>483</v>
      </c>
      <c r="AA198" s="680">
        <f>+U198*G198</f>
        <v>303125</v>
      </c>
      <c r="AB198" s="680">
        <f>+U198*H198</f>
        <v>757764</v>
      </c>
      <c r="AC198" s="680">
        <f>+U198*I198</f>
        <v>119892</v>
      </c>
      <c r="AD198" s="680">
        <f>+U198*J198</f>
        <v>299633</v>
      </c>
      <c r="AE198" s="680">
        <f>+U198*K198</f>
        <v>0</v>
      </c>
      <c r="AF198" s="680">
        <f>+U198*L198</f>
        <v>0</v>
      </c>
      <c r="AG198" s="680">
        <f>+U198*M198</f>
        <v>0</v>
      </c>
      <c r="AH198" s="680">
        <f>+U198*N198</f>
        <v>0</v>
      </c>
      <c r="AI198" s="681">
        <f>+U198*O198</f>
        <v>423017</v>
      </c>
      <c r="AJ198" s="681">
        <f>+U198*P198</f>
        <v>1057397</v>
      </c>
    </row>
    <row r="199" spans="1:36" hidden="1">
      <c r="A199" s="680">
        <v>2212006002</v>
      </c>
      <c r="B199" s="680" t="s">
        <v>562</v>
      </c>
      <c r="C199" s="680" t="s">
        <v>559</v>
      </c>
      <c r="D199" s="680" t="s">
        <v>558</v>
      </c>
      <c r="E199" s="680" t="s">
        <v>489</v>
      </c>
      <c r="F199" s="680" t="s">
        <v>488</v>
      </c>
      <c r="G199" s="680">
        <v>0</v>
      </c>
      <c r="H199" s="680">
        <v>0</v>
      </c>
      <c r="I199" s="680">
        <v>36</v>
      </c>
      <c r="J199" s="680">
        <v>90</v>
      </c>
      <c r="K199" s="680">
        <v>0</v>
      </c>
      <c r="L199" s="680">
        <v>0</v>
      </c>
      <c r="M199" s="680">
        <v>0</v>
      </c>
      <c r="N199" s="680">
        <v>0</v>
      </c>
      <c r="O199" s="680">
        <f>+G199+I199+K199+M199</f>
        <v>36</v>
      </c>
      <c r="P199" s="680">
        <f>+H199+J199+L199+N199</f>
        <v>90</v>
      </c>
      <c r="Q199" s="680" t="s">
        <v>557</v>
      </c>
      <c r="R199" s="680" t="s">
        <v>557</v>
      </c>
      <c r="S199" s="680" t="s">
        <v>6</v>
      </c>
      <c r="T199" s="680" t="s">
        <v>484</v>
      </c>
      <c r="U199" s="681">
        <v>160</v>
      </c>
      <c r="V199" s="680">
        <v>130.51</v>
      </c>
      <c r="W199" s="680" t="s">
        <v>556</v>
      </c>
      <c r="X199" s="680" t="s">
        <v>485</v>
      </c>
      <c r="Y199" s="680" t="s">
        <v>484</v>
      </c>
      <c r="Z199" s="680" t="s">
        <v>483</v>
      </c>
      <c r="AA199" s="680">
        <f>+U199*G199</f>
        <v>0</v>
      </c>
      <c r="AB199" s="680">
        <f>+U199*H199</f>
        <v>0</v>
      </c>
      <c r="AC199" s="680">
        <f>+U199*I199</f>
        <v>5760</v>
      </c>
      <c r="AD199" s="680">
        <f>+U199*J199</f>
        <v>14400</v>
      </c>
      <c r="AE199" s="680">
        <f>+U199*K199</f>
        <v>0</v>
      </c>
      <c r="AF199" s="680">
        <f>+U199*L199</f>
        <v>0</v>
      </c>
      <c r="AG199" s="680">
        <f>+U199*M199</f>
        <v>0</v>
      </c>
      <c r="AH199" s="680">
        <f>+U199*N199</f>
        <v>0</v>
      </c>
      <c r="AI199" s="681">
        <f>+U199*O199</f>
        <v>5760</v>
      </c>
      <c r="AJ199" s="681">
        <f>+U199*P199</f>
        <v>14400</v>
      </c>
    </row>
    <row r="200" spans="1:36" hidden="1">
      <c r="A200" s="680">
        <v>2212006003</v>
      </c>
      <c r="B200" s="680" t="s">
        <v>139</v>
      </c>
      <c r="C200" s="680" t="s">
        <v>559</v>
      </c>
      <c r="D200" s="680" t="s">
        <v>558</v>
      </c>
      <c r="E200" s="680" t="s">
        <v>489</v>
      </c>
      <c r="F200" s="680" t="s">
        <v>488</v>
      </c>
      <c r="G200" s="680">
        <v>970</v>
      </c>
      <c r="H200" s="680">
        <v>2424</v>
      </c>
      <c r="I200" s="680">
        <v>2160</v>
      </c>
      <c r="J200" s="680">
        <v>5400</v>
      </c>
      <c r="K200" s="680">
        <v>0</v>
      </c>
      <c r="L200" s="680">
        <v>0</v>
      </c>
      <c r="M200" s="680">
        <v>0</v>
      </c>
      <c r="N200" s="680">
        <v>0</v>
      </c>
      <c r="O200" s="680">
        <f>+G200+I200+K200+M200</f>
        <v>3130</v>
      </c>
      <c r="P200" s="680">
        <f>+H200+J200+L200+N200</f>
        <v>7824</v>
      </c>
      <c r="Q200" s="680" t="s">
        <v>557</v>
      </c>
      <c r="R200" s="680" t="s">
        <v>557</v>
      </c>
      <c r="S200" s="680" t="s">
        <v>6</v>
      </c>
      <c r="T200" s="680" t="s">
        <v>484</v>
      </c>
      <c r="U200" s="681">
        <v>66</v>
      </c>
      <c r="V200" s="680">
        <v>75.44</v>
      </c>
      <c r="W200" s="680" t="s">
        <v>556</v>
      </c>
      <c r="X200" s="680" t="s">
        <v>485</v>
      </c>
      <c r="Y200" s="680" t="s">
        <v>484</v>
      </c>
      <c r="Z200" s="680" t="s">
        <v>483</v>
      </c>
      <c r="AA200" s="680">
        <f>+U200*G200</f>
        <v>64020</v>
      </c>
      <c r="AB200" s="680">
        <f>+U200*H200</f>
        <v>159984</v>
      </c>
      <c r="AC200" s="680">
        <f>+U200*I200</f>
        <v>142560</v>
      </c>
      <c r="AD200" s="680">
        <f>+U200*J200</f>
        <v>356400</v>
      </c>
      <c r="AE200" s="680">
        <f>+U200*K200</f>
        <v>0</v>
      </c>
      <c r="AF200" s="680">
        <f>+U200*L200</f>
        <v>0</v>
      </c>
      <c r="AG200" s="680">
        <f>+U200*M200</f>
        <v>0</v>
      </c>
      <c r="AH200" s="680">
        <f>+U200*N200</f>
        <v>0</v>
      </c>
      <c r="AI200" s="681">
        <f>+U200*O200</f>
        <v>206580</v>
      </c>
      <c r="AJ200" s="681">
        <f>+U200*P200</f>
        <v>516384</v>
      </c>
    </row>
    <row r="201" spans="1:36" hidden="1">
      <c r="A201" s="680">
        <v>2212006004</v>
      </c>
      <c r="B201" s="680" t="s">
        <v>140</v>
      </c>
      <c r="C201" s="680" t="s">
        <v>512</v>
      </c>
      <c r="D201" s="680" t="s">
        <v>511</v>
      </c>
      <c r="E201" s="680" t="s">
        <v>489</v>
      </c>
      <c r="F201" s="680" t="s">
        <v>488</v>
      </c>
      <c r="G201" s="680">
        <v>3245</v>
      </c>
      <c r="H201" s="680">
        <v>8112</v>
      </c>
      <c r="I201" s="680">
        <v>1440</v>
      </c>
      <c r="J201" s="680">
        <v>3600</v>
      </c>
      <c r="K201" s="680">
        <v>0</v>
      </c>
      <c r="L201" s="680">
        <v>0</v>
      </c>
      <c r="M201" s="680">
        <v>0</v>
      </c>
      <c r="N201" s="680">
        <v>0</v>
      </c>
      <c r="O201" s="680">
        <f>+G201+I201+K201+M201</f>
        <v>4685</v>
      </c>
      <c r="P201" s="680">
        <f>+H201+J201+L201+N201</f>
        <v>11712</v>
      </c>
      <c r="Q201" s="680" t="s">
        <v>495</v>
      </c>
      <c r="R201" s="680" t="s">
        <v>494</v>
      </c>
      <c r="S201" s="680" t="s">
        <v>6</v>
      </c>
      <c r="T201" s="680" t="s">
        <v>484</v>
      </c>
      <c r="U201" s="681">
        <v>37</v>
      </c>
      <c r="V201" s="680">
        <v>42.38</v>
      </c>
      <c r="W201" s="680" t="s">
        <v>561</v>
      </c>
      <c r="X201" s="680" t="s">
        <v>485</v>
      </c>
      <c r="Y201" s="680" t="s">
        <v>484</v>
      </c>
      <c r="Z201" s="680" t="s">
        <v>483</v>
      </c>
      <c r="AA201" s="680">
        <f>+U201*G201</f>
        <v>120065</v>
      </c>
      <c r="AB201" s="680">
        <f>+U201*H201</f>
        <v>300144</v>
      </c>
      <c r="AC201" s="680">
        <f>+U201*I201</f>
        <v>53280</v>
      </c>
      <c r="AD201" s="680">
        <f>+U201*J201</f>
        <v>133200</v>
      </c>
      <c r="AE201" s="680">
        <f>+U201*K201</f>
        <v>0</v>
      </c>
      <c r="AF201" s="680">
        <f>+U201*L201</f>
        <v>0</v>
      </c>
      <c r="AG201" s="680">
        <f>+U201*M201</f>
        <v>0</v>
      </c>
      <c r="AH201" s="680">
        <f>+U201*N201</f>
        <v>0</v>
      </c>
      <c r="AI201" s="681">
        <f>+U201*O201</f>
        <v>173345</v>
      </c>
      <c r="AJ201" s="681">
        <f>+U201*P201</f>
        <v>433344</v>
      </c>
    </row>
    <row r="202" spans="1:36" hidden="1">
      <c r="A202" s="680">
        <v>2212006005</v>
      </c>
      <c r="B202" s="680" t="s">
        <v>141</v>
      </c>
      <c r="C202" s="680" t="s">
        <v>559</v>
      </c>
      <c r="D202" s="680" t="s">
        <v>558</v>
      </c>
      <c r="E202" s="680" t="s">
        <v>489</v>
      </c>
      <c r="F202" s="680" t="s">
        <v>488</v>
      </c>
      <c r="G202" s="680">
        <v>622</v>
      </c>
      <c r="H202" s="680">
        <v>1554</v>
      </c>
      <c r="I202" s="680">
        <v>303</v>
      </c>
      <c r="J202" s="680">
        <v>756</v>
      </c>
      <c r="K202" s="680">
        <v>0</v>
      </c>
      <c r="L202" s="680">
        <v>0</v>
      </c>
      <c r="M202" s="680">
        <v>0</v>
      </c>
      <c r="N202" s="680">
        <v>0</v>
      </c>
      <c r="O202" s="680">
        <f>+G202+I202+K202+M202</f>
        <v>925</v>
      </c>
      <c r="P202" s="680">
        <f>+H202+J202+L202+N202</f>
        <v>2310</v>
      </c>
      <c r="Q202" s="680" t="s">
        <v>557</v>
      </c>
      <c r="R202" s="680" t="s">
        <v>557</v>
      </c>
      <c r="S202" s="680" t="s">
        <v>6</v>
      </c>
      <c r="T202" s="680" t="s">
        <v>484</v>
      </c>
      <c r="U202" s="681">
        <v>102</v>
      </c>
      <c r="V202" s="680">
        <v>129.32</v>
      </c>
      <c r="W202" s="680" t="s">
        <v>556</v>
      </c>
      <c r="X202" s="680" t="s">
        <v>485</v>
      </c>
      <c r="Y202" s="680" t="s">
        <v>484</v>
      </c>
      <c r="Z202" s="680" t="s">
        <v>483</v>
      </c>
      <c r="AA202" s="680">
        <f>+U202*G202</f>
        <v>63444</v>
      </c>
      <c r="AB202" s="680">
        <f>+U202*H202</f>
        <v>158508</v>
      </c>
      <c r="AC202" s="680">
        <f>+U202*I202</f>
        <v>30906</v>
      </c>
      <c r="AD202" s="680">
        <f>+U202*J202</f>
        <v>77112</v>
      </c>
      <c r="AE202" s="680">
        <f>+U202*K202</f>
        <v>0</v>
      </c>
      <c r="AF202" s="680">
        <f>+U202*L202</f>
        <v>0</v>
      </c>
      <c r="AG202" s="680">
        <f>+U202*M202</f>
        <v>0</v>
      </c>
      <c r="AH202" s="680">
        <f>+U202*N202</f>
        <v>0</v>
      </c>
      <c r="AI202" s="681">
        <f>+U202*O202</f>
        <v>94350</v>
      </c>
      <c r="AJ202" s="681">
        <f>+U202*P202</f>
        <v>235620</v>
      </c>
    </row>
    <row r="203" spans="1:36" hidden="1">
      <c r="A203" s="680">
        <v>2212006006</v>
      </c>
      <c r="B203" s="680" t="s">
        <v>142</v>
      </c>
      <c r="C203" s="680" t="s">
        <v>559</v>
      </c>
      <c r="D203" s="680" t="s">
        <v>558</v>
      </c>
      <c r="E203" s="680" t="s">
        <v>489</v>
      </c>
      <c r="F203" s="680" t="s">
        <v>488</v>
      </c>
      <c r="G203" s="680">
        <v>598</v>
      </c>
      <c r="H203" s="680">
        <v>1494</v>
      </c>
      <c r="I203" s="680">
        <v>216</v>
      </c>
      <c r="J203" s="680">
        <v>540</v>
      </c>
      <c r="K203" s="680">
        <v>0</v>
      </c>
      <c r="L203" s="680">
        <v>0</v>
      </c>
      <c r="M203" s="680">
        <v>0</v>
      </c>
      <c r="N203" s="680">
        <v>0</v>
      </c>
      <c r="O203" s="680">
        <f>+G203+I203+K203+M203</f>
        <v>814</v>
      </c>
      <c r="P203" s="680">
        <f>+H203+J203+L203+N203</f>
        <v>2034</v>
      </c>
      <c r="Q203" s="680" t="s">
        <v>557</v>
      </c>
      <c r="R203" s="680" t="s">
        <v>557</v>
      </c>
      <c r="S203" s="680" t="s">
        <v>6</v>
      </c>
      <c r="T203" s="680" t="s">
        <v>484</v>
      </c>
      <c r="U203" s="681">
        <v>92</v>
      </c>
      <c r="V203" s="680">
        <v>113.75</v>
      </c>
      <c r="W203" s="680" t="s">
        <v>556</v>
      </c>
      <c r="X203" s="680" t="s">
        <v>485</v>
      </c>
      <c r="Y203" s="680" t="s">
        <v>484</v>
      </c>
      <c r="Z203" s="680" t="s">
        <v>483</v>
      </c>
      <c r="AA203" s="680">
        <f>+U203*G203</f>
        <v>55016</v>
      </c>
      <c r="AB203" s="680">
        <f>+U203*H203</f>
        <v>137448</v>
      </c>
      <c r="AC203" s="680">
        <f>+U203*I203</f>
        <v>19872</v>
      </c>
      <c r="AD203" s="680">
        <f>+U203*J203</f>
        <v>49680</v>
      </c>
      <c r="AE203" s="680">
        <f>+U203*K203</f>
        <v>0</v>
      </c>
      <c r="AF203" s="680">
        <f>+U203*L203</f>
        <v>0</v>
      </c>
      <c r="AG203" s="680">
        <f>+U203*M203</f>
        <v>0</v>
      </c>
      <c r="AH203" s="680">
        <f>+U203*N203</f>
        <v>0</v>
      </c>
      <c r="AI203" s="681">
        <f>+U203*O203</f>
        <v>74888</v>
      </c>
      <c r="AJ203" s="681">
        <f>+U203*P203</f>
        <v>187128</v>
      </c>
    </row>
    <row r="204" spans="1:36" hidden="1">
      <c r="A204" s="680">
        <v>2212006009</v>
      </c>
      <c r="B204" s="680" t="s">
        <v>143</v>
      </c>
      <c r="C204" s="680" t="s">
        <v>559</v>
      </c>
      <c r="D204" s="680" t="s">
        <v>558</v>
      </c>
      <c r="E204" s="680" t="s">
        <v>489</v>
      </c>
      <c r="F204" s="680" t="s">
        <v>488</v>
      </c>
      <c r="G204" s="680">
        <v>572</v>
      </c>
      <c r="H204" s="680">
        <v>1428</v>
      </c>
      <c r="I204" s="680">
        <v>576</v>
      </c>
      <c r="J204" s="680">
        <v>1440</v>
      </c>
      <c r="K204" s="680">
        <v>0</v>
      </c>
      <c r="L204" s="680">
        <v>0</v>
      </c>
      <c r="M204" s="680">
        <v>0</v>
      </c>
      <c r="N204" s="680">
        <v>0</v>
      </c>
      <c r="O204" s="680">
        <f>+G204+I204+K204+M204</f>
        <v>1148</v>
      </c>
      <c r="P204" s="680">
        <f>+H204+J204+L204+N204</f>
        <v>2868</v>
      </c>
      <c r="Q204" s="680" t="s">
        <v>557</v>
      </c>
      <c r="R204" s="680" t="s">
        <v>557</v>
      </c>
      <c r="S204" s="680" t="s">
        <v>6</v>
      </c>
      <c r="T204" s="680" t="s">
        <v>484</v>
      </c>
      <c r="U204" s="681">
        <v>112</v>
      </c>
      <c r="V204" s="680">
        <v>142.57</v>
      </c>
      <c r="W204" s="680" t="s">
        <v>556</v>
      </c>
      <c r="X204" s="680" t="s">
        <v>485</v>
      </c>
      <c r="Y204" s="680" t="s">
        <v>484</v>
      </c>
      <c r="Z204" s="680" t="s">
        <v>483</v>
      </c>
      <c r="AA204" s="680">
        <f>+U204*G204</f>
        <v>64064</v>
      </c>
      <c r="AB204" s="680">
        <f>+U204*H204</f>
        <v>159936</v>
      </c>
      <c r="AC204" s="680">
        <f>+U204*I204</f>
        <v>64512</v>
      </c>
      <c r="AD204" s="680">
        <f>+U204*J204</f>
        <v>161280</v>
      </c>
      <c r="AE204" s="680">
        <f>+U204*K204</f>
        <v>0</v>
      </c>
      <c r="AF204" s="680">
        <f>+U204*L204</f>
        <v>0</v>
      </c>
      <c r="AG204" s="680">
        <f>+U204*M204</f>
        <v>0</v>
      </c>
      <c r="AH204" s="680">
        <f>+U204*N204</f>
        <v>0</v>
      </c>
      <c r="AI204" s="681">
        <f>+U204*O204</f>
        <v>128576</v>
      </c>
      <c r="AJ204" s="681">
        <f>+U204*P204</f>
        <v>321216</v>
      </c>
    </row>
    <row r="205" spans="1:36" hidden="1">
      <c r="A205" s="680">
        <v>2212006011</v>
      </c>
      <c r="B205" s="680" t="s">
        <v>144</v>
      </c>
      <c r="C205" s="680" t="s">
        <v>491</v>
      </c>
      <c r="D205" s="680" t="s">
        <v>490</v>
      </c>
      <c r="E205" s="680" t="s">
        <v>489</v>
      </c>
      <c r="F205" s="680" t="s">
        <v>488</v>
      </c>
      <c r="G205" s="680">
        <v>0</v>
      </c>
      <c r="H205" s="680">
        <v>0</v>
      </c>
      <c r="I205" s="680">
        <v>900</v>
      </c>
      <c r="J205" s="680">
        <v>2250</v>
      </c>
      <c r="K205" s="680">
        <v>0</v>
      </c>
      <c r="L205" s="680">
        <v>0</v>
      </c>
      <c r="M205" s="680">
        <v>0</v>
      </c>
      <c r="N205" s="680">
        <v>0</v>
      </c>
      <c r="O205" s="680">
        <f>+G205+I205+K205+M205</f>
        <v>900</v>
      </c>
      <c r="P205" s="680">
        <f>+H205+J205+L205+N205</f>
        <v>2250</v>
      </c>
      <c r="Q205" s="680" t="s">
        <v>495</v>
      </c>
      <c r="R205" s="680" t="s">
        <v>494</v>
      </c>
      <c r="S205" s="680" t="s">
        <v>8</v>
      </c>
      <c r="T205" s="680" t="s">
        <v>484</v>
      </c>
      <c r="U205" s="681">
        <v>19</v>
      </c>
      <c r="V205" s="680">
        <v>20.78</v>
      </c>
      <c r="W205" s="680" t="s">
        <v>493</v>
      </c>
      <c r="X205" s="680" t="s">
        <v>485</v>
      </c>
      <c r="Y205" s="680" t="s">
        <v>484</v>
      </c>
      <c r="Z205" s="680" t="s">
        <v>483</v>
      </c>
      <c r="AA205" s="680">
        <f>+U205*G205</f>
        <v>0</v>
      </c>
      <c r="AB205" s="680">
        <f>+U205*H205</f>
        <v>0</v>
      </c>
      <c r="AC205" s="680">
        <f>+U205*I205</f>
        <v>17100</v>
      </c>
      <c r="AD205" s="680">
        <f>+U205*J205</f>
        <v>42750</v>
      </c>
      <c r="AE205" s="680">
        <f>+U205*K205</f>
        <v>0</v>
      </c>
      <c r="AF205" s="680">
        <f>+U205*L205</f>
        <v>0</v>
      </c>
      <c r="AG205" s="680">
        <f>+U205*M205</f>
        <v>0</v>
      </c>
      <c r="AH205" s="680">
        <f>+U205*N205</f>
        <v>0</v>
      </c>
      <c r="AI205" s="681">
        <f>+U205*O205</f>
        <v>17100</v>
      </c>
      <c r="AJ205" s="681">
        <f>+U205*P205</f>
        <v>42750</v>
      </c>
    </row>
    <row r="206" spans="1:36" hidden="1">
      <c r="A206" s="680">
        <v>2212006012</v>
      </c>
      <c r="B206" s="680" t="s">
        <v>145</v>
      </c>
      <c r="C206" s="680" t="s">
        <v>559</v>
      </c>
      <c r="D206" s="680" t="s">
        <v>558</v>
      </c>
      <c r="E206" s="680" t="s">
        <v>489</v>
      </c>
      <c r="F206" s="680" t="s">
        <v>488</v>
      </c>
      <c r="G206" s="680">
        <v>10</v>
      </c>
      <c r="H206" s="680">
        <v>24</v>
      </c>
      <c r="I206" s="680">
        <v>72</v>
      </c>
      <c r="J206" s="680">
        <v>180</v>
      </c>
      <c r="K206" s="680">
        <v>0</v>
      </c>
      <c r="L206" s="680">
        <v>0</v>
      </c>
      <c r="M206" s="680">
        <v>0</v>
      </c>
      <c r="N206" s="680">
        <v>0</v>
      </c>
      <c r="O206" s="680">
        <f>+G206+I206+K206+M206</f>
        <v>82</v>
      </c>
      <c r="P206" s="680">
        <f>+H206+J206+L206+N206</f>
        <v>204</v>
      </c>
      <c r="Q206" s="680" t="s">
        <v>557</v>
      </c>
      <c r="R206" s="680" t="s">
        <v>557</v>
      </c>
      <c r="S206" s="680" t="s">
        <v>8</v>
      </c>
      <c r="T206" s="680" t="s">
        <v>484</v>
      </c>
      <c r="U206" s="681">
        <v>140</v>
      </c>
      <c r="V206" s="680">
        <v>163</v>
      </c>
      <c r="W206" s="680" t="s">
        <v>556</v>
      </c>
      <c r="X206" s="680" t="s">
        <v>485</v>
      </c>
      <c r="Y206" s="680" t="s">
        <v>484</v>
      </c>
      <c r="Z206" s="680" t="s">
        <v>483</v>
      </c>
      <c r="AA206" s="680">
        <f>+U206*G206</f>
        <v>1400</v>
      </c>
      <c r="AB206" s="680">
        <f>+U206*H206</f>
        <v>3360</v>
      </c>
      <c r="AC206" s="680">
        <f>+U206*I206</f>
        <v>10080</v>
      </c>
      <c r="AD206" s="680">
        <f>+U206*J206</f>
        <v>25200</v>
      </c>
      <c r="AE206" s="680">
        <f>+U206*K206</f>
        <v>0</v>
      </c>
      <c r="AF206" s="680">
        <f>+U206*L206</f>
        <v>0</v>
      </c>
      <c r="AG206" s="680">
        <f>+U206*M206</f>
        <v>0</v>
      </c>
      <c r="AH206" s="680">
        <f>+U206*N206</f>
        <v>0</v>
      </c>
      <c r="AI206" s="681">
        <f>+U206*O206</f>
        <v>11480</v>
      </c>
      <c r="AJ206" s="681">
        <f>+U206*P206</f>
        <v>28560</v>
      </c>
    </row>
    <row r="207" spans="1:36" hidden="1">
      <c r="A207" s="680">
        <v>2212006013</v>
      </c>
      <c r="B207" s="680" t="s">
        <v>146</v>
      </c>
      <c r="C207" s="680" t="s">
        <v>559</v>
      </c>
      <c r="D207" s="680" t="s">
        <v>558</v>
      </c>
      <c r="E207" s="680" t="s">
        <v>489</v>
      </c>
      <c r="F207" s="680" t="s">
        <v>488</v>
      </c>
      <c r="G207" s="680">
        <v>480</v>
      </c>
      <c r="H207" s="680">
        <v>1200</v>
      </c>
      <c r="I207" s="680">
        <v>594</v>
      </c>
      <c r="J207" s="680">
        <v>1485</v>
      </c>
      <c r="K207" s="680">
        <v>0</v>
      </c>
      <c r="L207" s="680">
        <v>0</v>
      </c>
      <c r="M207" s="680">
        <v>0</v>
      </c>
      <c r="N207" s="680">
        <v>0</v>
      </c>
      <c r="O207" s="680">
        <f>+G207+I207+K207+M207</f>
        <v>1074</v>
      </c>
      <c r="P207" s="680">
        <f>+H207+J207+L207+N207</f>
        <v>2685</v>
      </c>
      <c r="Q207" s="680" t="s">
        <v>557</v>
      </c>
      <c r="R207" s="680" t="s">
        <v>557</v>
      </c>
      <c r="S207" s="680" t="s">
        <v>6</v>
      </c>
      <c r="T207" s="680" t="s">
        <v>484</v>
      </c>
      <c r="U207" s="681">
        <v>95</v>
      </c>
      <c r="V207" s="680">
        <v>129.32</v>
      </c>
      <c r="W207" s="680" t="s">
        <v>556</v>
      </c>
      <c r="X207" s="680" t="s">
        <v>485</v>
      </c>
      <c r="Y207" s="680" t="s">
        <v>484</v>
      </c>
      <c r="Z207" s="680" t="s">
        <v>483</v>
      </c>
      <c r="AA207" s="680">
        <f>+U207*G207</f>
        <v>45600</v>
      </c>
      <c r="AB207" s="680">
        <f>+U207*H207</f>
        <v>114000</v>
      </c>
      <c r="AC207" s="680">
        <f>+U207*I207</f>
        <v>56430</v>
      </c>
      <c r="AD207" s="680">
        <f>+U207*J207</f>
        <v>141075</v>
      </c>
      <c r="AE207" s="680">
        <f>+U207*K207</f>
        <v>0</v>
      </c>
      <c r="AF207" s="680">
        <f>+U207*L207</f>
        <v>0</v>
      </c>
      <c r="AG207" s="680">
        <f>+U207*M207</f>
        <v>0</v>
      </c>
      <c r="AH207" s="680">
        <f>+U207*N207</f>
        <v>0</v>
      </c>
      <c r="AI207" s="681">
        <f>+U207*O207</f>
        <v>102030</v>
      </c>
      <c r="AJ207" s="681">
        <f>+U207*P207</f>
        <v>255075</v>
      </c>
    </row>
    <row r="208" spans="1:36" hidden="1">
      <c r="A208" s="680">
        <v>2212006014</v>
      </c>
      <c r="B208" s="680" t="s">
        <v>560</v>
      </c>
      <c r="C208" s="680" t="s">
        <v>559</v>
      </c>
      <c r="D208" s="680" t="s">
        <v>558</v>
      </c>
      <c r="E208" s="680" t="s">
        <v>489</v>
      </c>
      <c r="F208" s="680" t="s">
        <v>488</v>
      </c>
      <c r="G208" s="680">
        <v>0</v>
      </c>
      <c r="H208" s="680">
        <v>0</v>
      </c>
      <c r="I208" s="680">
        <v>11</v>
      </c>
      <c r="J208" s="680">
        <v>27</v>
      </c>
      <c r="K208" s="680">
        <v>0</v>
      </c>
      <c r="L208" s="680">
        <v>0</v>
      </c>
      <c r="M208" s="680">
        <v>0</v>
      </c>
      <c r="N208" s="680">
        <v>0</v>
      </c>
      <c r="O208" s="680">
        <f>+G208+I208+K208+M208</f>
        <v>11</v>
      </c>
      <c r="P208" s="680">
        <f>+H208+J208+L208+N208</f>
        <v>27</v>
      </c>
      <c r="Q208" s="680" t="s">
        <v>557</v>
      </c>
      <c r="R208" s="680" t="s">
        <v>557</v>
      </c>
      <c r="S208" s="680" t="s">
        <v>6</v>
      </c>
      <c r="T208" s="680" t="s">
        <v>484</v>
      </c>
      <c r="U208" s="681">
        <v>60</v>
      </c>
      <c r="V208" s="680">
        <v>102.92</v>
      </c>
      <c r="W208" s="680" t="s">
        <v>556</v>
      </c>
      <c r="X208" s="680" t="s">
        <v>485</v>
      </c>
      <c r="Y208" s="680" t="s">
        <v>484</v>
      </c>
      <c r="Z208" s="680" t="s">
        <v>483</v>
      </c>
      <c r="AA208" s="680">
        <f>+U208*G208</f>
        <v>0</v>
      </c>
      <c r="AB208" s="680">
        <f>+U208*H208</f>
        <v>0</v>
      </c>
      <c r="AC208" s="680">
        <f>+U208*I208</f>
        <v>660</v>
      </c>
      <c r="AD208" s="680">
        <f>+U208*J208</f>
        <v>1620</v>
      </c>
      <c r="AE208" s="680">
        <f>+U208*K208</f>
        <v>0</v>
      </c>
      <c r="AF208" s="680">
        <f>+U208*L208</f>
        <v>0</v>
      </c>
      <c r="AG208" s="680">
        <f>+U208*M208</f>
        <v>0</v>
      </c>
      <c r="AH208" s="680">
        <f>+U208*N208</f>
        <v>0</v>
      </c>
      <c r="AI208" s="681">
        <f>+U208*O208</f>
        <v>660</v>
      </c>
      <c r="AJ208" s="681">
        <f>+U208*P208</f>
        <v>1620</v>
      </c>
    </row>
    <row r="209" spans="1:36" hidden="1">
      <c r="A209" s="680">
        <v>2212007001</v>
      </c>
      <c r="B209" s="680" t="s">
        <v>148</v>
      </c>
      <c r="C209" s="680" t="s">
        <v>512</v>
      </c>
      <c r="D209" s="680" t="s">
        <v>511</v>
      </c>
      <c r="E209" s="680" t="s">
        <v>489</v>
      </c>
      <c r="F209" s="680" t="s">
        <v>488</v>
      </c>
      <c r="G209" s="680">
        <v>113</v>
      </c>
      <c r="H209" s="680">
        <v>282</v>
      </c>
      <c r="I209" s="680">
        <v>72</v>
      </c>
      <c r="J209" s="680">
        <v>180</v>
      </c>
      <c r="K209" s="680">
        <v>0</v>
      </c>
      <c r="L209" s="680">
        <v>0</v>
      </c>
      <c r="M209" s="680">
        <v>0</v>
      </c>
      <c r="N209" s="680">
        <v>0</v>
      </c>
      <c r="O209" s="680">
        <f>+G209+I209+K209+M209</f>
        <v>185</v>
      </c>
      <c r="P209" s="680">
        <f>+H209+J209+L209+N209</f>
        <v>462</v>
      </c>
      <c r="Q209" s="680" t="s">
        <v>495</v>
      </c>
      <c r="R209" s="680" t="s">
        <v>494</v>
      </c>
      <c r="S209" s="680" t="s">
        <v>6</v>
      </c>
      <c r="T209" s="680" t="s">
        <v>484</v>
      </c>
      <c r="U209" s="681">
        <v>295</v>
      </c>
      <c r="V209" s="680">
        <v>301.58999999999997</v>
      </c>
      <c r="W209" s="680" t="s">
        <v>554</v>
      </c>
      <c r="X209" s="680" t="s">
        <v>485</v>
      </c>
      <c r="Y209" s="680" t="s">
        <v>484</v>
      </c>
      <c r="Z209" s="680" t="s">
        <v>483</v>
      </c>
      <c r="AA209" s="680">
        <f>+U209*G209</f>
        <v>33335</v>
      </c>
      <c r="AB209" s="680">
        <f>+U209*H209</f>
        <v>83190</v>
      </c>
      <c r="AC209" s="680">
        <f>+U209*I209</f>
        <v>21240</v>
      </c>
      <c r="AD209" s="680">
        <f>+U209*J209</f>
        <v>53100</v>
      </c>
      <c r="AE209" s="680">
        <f>+U209*K209</f>
        <v>0</v>
      </c>
      <c r="AF209" s="680">
        <f>+U209*L209</f>
        <v>0</v>
      </c>
      <c r="AG209" s="680">
        <f>+U209*M209</f>
        <v>0</v>
      </c>
      <c r="AH209" s="680">
        <f>+U209*N209</f>
        <v>0</v>
      </c>
      <c r="AI209" s="681">
        <f>+U209*O209</f>
        <v>54575</v>
      </c>
      <c r="AJ209" s="681">
        <f>+U209*P209</f>
        <v>136290</v>
      </c>
    </row>
    <row r="210" spans="1:36" hidden="1">
      <c r="A210" s="680">
        <v>2212007003</v>
      </c>
      <c r="B210" s="680" t="s">
        <v>150</v>
      </c>
      <c r="C210" s="680" t="s">
        <v>512</v>
      </c>
      <c r="D210" s="680" t="s">
        <v>511</v>
      </c>
      <c r="E210" s="680" t="s">
        <v>489</v>
      </c>
      <c r="F210" s="680" t="s">
        <v>488</v>
      </c>
      <c r="G210" s="680">
        <v>125</v>
      </c>
      <c r="H210" s="680">
        <v>312</v>
      </c>
      <c r="I210" s="680">
        <v>0</v>
      </c>
      <c r="J210" s="680">
        <v>0</v>
      </c>
      <c r="K210" s="680">
        <v>0</v>
      </c>
      <c r="L210" s="680">
        <v>0</v>
      </c>
      <c r="M210" s="680">
        <v>0</v>
      </c>
      <c r="N210" s="680">
        <v>0</v>
      </c>
      <c r="O210" s="680">
        <f>+G210+I210+K210+M210</f>
        <v>125</v>
      </c>
      <c r="P210" s="680">
        <f>+H210+J210+L210+N210</f>
        <v>312</v>
      </c>
      <c r="Q210" s="680" t="s">
        <v>495</v>
      </c>
      <c r="R210" s="680" t="s">
        <v>494</v>
      </c>
      <c r="S210" s="680" t="s">
        <v>6</v>
      </c>
      <c r="T210" s="680" t="s">
        <v>484</v>
      </c>
      <c r="U210" s="681">
        <v>210</v>
      </c>
      <c r="V210" s="680">
        <v>213.2</v>
      </c>
      <c r="W210" s="680" t="s">
        <v>554</v>
      </c>
      <c r="X210" s="680" t="s">
        <v>485</v>
      </c>
      <c r="Y210" s="680" t="s">
        <v>484</v>
      </c>
      <c r="Z210" s="680" t="s">
        <v>483</v>
      </c>
      <c r="AA210" s="680">
        <f>+U210*G210</f>
        <v>26250</v>
      </c>
      <c r="AB210" s="680">
        <f>+U210*H210</f>
        <v>65520</v>
      </c>
      <c r="AC210" s="680">
        <f>+U210*I210</f>
        <v>0</v>
      </c>
      <c r="AD210" s="680">
        <f>+U210*J210</f>
        <v>0</v>
      </c>
      <c r="AE210" s="680">
        <f>+U210*K210</f>
        <v>0</v>
      </c>
      <c r="AF210" s="680">
        <f>+U210*L210</f>
        <v>0</v>
      </c>
      <c r="AG210" s="680">
        <f>+U210*M210</f>
        <v>0</v>
      </c>
      <c r="AH210" s="680">
        <f>+U210*N210</f>
        <v>0</v>
      </c>
      <c r="AI210" s="681">
        <f>+U210*O210</f>
        <v>26250</v>
      </c>
      <c r="AJ210" s="681">
        <f>+U210*P210</f>
        <v>65520</v>
      </c>
    </row>
    <row r="211" spans="1:36" hidden="1">
      <c r="A211" s="680">
        <v>2212007004</v>
      </c>
      <c r="B211" s="680" t="s">
        <v>151</v>
      </c>
      <c r="C211" s="680" t="s">
        <v>512</v>
      </c>
      <c r="D211" s="680" t="s">
        <v>511</v>
      </c>
      <c r="E211" s="680" t="s">
        <v>489</v>
      </c>
      <c r="F211" s="680" t="s">
        <v>488</v>
      </c>
      <c r="G211" s="680">
        <v>53</v>
      </c>
      <c r="H211" s="680">
        <v>132</v>
      </c>
      <c r="I211" s="680">
        <v>90</v>
      </c>
      <c r="J211" s="680">
        <v>225</v>
      </c>
      <c r="K211" s="680">
        <v>0</v>
      </c>
      <c r="L211" s="680">
        <v>0</v>
      </c>
      <c r="M211" s="680">
        <v>0</v>
      </c>
      <c r="N211" s="680">
        <v>0</v>
      </c>
      <c r="O211" s="680">
        <f>+G211+I211+K211+M211</f>
        <v>143</v>
      </c>
      <c r="P211" s="680">
        <f>+H211+J211+L211+N211</f>
        <v>357</v>
      </c>
      <c r="Q211" s="680" t="s">
        <v>495</v>
      </c>
      <c r="R211" s="680" t="s">
        <v>494</v>
      </c>
      <c r="S211" s="680" t="s">
        <v>6</v>
      </c>
      <c r="T211" s="680" t="s">
        <v>484</v>
      </c>
      <c r="U211" s="681">
        <v>210</v>
      </c>
      <c r="V211" s="680">
        <v>211.9</v>
      </c>
      <c r="W211" s="680" t="s">
        <v>554</v>
      </c>
      <c r="X211" s="680" t="s">
        <v>485</v>
      </c>
      <c r="Y211" s="680" t="s">
        <v>484</v>
      </c>
      <c r="Z211" s="680" t="s">
        <v>483</v>
      </c>
      <c r="AA211" s="680">
        <f>+U211*G211</f>
        <v>11130</v>
      </c>
      <c r="AB211" s="680">
        <f>+U211*H211</f>
        <v>27720</v>
      </c>
      <c r="AC211" s="680">
        <f>+U211*I211</f>
        <v>18900</v>
      </c>
      <c r="AD211" s="680">
        <f>+U211*J211</f>
        <v>47250</v>
      </c>
      <c r="AE211" s="680">
        <f>+U211*K211</f>
        <v>0</v>
      </c>
      <c r="AF211" s="680">
        <f>+U211*L211</f>
        <v>0</v>
      </c>
      <c r="AG211" s="680">
        <f>+U211*M211</f>
        <v>0</v>
      </c>
      <c r="AH211" s="680">
        <f>+U211*N211</f>
        <v>0</v>
      </c>
      <c r="AI211" s="681">
        <f>+U211*O211</f>
        <v>30030</v>
      </c>
      <c r="AJ211" s="681">
        <f>+U211*P211</f>
        <v>74970</v>
      </c>
    </row>
    <row r="212" spans="1:36" hidden="1">
      <c r="A212" s="680">
        <v>2212007006</v>
      </c>
      <c r="B212" s="680" t="s">
        <v>153</v>
      </c>
      <c r="C212" s="680" t="s">
        <v>512</v>
      </c>
      <c r="D212" s="680" t="s">
        <v>511</v>
      </c>
      <c r="E212" s="680" t="s">
        <v>489</v>
      </c>
      <c r="F212" s="680" t="s">
        <v>488</v>
      </c>
      <c r="G212" s="680">
        <v>0</v>
      </c>
      <c r="H212" s="680">
        <v>0</v>
      </c>
      <c r="I212" s="680">
        <v>36</v>
      </c>
      <c r="J212" s="680">
        <v>90</v>
      </c>
      <c r="K212" s="680">
        <v>0</v>
      </c>
      <c r="L212" s="680">
        <v>0</v>
      </c>
      <c r="M212" s="680">
        <v>0</v>
      </c>
      <c r="N212" s="680">
        <v>0</v>
      </c>
      <c r="O212" s="680">
        <f>+G212+I212+K212+M212</f>
        <v>36</v>
      </c>
      <c r="P212" s="680">
        <f>+H212+J212+L212+N212</f>
        <v>90</v>
      </c>
      <c r="Q212" s="680" t="s">
        <v>495</v>
      </c>
      <c r="R212" s="680" t="s">
        <v>494</v>
      </c>
      <c r="S212" s="680" t="s">
        <v>6</v>
      </c>
      <c r="T212" s="680" t="s">
        <v>484</v>
      </c>
      <c r="U212" s="681">
        <v>160</v>
      </c>
      <c r="V212" s="680">
        <v>163</v>
      </c>
      <c r="W212" s="680" t="s">
        <v>554</v>
      </c>
      <c r="X212" s="680" t="s">
        <v>485</v>
      </c>
      <c r="Y212" s="680" t="s">
        <v>484</v>
      </c>
      <c r="Z212" s="680" t="s">
        <v>483</v>
      </c>
      <c r="AA212" s="680">
        <f>+U212*G212</f>
        <v>0</v>
      </c>
      <c r="AB212" s="680">
        <f>+U212*H212</f>
        <v>0</v>
      </c>
      <c r="AC212" s="680">
        <f>+U212*I212</f>
        <v>5760</v>
      </c>
      <c r="AD212" s="680">
        <f>+U212*J212</f>
        <v>14400</v>
      </c>
      <c r="AE212" s="680">
        <f>+U212*K212</f>
        <v>0</v>
      </c>
      <c r="AF212" s="680">
        <f>+U212*L212</f>
        <v>0</v>
      </c>
      <c r="AG212" s="680">
        <f>+U212*M212</f>
        <v>0</v>
      </c>
      <c r="AH212" s="680">
        <f>+U212*N212</f>
        <v>0</v>
      </c>
      <c r="AI212" s="681">
        <f>+U212*O212</f>
        <v>5760</v>
      </c>
      <c r="AJ212" s="681">
        <f>+U212*P212</f>
        <v>14400</v>
      </c>
    </row>
    <row r="213" spans="1:36" hidden="1">
      <c r="A213" s="680">
        <v>2212007007</v>
      </c>
      <c r="B213" s="680" t="s">
        <v>154</v>
      </c>
      <c r="C213" s="680" t="s">
        <v>512</v>
      </c>
      <c r="D213" s="680" t="s">
        <v>511</v>
      </c>
      <c r="E213" s="680" t="s">
        <v>489</v>
      </c>
      <c r="F213" s="680" t="s">
        <v>488</v>
      </c>
      <c r="G213" s="680">
        <v>0</v>
      </c>
      <c r="H213" s="680">
        <v>0</v>
      </c>
      <c r="I213" s="680">
        <v>54</v>
      </c>
      <c r="J213" s="680">
        <v>135</v>
      </c>
      <c r="K213" s="680">
        <v>0</v>
      </c>
      <c r="L213" s="680">
        <v>0</v>
      </c>
      <c r="M213" s="680">
        <v>0</v>
      </c>
      <c r="N213" s="680">
        <v>0</v>
      </c>
      <c r="O213" s="680">
        <f>+G213+I213+K213+M213</f>
        <v>54</v>
      </c>
      <c r="P213" s="680">
        <f>+H213+J213+L213+N213</f>
        <v>135</v>
      </c>
      <c r="Q213" s="680" t="s">
        <v>495</v>
      </c>
      <c r="R213" s="680" t="s">
        <v>494</v>
      </c>
      <c r="S213" s="680" t="s">
        <v>6</v>
      </c>
      <c r="T213" s="680" t="s">
        <v>484</v>
      </c>
      <c r="U213" s="681">
        <v>210</v>
      </c>
      <c r="V213" s="680">
        <v>211.25</v>
      </c>
      <c r="W213" s="680" t="s">
        <v>554</v>
      </c>
      <c r="X213" s="680" t="s">
        <v>485</v>
      </c>
      <c r="Y213" s="680" t="s">
        <v>484</v>
      </c>
      <c r="Z213" s="680" t="s">
        <v>483</v>
      </c>
      <c r="AA213" s="680">
        <f>+U213*G213</f>
        <v>0</v>
      </c>
      <c r="AB213" s="680">
        <f>+U213*H213</f>
        <v>0</v>
      </c>
      <c r="AC213" s="680">
        <f>+U213*I213</f>
        <v>11340</v>
      </c>
      <c r="AD213" s="680">
        <f>+U213*J213</f>
        <v>28350</v>
      </c>
      <c r="AE213" s="680">
        <f>+U213*K213</f>
        <v>0</v>
      </c>
      <c r="AF213" s="680">
        <f>+U213*L213</f>
        <v>0</v>
      </c>
      <c r="AG213" s="680">
        <f>+U213*M213</f>
        <v>0</v>
      </c>
      <c r="AH213" s="680">
        <f>+U213*N213</f>
        <v>0</v>
      </c>
      <c r="AI213" s="681">
        <f>+U213*O213</f>
        <v>11340</v>
      </c>
      <c r="AJ213" s="681">
        <f>+U213*P213</f>
        <v>28350</v>
      </c>
    </row>
    <row r="214" spans="1:36" hidden="1">
      <c r="A214" s="680">
        <v>2212007008</v>
      </c>
      <c r="B214" s="680" t="s">
        <v>155</v>
      </c>
      <c r="C214" s="680" t="s">
        <v>512</v>
      </c>
      <c r="D214" s="680" t="s">
        <v>511</v>
      </c>
      <c r="E214" s="680" t="s">
        <v>489</v>
      </c>
      <c r="F214" s="680" t="s">
        <v>488</v>
      </c>
      <c r="G214" s="680">
        <v>569</v>
      </c>
      <c r="H214" s="680">
        <v>1422</v>
      </c>
      <c r="I214" s="680">
        <v>0</v>
      </c>
      <c r="J214" s="680">
        <v>0</v>
      </c>
      <c r="K214" s="680">
        <v>0</v>
      </c>
      <c r="L214" s="680">
        <v>0</v>
      </c>
      <c r="M214" s="680">
        <v>0</v>
      </c>
      <c r="N214" s="680">
        <v>0</v>
      </c>
      <c r="O214" s="680">
        <f>+G214+I214+K214+M214</f>
        <v>569</v>
      </c>
      <c r="P214" s="680">
        <f>+H214+J214+L214+N214</f>
        <v>1422</v>
      </c>
      <c r="Q214" s="680" t="s">
        <v>495</v>
      </c>
      <c r="R214" s="680" t="s">
        <v>494</v>
      </c>
      <c r="S214" s="680" t="s">
        <v>6</v>
      </c>
      <c r="T214" s="680" t="s">
        <v>484</v>
      </c>
      <c r="U214" s="681">
        <v>210</v>
      </c>
      <c r="V214" s="680">
        <v>213.85</v>
      </c>
      <c r="W214" s="680" t="s">
        <v>554</v>
      </c>
      <c r="X214" s="680" t="s">
        <v>485</v>
      </c>
      <c r="Y214" s="680" t="s">
        <v>484</v>
      </c>
      <c r="Z214" s="680" t="s">
        <v>483</v>
      </c>
      <c r="AA214" s="680">
        <f>+U214*G214</f>
        <v>119490</v>
      </c>
      <c r="AB214" s="680">
        <f>+U214*H214</f>
        <v>298620</v>
      </c>
      <c r="AC214" s="680">
        <f>+U214*I214</f>
        <v>0</v>
      </c>
      <c r="AD214" s="680">
        <f>+U214*J214</f>
        <v>0</v>
      </c>
      <c r="AE214" s="680">
        <f>+U214*K214</f>
        <v>0</v>
      </c>
      <c r="AF214" s="680">
        <f>+U214*L214</f>
        <v>0</v>
      </c>
      <c r="AG214" s="680">
        <f>+U214*M214</f>
        <v>0</v>
      </c>
      <c r="AH214" s="680">
        <f>+U214*N214</f>
        <v>0</v>
      </c>
      <c r="AI214" s="681">
        <f>+U214*O214</f>
        <v>119490</v>
      </c>
      <c r="AJ214" s="681">
        <f>+U214*P214</f>
        <v>298620</v>
      </c>
    </row>
    <row r="215" spans="1:36" hidden="1">
      <c r="A215" s="680">
        <v>2212007009</v>
      </c>
      <c r="B215" s="680" t="s">
        <v>555</v>
      </c>
      <c r="C215" s="680" t="s">
        <v>512</v>
      </c>
      <c r="D215" s="680" t="s">
        <v>511</v>
      </c>
      <c r="E215" s="680" t="s">
        <v>489</v>
      </c>
      <c r="F215" s="680" t="s">
        <v>488</v>
      </c>
      <c r="G215" s="680">
        <v>56</v>
      </c>
      <c r="H215" s="680">
        <v>138</v>
      </c>
      <c r="I215" s="680">
        <v>0</v>
      </c>
      <c r="J215" s="680">
        <v>0</v>
      </c>
      <c r="K215" s="680">
        <v>0</v>
      </c>
      <c r="L215" s="680">
        <v>0</v>
      </c>
      <c r="M215" s="680">
        <v>0</v>
      </c>
      <c r="N215" s="680">
        <v>0</v>
      </c>
      <c r="O215" s="680">
        <f>+G215+I215+K215+M215</f>
        <v>56</v>
      </c>
      <c r="P215" s="680">
        <f>+H215+J215+L215+N215</f>
        <v>138</v>
      </c>
      <c r="Q215" s="680" t="s">
        <v>495</v>
      </c>
      <c r="R215" s="680" t="s">
        <v>494</v>
      </c>
      <c r="S215" s="680" t="s">
        <v>6</v>
      </c>
      <c r="T215" s="680" t="s">
        <v>484</v>
      </c>
      <c r="U215" s="681">
        <v>300</v>
      </c>
      <c r="V215" s="680">
        <v>322.54000000000002</v>
      </c>
      <c r="W215" s="680" t="s">
        <v>554</v>
      </c>
      <c r="X215" s="680" t="s">
        <v>485</v>
      </c>
      <c r="Y215" s="680" t="s">
        <v>484</v>
      </c>
      <c r="Z215" s="680" t="s">
        <v>483</v>
      </c>
      <c r="AA215" s="680">
        <f>+U215*G215</f>
        <v>16800</v>
      </c>
      <c r="AB215" s="680">
        <f>+U215*H215</f>
        <v>41400</v>
      </c>
      <c r="AC215" s="680">
        <f>+U215*I215</f>
        <v>0</v>
      </c>
      <c r="AD215" s="680">
        <f>+U215*J215</f>
        <v>0</v>
      </c>
      <c r="AE215" s="680">
        <f>+U215*K215</f>
        <v>0</v>
      </c>
      <c r="AF215" s="680">
        <f>+U215*L215</f>
        <v>0</v>
      </c>
      <c r="AG215" s="680">
        <f>+U215*M215</f>
        <v>0</v>
      </c>
      <c r="AH215" s="680">
        <f>+U215*N215</f>
        <v>0</v>
      </c>
      <c r="AI215" s="681">
        <f>+U215*O215</f>
        <v>16800</v>
      </c>
      <c r="AJ215" s="681">
        <f>+U215*P215</f>
        <v>41400</v>
      </c>
    </row>
    <row r="216" spans="1:36" hidden="1">
      <c r="A216" s="680">
        <v>2212007010</v>
      </c>
      <c r="B216" s="680" t="s">
        <v>157</v>
      </c>
      <c r="C216" s="680" t="s">
        <v>512</v>
      </c>
      <c r="D216" s="680" t="s">
        <v>511</v>
      </c>
      <c r="E216" s="680" t="s">
        <v>489</v>
      </c>
      <c r="F216" s="680" t="s">
        <v>488</v>
      </c>
      <c r="G216" s="680">
        <v>120</v>
      </c>
      <c r="H216" s="680">
        <v>300</v>
      </c>
      <c r="I216" s="680">
        <v>0</v>
      </c>
      <c r="J216" s="680">
        <v>0</v>
      </c>
      <c r="K216" s="680">
        <v>0</v>
      </c>
      <c r="L216" s="680">
        <v>0</v>
      </c>
      <c r="M216" s="680">
        <v>0</v>
      </c>
      <c r="N216" s="680">
        <v>0</v>
      </c>
      <c r="O216" s="680">
        <f>+G216+I216+K216+M216</f>
        <v>120</v>
      </c>
      <c r="P216" s="680">
        <f>+H216+J216+L216+N216</f>
        <v>300</v>
      </c>
      <c r="Q216" s="680" t="s">
        <v>495</v>
      </c>
      <c r="R216" s="680" t="s">
        <v>494</v>
      </c>
      <c r="S216" s="680" t="s">
        <v>6</v>
      </c>
      <c r="T216" s="680" t="s">
        <v>484</v>
      </c>
      <c r="U216" s="681">
        <v>210</v>
      </c>
      <c r="V216" s="680">
        <v>211.9</v>
      </c>
      <c r="W216" s="680" t="s">
        <v>554</v>
      </c>
      <c r="X216" s="680" t="s">
        <v>485</v>
      </c>
      <c r="Y216" s="680" t="s">
        <v>484</v>
      </c>
      <c r="Z216" s="680" t="s">
        <v>483</v>
      </c>
      <c r="AA216" s="680">
        <f>+U216*G216</f>
        <v>25200</v>
      </c>
      <c r="AB216" s="680">
        <f>+U216*H216</f>
        <v>63000</v>
      </c>
      <c r="AC216" s="680">
        <f>+U216*I216</f>
        <v>0</v>
      </c>
      <c r="AD216" s="680">
        <f>+U216*J216</f>
        <v>0</v>
      </c>
      <c r="AE216" s="680">
        <f>+U216*K216</f>
        <v>0</v>
      </c>
      <c r="AF216" s="680">
        <f>+U216*L216</f>
        <v>0</v>
      </c>
      <c r="AG216" s="680">
        <f>+U216*M216</f>
        <v>0</v>
      </c>
      <c r="AH216" s="680">
        <f>+U216*N216</f>
        <v>0</v>
      </c>
      <c r="AI216" s="681">
        <f>+U216*O216</f>
        <v>25200</v>
      </c>
      <c r="AJ216" s="681">
        <f>+U216*P216</f>
        <v>63000</v>
      </c>
    </row>
    <row r="217" spans="1:36" hidden="1">
      <c r="A217" s="680">
        <v>2212008002</v>
      </c>
      <c r="B217" s="680" t="s">
        <v>553</v>
      </c>
      <c r="C217" s="680" t="s">
        <v>510</v>
      </c>
      <c r="D217" s="680" t="s">
        <v>509</v>
      </c>
      <c r="E217" s="680" t="s">
        <v>489</v>
      </c>
      <c r="F217" s="680" t="s">
        <v>488</v>
      </c>
      <c r="G217" s="680">
        <v>500</v>
      </c>
      <c r="H217" s="680">
        <v>1248</v>
      </c>
      <c r="I217" s="680">
        <v>0</v>
      </c>
      <c r="J217" s="680">
        <v>0</v>
      </c>
      <c r="K217" s="680">
        <v>0</v>
      </c>
      <c r="L217" s="680">
        <v>0</v>
      </c>
      <c r="M217" s="680">
        <v>0</v>
      </c>
      <c r="N217" s="680">
        <v>0</v>
      </c>
      <c r="O217" s="680">
        <f>+G217+I217+K217+M217</f>
        <v>500</v>
      </c>
      <c r="P217" s="680">
        <f>+H217+J217+L217+N217</f>
        <v>1248</v>
      </c>
      <c r="Q217" s="680" t="s">
        <v>552</v>
      </c>
      <c r="R217" s="680" t="s">
        <v>552</v>
      </c>
      <c r="S217" s="680" t="s">
        <v>86</v>
      </c>
      <c r="T217" s="680" t="s">
        <v>484</v>
      </c>
      <c r="U217" s="681">
        <v>27</v>
      </c>
      <c r="V217" s="680">
        <v>29.34</v>
      </c>
      <c r="W217" s="680" t="s">
        <v>507</v>
      </c>
      <c r="X217" s="680" t="s">
        <v>485</v>
      </c>
      <c r="Y217" s="680" t="s">
        <v>484</v>
      </c>
      <c r="Z217" s="680" t="s">
        <v>483</v>
      </c>
      <c r="AA217" s="680">
        <f>+U217*G217</f>
        <v>13500</v>
      </c>
      <c r="AB217" s="680">
        <f>+U217*H217</f>
        <v>33696</v>
      </c>
      <c r="AC217" s="680">
        <f>+U217*I217</f>
        <v>0</v>
      </c>
      <c r="AD217" s="680">
        <f>+U217*J217</f>
        <v>0</v>
      </c>
      <c r="AE217" s="680">
        <f>+U217*K217</f>
        <v>0</v>
      </c>
      <c r="AF217" s="680">
        <f>+U217*L217</f>
        <v>0</v>
      </c>
      <c r="AG217" s="680">
        <f>+U217*M217</f>
        <v>0</v>
      </c>
      <c r="AH217" s="680">
        <f>+U217*N217</f>
        <v>0</v>
      </c>
      <c r="AI217" s="681">
        <f>+U217*O217</f>
        <v>13500</v>
      </c>
      <c r="AJ217" s="681">
        <f>+U217*P217</f>
        <v>33696</v>
      </c>
    </row>
    <row r="218" spans="1:36">
      <c r="A218" s="680">
        <v>2212008004</v>
      </c>
      <c r="B218" s="680" t="s">
        <v>551</v>
      </c>
      <c r="C218" s="680" t="s">
        <v>519</v>
      </c>
      <c r="D218" s="680" t="s">
        <v>518</v>
      </c>
      <c r="E218" s="680" t="s">
        <v>489</v>
      </c>
      <c r="F218" s="680" t="s">
        <v>488</v>
      </c>
      <c r="G218" s="680">
        <v>0</v>
      </c>
      <c r="H218" s="680">
        <v>0</v>
      </c>
      <c r="I218" s="680">
        <v>6</v>
      </c>
      <c r="J218" s="680">
        <v>13</v>
      </c>
      <c r="K218" s="680">
        <v>0</v>
      </c>
      <c r="L218" s="680">
        <v>0</v>
      </c>
      <c r="M218" s="680">
        <v>0</v>
      </c>
      <c r="N218" s="680">
        <v>0</v>
      </c>
      <c r="O218" s="680">
        <f>+G218+I218+K218+M218</f>
        <v>6</v>
      </c>
      <c r="P218" s="680">
        <f>+H218+J218+L218+N218</f>
        <v>13</v>
      </c>
      <c r="Q218" s="680" t="s">
        <v>528</v>
      </c>
      <c r="R218" s="680" t="s">
        <v>527</v>
      </c>
      <c r="S218" s="680" t="s">
        <v>6</v>
      </c>
      <c r="T218" s="680" t="s">
        <v>484</v>
      </c>
      <c r="U218" s="681">
        <v>350</v>
      </c>
      <c r="V218" s="680">
        <v>357.5</v>
      </c>
      <c r="W218" s="680" t="s">
        <v>526</v>
      </c>
      <c r="X218" s="680" t="s">
        <v>485</v>
      </c>
      <c r="Y218" s="680" t="s">
        <v>484</v>
      </c>
      <c r="Z218" s="680" t="s">
        <v>483</v>
      </c>
      <c r="AA218" s="680">
        <f>+U218*G218</f>
        <v>0</v>
      </c>
      <c r="AB218" s="680">
        <f>+U218*H218</f>
        <v>0</v>
      </c>
      <c r="AC218" s="680">
        <f>+U218*I218</f>
        <v>2100</v>
      </c>
      <c r="AD218" s="680">
        <f>+U218*J218</f>
        <v>4550</v>
      </c>
      <c r="AE218" s="680">
        <f>+U218*K218</f>
        <v>0</v>
      </c>
      <c r="AF218" s="680">
        <f>+U218*L218</f>
        <v>0</v>
      </c>
      <c r="AG218" s="680">
        <f>+U218*M218</f>
        <v>0</v>
      </c>
      <c r="AH218" s="680">
        <f>+U218*N218</f>
        <v>0</v>
      </c>
      <c r="AI218" s="681">
        <f>+U218*O218</f>
        <v>2100</v>
      </c>
      <c r="AJ218" s="681">
        <f>+U218*P218</f>
        <v>4550</v>
      </c>
    </row>
    <row r="219" spans="1:36">
      <c r="A219" s="680">
        <v>2212008006</v>
      </c>
      <c r="B219" s="680" t="s">
        <v>550</v>
      </c>
      <c r="C219" s="680" t="s">
        <v>519</v>
      </c>
      <c r="D219" s="680" t="s">
        <v>518</v>
      </c>
      <c r="E219" s="680" t="s">
        <v>489</v>
      </c>
      <c r="F219" s="680" t="s">
        <v>488</v>
      </c>
      <c r="G219" s="680">
        <v>0</v>
      </c>
      <c r="H219" s="680">
        <v>0</v>
      </c>
      <c r="I219" s="680">
        <v>360</v>
      </c>
      <c r="J219" s="680">
        <v>900</v>
      </c>
      <c r="K219" s="680">
        <v>0</v>
      </c>
      <c r="L219" s="680">
        <v>0</v>
      </c>
      <c r="M219" s="680">
        <v>0</v>
      </c>
      <c r="N219" s="680">
        <v>0</v>
      </c>
      <c r="O219" s="680">
        <f>+G219+I219+K219+M219</f>
        <v>360</v>
      </c>
      <c r="P219" s="680">
        <f>+H219+J219+L219+N219</f>
        <v>900</v>
      </c>
      <c r="Q219" s="680" t="s">
        <v>528</v>
      </c>
      <c r="R219" s="680" t="s">
        <v>527</v>
      </c>
      <c r="S219" s="680" t="s">
        <v>8</v>
      </c>
      <c r="T219" s="680" t="s">
        <v>484</v>
      </c>
      <c r="U219" s="681">
        <v>19.5</v>
      </c>
      <c r="V219" s="680">
        <v>19.739999999999998</v>
      </c>
      <c r="W219" s="680" t="s">
        <v>526</v>
      </c>
      <c r="X219" s="680" t="s">
        <v>485</v>
      </c>
      <c r="Y219" s="680" t="s">
        <v>484</v>
      </c>
      <c r="Z219" s="680" t="s">
        <v>483</v>
      </c>
      <c r="AA219" s="680">
        <f>+U219*G219</f>
        <v>0</v>
      </c>
      <c r="AB219" s="680">
        <f>+U219*H219</f>
        <v>0</v>
      </c>
      <c r="AC219" s="680">
        <f>+U219*I219</f>
        <v>7020</v>
      </c>
      <c r="AD219" s="680">
        <f>+U219*J219</f>
        <v>17550</v>
      </c>
      <c r="AE219" s="680">
        <f>+U219*K219</f>
        <v>0</v>
      </c>
      <c r="AF219" s="680">
        <f>+U219*L219</f>
        <v>0</v>
      </c>
      <c r="AG219" s="680">
        <f>+U219*M219</f>
        <v>0</v>
      </c>
      <c r="AH219" s="680">
        <f>+U219*N219</f>
        <v>0</v>
      </c>
      <c r="AI219" s="681">
        <f>+U219*O219</f>
        <v>7020</v>
      </c>
      <c r="AJ219" s="681">
        <f>+U219*P219</f>
        <v>17550</v>
      </c>
    </row>
    <row r="220" spans="1:36">
      <c r="A220" s="680">
        <v>2212008007</v>
      </c>
      <c r="B220" s="680" t="s">
        <v>201</v>
      </c>
      <c r="C220" s="680" t="s">
        <v>519</v>
      </c>
      <c r="D220" s="680" t="s">
        <v>518</v>
      </c>
      <c r="E220" s="680" t="s">
        <v>489</v>
      </c>
      <c r="F220" s="680" t="s">
        <v>488</v>
      </c>
      <c r="G220" s="680">
        <v>53</v>
      </c>
      <c r="H220" s="680">
        <v>132</v>
      </c>
      <c r="I220" s="680">
        <v>0</v>
      </c>
      <c r="J220" s="680">
        <v>0</v>
      </c>
      <c r="K220" s="680">
        <v>0</v>
      </c>
      <c r="L220" s="680">
        <v>0</v>
      </c>
      <c r="M220" s="680">
        <v>0</v>
      </c>
      <c r="N220" s="680">
        <v>0</v>
      </c>
      <c r="O220" s="680">
        <f>+G220+I220+K220+M220</f>
        <v>53</v>
      </c>
      <c r="P220" s="680">
        <f>+H220+J220+L220+N220</f>
        <v>132</v>
      </c>
      <c r="Q220" s="680" t="s">
        <v>527</v>
      </c>
      <c r="R220" s="680" t="s">
        <v>527</v>
      </c>
      <c r="S220" s="680" t="s">
        <v>8</v>
      </c>
      <c r="T220" s="680" t="s">
        <v>484</v>
      </c>
      <c r="U220" s="681">
        <v>10</v>
      </c>
      <c r="V220" s="680">
        <v>10.94</v>
      </c>
      <c r="W220" s="680" t="s">
        <v>526</v>
      </c>
      <c r="X220" s="680" t="s">
        <v>485</v>
      </c>
      <c r="Y220" s="680" t="s">
        <v>484</v>
      </c>
      <c r="Z220" s="680" t="s">
        <v>483</v>
      </c>
      <c r="AA220" s="680">
        <f>+U220*G220</f>
        <v>530</v>
      </c>
      <c r="AB220" s="680">
        <f>+U220*H220</f>
        <v>1320</v>
      </c>
      <c r="AC220" s="680">
        <f>+U220*I220</f>
        <v>0</v>
      </c>
      <c r="AD220" s="680">
        <f>+U220*J220</f>
        <v>0</v>
      </c>
      <c r="AE220" s="680">
        <f>+U220*K220</f>
        <v>0</v>
      </c>
      <c r="AF220" s="680">
        <f>+U220*L220</f>
        <v>0</v>
      </c>
      <c r="AG220" s="680">
        <f>+U220*M220</f>
        <v>0</v>
      </c>
      <c r="AH220" s="680">
        <f>+U220*N220</f>
        <v>0</v>
      </c>
      <c r="AI220" s="681">
        <f>+U220*O220</f>
        <v>530</v>
      </c>
      <c r="AJ220" s="681">
        <f>+U220*P220</f>
        <v>1320</v>
      </c>
    </row>
    <row r="221" spans="1:36">
      <c r="A221" s="680">
        <v>2212008008</v>
      </c>
      <c r="B221" s="680" t="s">
        <v>549</v>
      </c>
      <c r="C221" s="680" t="s">
        <v>519</v>
      </c>
      <c r="D221" s="680" t="s">
        <v>518</v>
      </c>
      <c r="E221" s="680" t="s">
        <v>489</v>
      </c>
      <c r="F221" s="680" t="s">
        <v>488</v>
      </c>
      <c r="G221" s="680">
        <v>4128</v>
      </c>
      <c r="H221" s="680">
        <v>10320</v>
      </c>
      <c r="I221" s="680">
        <v>4320</v>
      </c>
      <c r="J221" s="680">
        <v>10800</v>
      </c>
      <c r="K221" s="680">
        <v>0</v>
      </c>
      <c r="L221" s="680">
        <v>0</v>
      </c>
      <c r="M221" s="680">
        <v>0</v>
      </c>
      <c r="N221" s="680">
        <v>0</v>
      </c>
      <c r="O221" s="680">
        <f>+G221+I221+K221+M221</f>
        <v>8448</v>
      </c>
      <c r="P221" s="680">
        <f>+H221+J221+L221+N221</f>
        <v>21120</v>
      </c>
      <c r="Q221" s="680" t="s">
        <v>527</v>
      </c>
      <c r="R221" s="680" t="s">
        <v>527</v>
      </c>
      <c r="S221" s="680" t="s">
        <v>8</v>
      </c>
      <c r="T221" s="680" t="s">
        <v>484</v>
      </c>
      <c r="U221" s="681">
        <v>6</v>
      </c>
      <c r="V221" s="680">
        <v>6.52</v>
      </c>
      <c r="W221" s="680" t="s">
        <v>526</v>
      </c>
      <c r="X221" s="680" t="s">
        <v>485</v>
      </c>
      <c r="Y221" s="680" t="s">
        <v>484</v>
      </c>
      <c r="Z221" s="680" t="s">
        <v>483</v>
      </c>
      <c r="AA221" s="680">
        <f>+U221*G221</f>
        <v>24768</v>
      </c>
      <c r="AB221" s="680">
        <f>+U221*H221</f>
        <v>61920</v>
      </c>
      <c r="AC221" s="680">
        <f>+U221*I221</f>
        <v>25920</v>
      </c>
      <c r="AD221" s="680">
        <f>+U221*J221</f>
        <v>64800</v>
      </c>
      <c r="AE221" s="680">
        <f>+U221*K221</f>
        <v>0</v>
      </c>
      <c r="AF221" s="680">
        <f>+U221*L221</f>
        <v>0</v>
      </c>
      <c r="AG221" s="680">
        <f>+U221*M221</f>
        <v>0</v>
      </c>
      <c r="AH221" s="680">
        <f>+U221*N221</f>
        <v>0</v>
      </c>
      <c r="AI221" s="681">
        <f>+U221*O221</f>
        <v>50688</v>
      </c>
      <c r="AJ221" s="681">
        <f>+U221*P221</f>
        <v>126720</v>
      </c>
    </row>
    <row r="222" spans="1:36" hidden="1">
      <c r="A222" s="680">
        <v>2212008010</v>
      </c>
      <c r="B222" s="680" t="s">
        <v>204</v>
      </c>
      <c r="C222" s="680" t="s">
        <v>491</v>
      </c>
      <c r="D222" s="680" t="s">
        <v>490</v>
      </c>
      <c r="E222" s="680" t="s">
        <v>489</v>
      </c>
      <c r="F222" s="680" t="s">
        <v>488</v>
      </c>
      <c r="G222" s="680">
        <v>1371</v>
      </c>
      <c r="H222" s="680">
        <v>3426</v>
      </c>
      <c r="I222" s="680">
        <v>900</v>
      </c>
      <c r="J222" s="680">
        <v>2250</v>
      </c>
      <c r="K222" s="680">
        <v>30</v>
      </c>
      <c r="L222" s="680">
        <v>75</v>
      </c>
      <c r="M222" s="680">
        <v>0</v>
      </c>
      <c r="N222" s="680">
        <v>0</v>
      </c>
      <c r="O222" s="680">
        <f>+G222+I222+K222+M222</f>
        <v>2301</v>
      </c>
      <c r="P222" s="680">
        <f>+H222+J222+L222+N222</f>
        <v>5751</v>
      </c>
      <c r="Q222" s="680" t="s">
        <v>536</v>
      </c>
      <c r="R222" s="680" t="s">
        <v>536</v>
      </c>
      <c r="S222" s="680" t="s">
        <v>86</v>
      </c>
      <c r="T222" s="680" t="s">
        <v>484</v>
      </c>
      <c r="U222" s="681">
        <v>46.5</v>
      </c>
      <c r="V222" s="680">
        <v>49.45</v>
      </c>
      <c r="W222" s="680" t="s">
        <v>533</v>
      </c>
      <c r="X222" s="680" t="s">
        <v>485</v>
      </c>
      <c r="Y222" s="680" t="s">
        <v>484</v>
      </c>
      <c r="Z222" s="680" t="s">
        <v>483</v>
      </c>
      <c r="AA222" s="680">
        <f>+U222*G222</f>
        <v>63751.5</v>
      </c>
      <c r="AB222" s="680">
        <f>+U222*H222</f>
        <v>159309</v>
      </c>
      <c r="AC222" s="680">
        <f>+U222*I222</f>
        <v>41850</v>
      </c>
      <c r="AD222" s="680">
        <f>+U222*J222</f>
        <v>104625</v>
      </c>
      <c r="AE222" s="680">
        <f>+U222*K222</f>
        <v>1395</v>
      </c>
      <c r="AF222" s="680">
        <f>+U222*L222</f>
        <v>3487.5</v>
      </c>
      <c r="AG222" s="680">
        <f>+U222*M222</f>
        <v>0</v>
      </c>
      <c r="AH222" s="680">
        <f>+U222*N222</f>
        <v>0</v>
      </c>
      <c r="AI222" s="681">
        <f>+U222*O222</f>
        <v>106996.5</v>
      </c>
      <c r="AJ222" s="681">
        <f>+U222*P222</f>
        <v>267421.5</v>
      </c>
    </row>
    <row r="223" spans="1:36">
      <c r="A223" s="680">
        <v>2212008011</v>
      </c>
      <c r="B223" s="680" t="s">
        <v>548</v>
      </c>
      <c r="C223" s="680" t="s">
        <v>519</v>
      </c>
      <c r="D223" s="680" t="s">
        <v>518</v>
      </c>
      <c r="E223" s="680" t="s">
        <v>489</v>
      </c>
      <c r="F223" s="680" t="s">
        <v>488</v>
      </c>
      <c r="G223" s="680">
        <v>17400</v>
      </c>
      <c r="H223" s="680">
        <v>43500</v>
      </c>
      <c r="I223" s="680">
        <v>2880</v>
      </c>
      <c r="J223" s="680">
        <v>7200</v>
      </c>
      <c r="K223" s="680">
        <v>0</v>
      </c>
      <c r="L223" s="680">
        <v>0</v>
      </c>
      <c r="M223" s="680">
        <v>0</v>
      </c>
      <c r="N223" s="680">
        <v>0</v>
      </c>
      <c r="O223" s="680">
        <f>+G223+I223+K223+M223</f>
        <v>20280</v>
      </c>
      <c r="P223" s="680">
        <f>+H223+J223+L223+N223</f>
        <v>50700</v>
      </c>
      <c r="Q223" s="680" t="s">
        <v>527</v>
      </c>
      <c r="R223" s="680" t="s">
        <v>527</v>
      </c>
      <c r="S223" s="680" t="s">
        <v>8</v>
      </c>
      <c r="T223" s="680" t="s">
        <v>484</v>
      </c>
      <c r="U223" s="681">
        <v>12.9</v>
      </c>
      <c r="V223" s="680">
        <v>13</v>
      </c>
      <c r="W223" s="680" t="s">
        <v>526</v>
      </c>
      <c r="X223" s="680" t="s">
        <v>485</v>
      </c>
      <c r="Y223" s="680" t="s">
        <v>484</v>
      </c>
      <c r="Z223" s="680" t="s">
        <v>483</v>
      </c>
      <c r="AA223" s="680">
        <f>+U223*G223</f>
        <v>224460</v>
      </c>
      <c r="AB223" s="680">
        <f>+U223*H223</f>
        <v>561150</v>
      </c>
      <c r="AC223" s="680">
        <f>+U223*I223</f>
        <v>37152</v>
      </c>
      <c r="AD223" s="680">
        <f>+U223*J223</f>
        <v>92880</v>
      </c>
      <c r="AE223" s="680">
        <f>+U223*K223</f>
        <v>0</v>
      </c>
      <c r="AF223" s="680">
        <f>+U223*L223</f>
        <v>0</v>
      </c>
      <c r="AG223" s="680">
        <f>+U223*M223</f>
        <v>0</v>
      </c>
      <c r="AH223" s="680">
        <f>+U223*N223</f>
        <v>0</v>
      </c>
      <c r="AI223" s="681">
        <f>+U223*O223</f>
        <v>261612</v>
      </c>
      <c r="AJ223" s="681">
        <f>+U223*P223</f>
        <v>654030</v>
      </c>
    </row>
    <row r="224" spans="1:36" hidden="1">
      <c r="A224" s="680">
        <v>2212008012</v>
      </c>
      <c r="B224" s="680" t="s">
        <v>206</v>
      </c>
      <c r="C224" s="680" t="s">
        <v>491</v>
      </c>
      <c r="D224" s="680" t="s">
        <v>490</v>
      </c>
      <c r="E224" s="680" t="s">
        <v>489</v>
      </c>
      <c r="F224" s="680" t="s">
        <v>488</v>
      </c>
      <c r="G224" s="680">
        <v>77</v>
      </c>
      <c r="H224" s="680">
        <v>192</v>
      </c>
      <c r="I224" s="680">
        <v>6</v>
      </c>
      <c r="J224" s="680">
        <v>13</v>
      </c>
      <c r="K224" s="680">
        <v>0</v>
      </c>
      <c r="L224" s="680">
        <v>0</v>
      </c>
      <c r="M224" s="680">
        <v>0</v>
      </c>
      <c r="N224" s="680">
        <v>0</v>
      </c>
      <c r="O224" s="680">
        <f>+G224+I224+K224+M224</f>
        <v>83</v>
      </c>
      <c r="P224" s="680">
        <f>+H224+J224+L224+N224</f>
        <v>205</v>
      </c>
      <c r="Q224" s="680" t="s">
        <v>516</v>
      </c>
      <c r="R224" s="680" t="s">
        <v>516</v>
      </c>
      <c r="S224" s="680" t="s">
        <v>6</v>
      </c>
      <c r="T224" s="680" t="s">
        <v>484</v>
      </c>
      <c r="U224" s="681">
        <v>80</v>
      </c>
      <c r="V224" s="680">
        <v>86.64</v>
      </c>
      <c r="W224" s="680" t="s">
        <v>533</v>
      </c>
      <c r="X224" s="680" t="s">
        <v>485</v>
      </c>
      <c r="Y224" s="680" t="s">
        <v>484</v>
      </c>
      <c r="Z224" s="680" t="s">
        <v>483</v>
      </c>
      <c r="AA224" s="680">
        <f>+U224*G224</f>
        <v>6160</v>
      </c>
      <c r="AB224" s="680">
        <f>+U224*H224</f>
        <v>15360</v>
      </c>
      <c r="AC224" s="680">
        <f>+U224*I224</f>
        <v>480</v>
      </c>
      <c r="AD224" s="680">
        <f>+U224*J224</f>
        <v>1040</v>
      </c>
      <c r="AE224" s="680">
        <f>+U224*K224</f>
        <v>0</v>
      </c>
      <c r="AF224" s="680">
        <f>+U224*L224</f>
        <v>0</v>
      </c>
      <c r="AG224" s="680">
        <f>+U224*M224</f>
        <v>0</v>
      </c>
      <c r="AH224" s="680">
        <f>+U224*N224</f>
        <v>0</v>
      </c>
      <c r="AI224" s="681">
        <f>+U224*O224</f>
        <v>6640</v>
      </c>
      <c r="AJ224" s="681">
        <f>+U224*P224</f>
        <v>16400</v>
      </c>
    </row>
    <row r="225" spans="1:36" hidden="1">
      <c r="A225" s="680">
        <v>2212008013</v>
      </c>
      <c r="B225" s="680" t="s">
        <v>547</v>
      </c>
      <c r="C225" s="680" t="s">
        <v>491</v>
      </c>
      <c r="D225" s="680" t="s">
        <v>490</v>
      </c>
      <c r="E225" s="680" t="s">
        <v>489</v>
      </c>
      <c r="F225" s="680" t="s">
        <v>488</v>
      </c>
      <c r="G225" s="680">
        <v>34</v>
      </c>
      <c r="H225" s="680">
        <v>84</v>
      </c>
      <c r="I225" s="680">
        <v>173</v>
      </c>
      <c r="J225" s="680">
        <v>432</v>
      </c>
      <c r="K225" s="680">
        <v>0</v>
      </c>
      <c r="L225" s="680">
        <v>0</v>
      </c>
      <c r="M225" s="680">
        <v>0</v>
      </c>
      <c r="N225" s="680">
        <v>0</v>
      </c>
      <c r="O225" s="680">
        <f>+G225+I225+K225+M225</f>
        <v>207</v>
      </c>
      <c r="P225" s="680">
        <f>+H225+J225+L225+N225</f>
        <v>516</v>
      </c>
      <c r="Q225" s="680" t="s">
        <v>536</v>
      </c>
      <c r="R225" s="680" t="s">
        <v>536</v>
      </c>
      <c r="S225" s="680" t="s">
        <v>86</v>
      </c>
      <c r="T225" s="680" t="s">
        <v>484</v>
      </c>
      <c r="U225" s="681">
        <v>43</v>
      </c>
      <c r="V225" s="680">
        <v>46.47</v>
      </c>
      <c r="W225" s="680" t="s">
        <v>533</v>
      </c>
      <c r="X225" s="680" t="s">
        <v>485</v>
      </c>
      <c r="Y225" s="680" t="s">
        <v>484</v>
      </c>
      <c r="Z225" s="680" t="s">
        <v>483</v>
      </c>
      <c r="AA225" s="680">
        <f>+U225*G225</f>
        <v>1462</v>
      </c>
      <c r="AB225" s="680">
        <f>+U225*H225</f>
        <v>3612</v>
      </c>
      <c r="AC225" s="680">
        <f>+U225*I225</f>
        <v>7439</v>
      </c>
      <c r="AD225" s="680">
        <f>+U225*J225</f>
        <v>18576</v>
      </c>
      <c r="AE225" s="680">
        <f>+U225*K225</f>
        <v>0</v>
      </c>
      <c r="AF225" s="680">
        <f>+U225*L225</f>
        <v>0</v>
      </c>
      <c r="AG225" s="680">
        <f>+U225*M225</f>
        <v>0</v>
      </c>
      <c r="AH225" s="680">
        <f>+U225*N225</f>
        <v>0</v>
      </c>
      <c r="AI225" s="681">
        <f>+U225*O225</f>
        <v>8901</v>
      </c>
      <c r="AJ225" s="681">
        <f>+U225*P225</f>
        <v>22188</v>
      </c>
    </row>
    <row r="226" spans="1:36" hidden="1">
      <c r="A226" s="680">
        <v>2212008014</v>
      </c>
      <c r="B226" s="680" t="s">
        <v>546</v>
      </c>
      <c r="C226" s="680" t="s">
        <v>491</v>
      </c>
      <c r="D226" s="680" t="s">
        <v>490</v>
      </c>
      <c r="E226" s="680" t="s">
        <v>489</v>
      </c>
      <c r="F226" s="680" t="s">
        <v>488</v>
      </c>
      <c r="G226" s="680">
        <v>65</v>
      </c>
      <c r="H226" s="680">
        <v>162</v>
      </c>
      <c r="I226" s="680">
        <v>198</v>
      </c>
      <c r="J226" s="680">
        <v>495</v>
      </c>
      <c r="K226" s="680">
        <v>0</v>
      </c>
      <c r="L226" s="680">
        <v>0</v>
      </c>
      <c r="M226" s="680">
        <v>0</v>
      </c>
      <c r="N226" s="680">
        <v>0</v>
      </c>
      <c r="O226" s="680">
        <f>+G226+I226+K226+M226</f>
        <v>263</v>
      </c>
      <c r="P226" s="680">
        <f>+H226+J226+L226+N226</f>
        <v>657</v>
      </c>
      <c r="Q226" s="680" t="s">
        <v>536</v>
      </c>
      <c r="R226" s="680" t="s">
        <v>536</v>
      </c>
      <c r="S226" s="680" t="s">
        <v>86</v>
      </c>
      <c r="T226" s="680" t="s">
        <v>484</v>
      </c>
      <c r="U226" s="681">
        <v>39</v>
      </c>
      <c r="V226" s="680">
        <v>42.93</v>
      </c>
      <c r="W226" s="680" t="s">
        <v>533</v>
      </c>
      <c r="X226" s="680" t="s">
        <v>485</v>
      </c>
      <c r="Y226" s="680" t="s">
        <v>484</v>
      </c>
      <c r="Z226" s="680" t="s">
        <v>483</v>
      </c>
      <c r="AA226" s="680">
        <f>+U226*G226</f>
        <v>2535</v>
      </c>
      <c r="AB226" s="680">
        <f>+U226*H226</f>
        <v>6318</v>
      </c>
      <c r="AC226" s="680">
        <f>+U226*I226</f>
        <v>7722</v>
      </c>
      <c r="AD226" s="680">
        <f>+U226*J226</f>
        <v>19305</v>
      </c>
      <c r="AE226" s="680">
        <f>+U226*K226</f>
        <v>0</v>
      </c>
      <c r="AF226" s="680">
        <f>+U226*L226</f>
        <v>0</v>
      </c>
      <c r="AG226" s="680">
        <f>+U226*M226</f>
        <v>0</v>
      </c>
      <c r="AH226" s="680">
        <f>+U226*N226</f>
        <v>0</v>
      </c>
      <c r="AI226" s="681">
        <f>+U226*O226</f>
        <v>10257</v>
      </c>
      <c r="AJ226" s="681">
        <f>+U226*P226</f>
        <v>25623</v>
      </c>
    </row>
    <row r="227" spans="1:36" hidden="1">
      <c r="A227" s="680">
        <v>2212008015</v>
      </c>
      <c r="B227" s="680" t="s">
        <v>545</v>
      </c>
      <c r="C227" s="680" t="s">
        <v>491</v>
      </c>
      <c r="D227" s="680" t="s">
        <v>490</v>
      </c>
      <c r="E227" s="680" t="s">
        <v>489</v>
      </c>
      <c r="F227" s="680" t="s">
        <v>488</v>
      </c>
      <c r="G227" s="680">
        <v>104</v>
      </c>
      <c r="H227" s="680">
        <v>258</v>
      </c>
      <c r="I227" s="680">
        <v>9</v>
      </c>
      <c r="J227" s="680">
        <v>22</v>
      </c>
      <c r="K227" s="680">
        <v>0</v>
      </c>
      <c r="L227" s="680">
        <v>0</v>
      </c>
      <c r="M227" s="680">
        <v>0</v>
      </c>
      <c r="N227" s="680">
        <v>0</v>
      </c>
      <c r="O227" s="680">
        <f>+G227+I227+K227+M227</f>
        <v>113</v>
      </c>
      <c r="P227" s="680">
        <f>+H227+J227+L227+N227</f>
        <v>280</v>
      </c>
      <c r="Q227" s="680" t="s">
        <v>536</v>
      </c>
      <c r="R227" s="680" t="s">
        <v>536</v>
      </c>
      <c r="S227" s="680" t="s">
        <v>86</v>
      </c>
      <c r="T227" s="680" t="s">
        <v>484</v>
      </c>
      <c r="U227" s="681">
        <v>32</v>
      </c>
      <c r="V227" s="680">
        <v>34.24</v>
      </c>
      <c r="W227" s="680" t="s">
        <v>533</v>
      </c>
      <c r="X227" s="680" t="s">
        <v>485</v>
      </c>
      <c r="Y227" s="680" t="s">
        <v>484</v>
      </c>
      <c r="Z227" s="680" t="s">
        <v>483</v>
      </c>
      <c r="AA227" s="680">
        <f>+U227*G227</f>
        <v>3328</v>
      </c>
      <c r="AB227" s="680">
        <f>+U227*H227</f>
        <v>8256</v>
      </c>
      <c r="AC227" s="680">
        <f>+U227*I227</f>
        <v>288</v>
      </c>
      <c r="AD227" s="680">
        <f>+U227*J227</f>
        <v>704</v>
      </c>
      <c r="AE227" s="680">
        <f>+U227*K227</f>
        <v>0</v>
      </c>
      <c r="AF227" s="680">
        <f>+U227*L227</f>
        <v>0</v>
      </c>
      <c r="AG227" s="680">
        <f>+U227*M227</f>
        <v>0</v>
      </c>
      <c r="AH227" s="680">
        <f>+U227*N227</f>
        <v>0</v>
      </c>
      <c r="AI227" s="681">
        <f>+U227*O227</f>
        <v>3616</v>
      </c>
      <c r="AJ227" s="681">
        <f>+U227*P227</f>
        <v>8960</v>
      </c>
    </row>
    <row r="228" spans="1:36" hidden="1">
      <c r="A228" s="680">
        <v>2212008017</v>
      </c>
      <c r="B228" s="680" t="s">
        <v>544</v>
      </c>
      <c r="C228" s="680" t="s">
        <v>510</v>
      </c>
      <c r="D228" s="680" t="s">
        <v>509</v>
      </c>
      <c r="E228" s="680" t="s">
        <v>489</v>
      </c>
      <c r="F228" s="680" t="s">
        <v>488</v>
      </c>
      <c r="G228" s="680">
        <v>3840</v>
      </c>
      <c r="H228" s="680">
        <v>9600</v>
      </c>
      <c r="I228" s="680">
        <v>2160</v>
      </c>
      <c r="J228" s="680">
        <v>5400</v>
      </c>
      <c r="K228" s="680">
        <v>0</v>
      </c>
      <c r="L228" s="680">
        <v>0</v>
      </c>
      <c r="M228" s="680">
        <v>0</v>
      </c>
      <c r="N228" s="680">
        <v>0</v>
      </c>
      <c r="O228" s="680">
        <f>+G228+I228+K228+M228</f>
        <v>6000</v>
      </c>
      <c r="P228" s="680">
        <f>+H228+J228+L228+N228</f>
        <v>15000</v>
      </c>
      <c r="Q228" s="680" t="s">
        <v>532</v>
      </c>
      <c r="R228" s="680" t="s">
        <v>531</v>
      </c>
      <c r="S228" s="680" t="s">
        <v>8</v>
      </c>
      <c r="T228" s="680" t="s">
        <v>484</v>
      </c>
      <c r="U228" s="681">
        <v>12.1</v>
      </c>
      <c r="V228" s="680">
        <v>12.97</v>
      </c>
      <c r="W228" s="680" t="s">
        <v>530</v>
      </c>
      <c r="X228" s="680" t="s">
        <v>485</v>
      </c>
      <c r="Y228" s="680" t="s">
        <v>484</v>
      </c>
      <c r="Z228" s="680" t="s">
        <v>483</v>
      </c>
      <c r="AA228" s="680">
        <f>+U228*G228</f>
        <v>46464</v>
      </c>
      <c r="AB228" s="680">
        <f>+U228*H228</f>
        <v>116160</v>
      </c>
      <c r="AC228" s="680">
        <f>+U228*I228</f>
        <v>26136</v>
      </c>
      <c r="AD228" s="680">
        <f>+U228*J228</f>
        <v>65340</v>
      </c>
      <c r="AE228" s="680">
        <f>+U228*K228</f>
        <v>0</v>
      </c>
      <c r="AF228" s="680">
        <f>+U228*L228</f>
        <v>0</v>
      </c>
      <c r="AG228" s="680">
        <f>+U228*M228</f>
        <v>0</v>
      </c>
      <c r="AH228" s="680">
        <f>+U228*N228</f>
        <v>0</v>
      </c>
      <c r="AI228" s="681">
        <f>+U228*O228</f>
        <v>72600</v>
      </c>
      <c r="AJ228" s="681">
        <f>+U228*P228</f>
        <v>181500</v>
      </c>
    </row>
    <row r="229" spans="1:36">
      <c r="A229" s="680">
        <v>2212008018</v>
      </c>
      <c r="B229" s="680" t="s">
        <v>543</v>
      </c>
      <c r="C229" s="680" t="s">
        <v>519</v>
      </c>
      <c r="D229" s="680" t="s">
        <v>518</v>
      </c>
      <c r="E229" s="680" t="s">
        <v>489</v>
      </c>
      <c r="F229" s="680" t="s">
        <v>488</v>
      </c>
      <c r="G229" s="680">
        <v>20</v>
      </c>
      <c r="H229" s="680">
        <v>48</v>
      </c>
      <c r="I229" s="680">
        <v>432</v>
      </c>
      <c r="J229" s="680">
        <v>1080</v>
      </c>
      <c r="K229" s="680">
        <v>0</v>
      </c>
      <c r="L229" s="680">
        <v>0</v>
      </c>
      <c r="M229" s="680">
        <v>0</v>
      </c>
      <c r="N229" s="680">
        <v>0</v>
      </c>
      <c r="O229" s="680">
        <f>+G229+I229+K229+M229</f>
        <v>452</v>
      </c>
      <c r="P229" s="680">
        <f>+H229+J229+L229+N229</f>
        <v>1128</v>
      </c>
      <c r="Q229" s="680" t="s">
        <v>527</v>
      </c>
      <c r="R229" s="680" t="s">
        <v>527</v>
      </c>
      <c r="S229" s="680" t="s">
        <v>8</v>
      </c>
      <c r="T229" s="680" t="s">
        <v>484</v>
      </c>
      <c r="U229" s="681">
        <v>10</v>
      </c>
      <c r="V229" s="680">
        <v>10.97</v>
      </c>
      <c r="W229" s="680" t="s">
        <v>526</v>
      </c>
      <c r="X229" s="680" t="s">
        <v>485</v>
      </c>
      <c r="Y229" s="680" t="s">
        <v>484</v>
      </c>
      <c r="Z229" s="680" t="s">
        <v>483</v>
      </c>
      <c r="AA229" s="680">
        <f>+U229*G229</f>
        <v>200</v>
      </c>
      <c r="AB229" s="680">
        <f>+U229*H229</f>
        <v>480</v>
      </c>
      <c r="AC229" s="680">
        <f>+U229*I229</f>
        <v>4320</v>
      </c>
      <c r="AD229" s="680">
        <f>+U229*J229</f>
        <v>10800</v>
      </c>
      <c r="AE229" s="680">
        <f>+U229*K229</f>
        <v>0</v>
      </c>
      <c r="AF229" s="680">
        <f>+U229*L229</f>
        <v>0</v>
      </c>
      <c r="AG229" s="680">
        <f>+U229*M229</f>
        <v>0</v>
      </c>
      <c r="AH229" s="680">
        <f>+U229*N229</f>
        <v>0</v>
      </c>
      <c r="AI229" s="681">
        <f>+U229*O229</f>
        <v>4520</v>
      </c>
      <c r="AJ229" s="681">
        <f>+U229*P229</f>
        <v>11280</v>
      </c>
    </row>
    <row r="230" spans="1:36" hidden="1">
      <c r="A230" s="680">
        <v>2212008020</v>
      </c>
      <c r="B230" s="680" t="s">
        <v>542</v>
      </c>
      <c r="C230" s="680" t="s">
        <v>510</v>
      </c>
      <c r="D230" s="680" t="s">
        <v>509</v>
      </c>
      <c r="E230" s="680" t="s">
        <v>489</v>
      </c>
      <c r="F230" s="680" t="s">
        <v>488</v>
      </c>
      <c r="G230" s="680">
        <v>185</v>
      </c>
      <c r="H230" s="680">
        <v>462</v>
      </c>
      <c r="I230" s="680">
        <v>152</v>
      </c>
      <c r="J230" s="680">
        <v>378</v>
      </c>
      <c r="K230" s="680">
        <v>0</v>
      </c>
      <c r="L230" s="680">
        <v>0</v>
      </c>
      <c r="M230" s="680">
        <v>0</v>
      </c>
      <c r="N230" s="680">
        <v>0</v>
      </c>
      <c r="O230" s="680">
        <f>+G230+I230+K230+M230</f>
        <v>337</v>
      </c>
      <c r="P230" s="680">
        <f>+H230+J230+L230+N230</f>
        <v>840</v>
      </c>
      <c r="Q230" s="680" t="s">
        <v>541</v>
      </c>
      <c r="R230" s="680" t="s">
        <v>540</v>
      </c>
      <c r="S230" s="680" t="s">
        <v>6</v>
      </c>
      <c r="T230" s="680" t="s">
        <v>484</v>
      </c>
      <c r="U230" s="681">
        <v>11</v>
      </c>
      <c r="V230" s="680">
        <v>10.94</v>
      </c>
      <c r="W230" s="680" t="s">
        <v>530</v>
      </c>
      <c r="X230" s="680" t="s">
        <v>485</v>
      </c>
      <c r="Y230" s="680" t="s">
        <v>484</v>
      </c>
      <c r="Z230" s="680" t="s">
        <v>483</v>
      </c>
      <c r="AA230" s="680">
        <f>+U230*G230</f>
        <v>2035</v>
      </c>
      <c r="AB230" s="680">
        <f>+U230*H230</f>
        <v>5082</v>
      </c>
      <c r="AC230" s="680">
        <f>+U230*I230</f>
        <v>1672</v>
      </c>
      <c r="AD230" s="680">
        <f>+U230*J230</f>
        <v>4158</v>
      </c>
      <c r="AE230" s="680">
        <f>+U230*K230</f>
        <v>0</v>
      </c>
      <c r="AF230" s="680">
        <f>+U230*L230</f>
        <v>0</v>
      </c>
      <c r="AG230" s="680">
        <f>+U230*M230</f>
        <v>0</v>
      </c>
      <c r="AH230" s="680">
        <f>+U230*N230</f>
        <v>0</v>
      </c>
      <c r="AI230" s="681">
        <f>+U230*O230</f>
        <v>3707</v>
      </c>
      <c r="AJ230" s="681">
        <f>+U230*P230</f>
        <v>9240</v>
      </c>
    </row>
    <row r="231" spans="1:36" hidden="1">
      <c r="A231" s="680">
        <v>2212008021</v>
      </c>
      <c r="B231" s="680" t="s">
        <v>214</v>
      </c>
      <c r="C231" s="680" t="s">
        <v>510</v>
      </c>
      <c r="D231" s="680" t="s">
        <v>509</v>
      </c>
      <c r="E231" s="680" t="s">
        <v>489</v>
      </c>
      <c r="F231" s="680" t="s">
        <v>488</v>
      </c>
      <c r="G231" s="680">
        <v>2160</v>
      </c>
      <c r="H231" s="680">
        <v>5400</v>
      </c>
      <c r="I231" s="680">
        <v>0</v>
      </c>
      <c r="J231" s="680">
        <v>0</v>
      </c>
      <c r="K231" s="680">
        <v>0</v>
      </c>
      <c r="L231" s="680">
        <v>0</v>
      </c>
      <c r="M231" s="680">
        <v>0</v>
      </c>
      <c r="N231" s="680">
        <v>0</v>
      </c>
      <c r="O231" s="680">
        <f>+G231+I231+K231+M231</f>
        <v>2160</v>
      </c>
      <c r="P231" s="680">
        <f>+H231+J231+L231+N231</f>
        <v>5400</v>
      </c>
      <c r="Q231" s="680" t="s">
        <v>532</v>
      </c>
      <c r="R231" s="680" t="s">
        <v>531</v>
      </c>
      <c r="S231" s="680" t="s">
        <v>6</v>
      </c>
      <c r="T231" s="680" t="s">
        <v>484</v>
      </c>
      <c r="U231" s="681">
        <v>27.3</v>
      </c>
      <c r="V231" s="680">
        <v>31.51</v>
      </c>
      <c r="W231" s="680" t="s">
        <v>530</v>
      </c>
      <c r="X231" s="680" t="s">
        <v>485</v>
      </c>
      <c r="Y231" s="680" t="s">
        <v>484</v>
      </c>
      <c r="Z231" s="680" t="s">
        <v>483</v>
      </c>
      <c r="AA231" s="680">
        <f>+U231*G231</f>
        <v>58968</v>
      </c>
      <c r="AB231" s="680">
        <f>+U231*H231</f>
        <v>147420</v>
      </c>
      <c r="AC231" s="680">
        <f>+U231*I231</f>
        <v>0</v>
      </c>
      <c r="AD231" s="680">
        <f>+U231*J231</f>
        <v>0</v>
      </c>
      <c r="AE231" s="680">
        <f>+U231*K231</f>
        <v>0</v>
      </c>
      <c r="AF231" s="680">
        <f>+U231*L231</f>
        <v>0</v>
      </c>
      <c r="AG231" s="680">
        <f>+U231*M231</f>
        <v>0</v>
      </c>
      <c r="AH231" s="680">
        <f>+U231*N231</f>
        <v>0</v>
      </c>
      <c r="AI231" s="681">
        <f>+U231*O231</f>
        <v>58968</v>
      </c>
      <c r="AJ231" s="681">
        <f>+U231*P231</f>
        <v>147420</v>
      </c>
    </row>
    <row r="232" spans="1:36" hidden="1">
      <c r="A232" s="680">
        <v>2212008022</v>
      </c>
      <c r="B232" s="680" t="s">
        <v>539</v>
      </c>
      <c r="C232" s="680" t="s">
        <v>510</v>
      </c>
      <c r="D232" s="680" t="s">
        <v>509</v>
      </c>
      <c r="E232" s="680" t="s">
        <v>489</v>
      </c>
      <c r="F232" s="680" t="s">
        <v>488</v>
      </c>
      <c r="G232" s="680">
        <v>18048</v>
      </c>
      <c r="H232" s="680">
        <v>45120</v>
      </c>
      <c r="I232" s="680">
        <v>7776</v>
      </c>
      <c r="J232" s="680">
        <v>19440</v>
      </c>
      <c r="K232" s="680">
        <v>0</v>
      </c>
      <c r="L232" s="680">
        <v>0</v>
      </c>
      <c r="M232" s="680">
        <v>0</v>
      </c>
      <c r="N232" s="680">
        <v>0</v>
      </c>
      <c r="O232" s="680">
        <f>+G232+I232+K232+M232</f>
        <v>25824</v>
      </c>
      <c r="P232" s="680">
        <f>+H232+J232+L232+N232</f>
        <v>64560</v>
      </c>
      <c r="Q232" s="680" t="s">
        <v>538</v>
      </c>
      <c r="R232" s="680" t="s">
        <v>531</v>
      </c>
      <c r="S232" s="680" t="s">
        <v>8</v>
      </c>
      <c r="T232" s="680" t="s">
        <v>484</v>
      </c>
      <c r="U232" s="681">
        <v>1.22</v>
      </c>
      <c r="V232" s="680">
        <v>1.26</v>
      </c>
      <c r="W232" s="680" t="s">
        <v>530</v>
      </c>
      <c r="X232" s="680" t="s">
        <v>485</v>
      </c>
      <c r="Y232" s="680" t="s">
        <v>484</v>
      </c>
      <c r="Z232" s="680" t="s">
        <v>483</v>
      </c>
      <c r="AA232" s="680">
        <f>+U232*G232</f>
        <v>22018.560000000001</v>
      </c>
      <c r="AB232" s="680">
        <f>+U232*H232</f>
        <v>55046.400000000001</v>
      </c>
      <c r="AC232" s="680">
        <f>+U232*I232</f>
        <v>9486.7199999999993</v>
      </c>
      <c r="AD232" s="680">
        <f>+U232*J232</f>
        <v>23716.799999999999</v>
      </c>
      <c r="AE232" s="680">
        <f>+U232*K232</f>
        <v>0</v>
      </c>
      <c r="AF232" s="680">
        <f>+U232*L232</f>
        <v>0</v>
      </c>
      <c r="AG232" s="680">
        <f>+U232*M232</f>
        <v>0</v>
      </c>
      <c r="AH232" s="680">
        <f>+U232*N232</f>
        <v>0</v>
      </c>
      <c r="AI232" s="681">
        <f>+U232*O232</f>
        <v>31505.279999999999</v>
      </c>
      <c r="AJ232" s="681">
        <f>+U232*P232</f>
        <v>78763.199999999997</v>
      </c>
    </row>
    <row r="233" spans="1:36" hidden="1">
      <c r="A233" s="680">
        <v>2212008023</v>
      </c>
      <c r="B233" s="680" t="s">
        <v>537</v>
      </c>
      <c r="C233" s="680" t="s">
        <v>510</v>
      </c>
      <c r="D233" s="680" t="s">
        <v>509</v>
      </c>
      <c r="E233" s="680" t="s">
        <v>489</v>
      </c>
      <c r="F233" s="680" t="s">
        <v>488</v>
      </c>
      <c r="G233" s="680">
        <v>516</v>
      </c>
      <c r="H233" s="680">
        <v>1290</v>
      </c>
      <c r="I233" s="680">
        <v>432</v>
      </c>
      <c r="J233" s="680">
        <v>1080</v>
      </c>
      <c r="K233" s="680">
        <v>0</v>
      </c>
      <c r="L233" s="680">
        <v>0</v>
      </c>
      <c r="M233" s="680">
        <v>0</v>
      </c>
      <c r="N233" s="680">
        <v>0</v>
      </c>
      <c r="O233" s="680">
        <f>+G233+I233+K233+M233</f>
        <v>948</v>
      </c>
      <c r="P233" s="680">
        <f>+H233+J233+L233+N233</f>
        <v>2370</v>
      </c>
      <c r="Q233" s="680" t="s">
        <v>532</v>
      </c>
      <c r="R233" s="680" t="s">
        <v>531</v>
      </c>
      <c r="S233" s="680" t="s">
        <v>6</v>
      </c>
      <c r="T233" s="680" t="s">
        <v>484</v>
      </c>
      <c r="U233" s="681">
        <v>70</v>
      </c>
      <c r="V233" s="680">
        <v>75.84</v>
      </c>
      <c r="W233" s="680" t="s">
        <v>530</v>
      </c>
      <c r="X233" s="680" t="s">
        <v>485</v>
      </c>
      <c r="Y233" s="680" t="s">
        <v>484</v>
      </c>
      <c r="Z233" s="680" t="s">
        <v>483</v>
      </c>
      <c r="AA233" s="680">
        <f>+U233*G233</f>
        <v>36120</v>
      </c>
      <c r="AB233" s="680">
        <f>+U233*H233</f>
        <v>90300</v>
      </c>
      <c r="AC233" s="680">
        <f>+U233*I233</f>
        <v>30240</v>
      </c>
      <c r="AD233" s="680">
        <f>+U233*J233</f>
        <v>75600</v>
      </c>
      <c r="AE233" s="680">
        <f>+U233*K233</f>
        <v>0</v>
      </c>
      <c r="AF233" s="680">
        <f>+U233*L233</f>
        <v>0</v>
      </c>
      <c r="AG233" s="680">
        <f>+U233*M233</f>
        <v>0</v>
      </c>
      <c r="AH233" s="680">
        <f>+U233*N233</f>
        <v>0</v>
      </c>
      <c r="AI233" s="681">
        <f>+U233*O233</f>
        <v>66360</v>
      </c>
      <c r="AJ233" s="681">
        <f>+U233*P233</f>
        <v>165900</v>
      </c>
    </row>
    <row r="234" spans="1:36" hidden="1">
      <c r="A234" s="680">
        <v>2212008024</v>
      </c>
      <c r="B234" s="680" t="s">
        <v>217</v>
      </c>
      <c r="C234" s="680" t="s">
        <v>491</v>
      </c>
      <c r="D234" s="680" t="s">
        <v>490</v>
      </c>
      <c r="E234" s="680" t="s">
        <v>489</v>
      </c>
      <c r="F234" s="680" t="s">
        <v>488</v>
      </c>
      <c r="G234" s="680">
        <v>128</v>
      </c>
      <c r="H234" s="680">
        <v>318</v>
      </c>
      <c r="I234" s="680">
        <v>227</v>
      </c>
      <c r="J234" s="680">
        <v>567</v>
      </c>
      <c r="K234" s="680">
        <v>30</v>
      </c>
      <c r="L234" s="680">
        <v>75</v>
      </c>
      <c r="M234" s="680">
        <v>0</v>
      </c>
      <c r="N234" s="680">
        <v>0</v>
      </c>
      <c r="O234" s="680">
        <f>+G234+I234+K234+M234</f>
        <v>385</v>
      </c>
      <c r="P234" s="680">
        <f>+H234+J234+L234+N234</f>
        <v>960</v>
      </c>
      <c r="Q234" s="680" t="s">
        <v>536</v>
      </c>
      <c r="R234" s="680" t="s">
        <v>536</v>
      </c>
      <c r="S234" s="680" t="s">
        <v>86</v>
      </c>
      <c r="T234" s="680" t="s">
        <v>484</v>
      </c>
      <c r="U234" s="681">
        <v>46</v>
      </c>
      <c r="V234" s="680">
        <v>51.55</v>
      </c>
      <c r="W234" s="680" t="s">
        <v>533</v>
      </c>
      <c r="X234" s="680" t="s">
        <v>485</v>
      </c>
      <c r="Y234" s="680" t="s">
        <v>484</v>
      </c>
      <c r="Z234" s="680" t="s">
        <v>483</v>
      </c>
      <c r="AA234" s="680">
        <f>+U234*G234</f>
        <v>5888</v>
      </c>
      <c r="AB234" s="680">
        <f>+U234*H234</f>
        <v>14628</v>
      </c>
      <c r="AC234" s="680">
        <f>+U234*I234</f>
        <v>10442</v>
      </c>
      <c r="AD234" s="680">
        <f>+U234*J234</f>
        <v>26082</v>
      </c>
      <c r="AE234" s="680">
        <f>+U234*K234</f>
        <v>1380</v>
      </c>
      <c r="AF234" s="680">
        <f>+U234*L234</f>
        <v>3450</v>
      </c>
      <c r="AG234" s="680">
        <f>+U234*M234</f>
        <v>0</v>
      </c>
      <c r="AH234" s="680">
        <f>+U234*N234</f>
        <v>0</v>
      </c>
      <c r="AI234" s="681">
        <f>+U234*O234</f>
        <v>17710</v>
      </c>
      <c r="AJ234" s="681">
        <f>+U234*P234</f>
        <v>44160</v>
      </c>
    </row>
    <row r="235" spans="1:36">
      <c r="A235" s="680">
        <v>2212008028</v>
      </c>
      <c r="B235" s="680" t="s">
        <v>221</v>
      </c>
      <c r="C235" s="680" t="s">
        <v>519</v>
      </c>
      <c r="D235" s="680" t="s">
        <v>518</v>
      </c>
      <c r="E235" s="680" t="s">
        <v>489</v>
      </c>
      <c r="F235" s="680" t="s">
        <v>488</v>
      </c>
      <c r="G235" s="680">
        <v>1090</v>
      </c>
      <c r="H235" s="680">
        <v>2724</v>
      </c>
      <c r="I235" s="680">
        <v>2031</v>
      </c>
      <c r="J235" s="680">
        <v>5076</v>
      </c>
      <c r="K235" s="680">
        <v>0</v>
      </c>
      <c r="L235" s="680">
        <v>0</v>
      </c>
      <c r="M235" s="680">
        <v>0</v>
      </c>
      <c r="N235" s="680">
        <v>0</v>
      </c>
      <c r="O235" s="680">
        <f>+G235+I235+K235+M235</f>
        <v>3121</v>
      </c>
      <c r="P235" s="680">
        <f>+H235+J235+L235+N235</f>
        <v>7800</v>
      </c>
      <c r="Q235" s="680" t="s">
        <v>527</v>
      </c>
      <c r="R235" s="680" t="s">
        <v>527</v>
      </c>
      <c r="S235" s="680" t="s">
        <v>8</v>
      </c>
      <c r="T235" s="680" t="s">
        <v>484</v>
      </c>
      <c r="U235" s="681">
        <v>10.5</v>
      </c>
      <c r="V235" s="680">
        <v>10.94</v>
      </c>
      <c r="W235" s="680" t="s">
        <v>526</v>
      </c>
      <c r="X235" s="680" t="s">
        <v>485</v>
      </c>
      <c r="Y235" s="680" t="s">
        <v>484</v>
      </c>
      <c r="Z235" s="680" t="s">
        <v>483</v>
      </c>
      <c r="AA235" s="680">
        <f>+U235*G235</f>
        <v>11445</v>
      </c>
      <c r="AB235" s="680">
        <f>+U235*H235</f>
        <v>28602</v>
      </c>
      <c r="AC235" s="680">
        <f>+U235*I235</f>
        <v>21325.5</v>
      </c>
      <c r="AD235" s="680">
        <f>+U235*J235</f>
        <v>53298</v>
      </c>
      <c r="AE235" s="680">
        <f>+U235*K235</f>
        <v>0</v>
      </c>
      <c r="AF235" s="680">
        <f>+U235*L235</f>
        <v>0</v>
      </c>
      <c r="AG235" s="680">
        <f>+U235*M235</f>
        <v>0</v>
      </c>
      <c r="AH235" s="680">
        <f>+U235*N235</f>
        <v>0</v>
      </c>
      <c r="AI235" s="681">
        <f>+U235*O235</f>
        <v>32770.5</v>
      </c>
      <c r="AJ235" s="681">
        <f>+U235*P235</f>
        <v>81900</v>
      </c>
    </row>
    <row r="236" spans="1:36">
      <c r="A236" s="680">
        <v>2212008029</v>
      </c>
      <c r="B236" s="680" t="s">
        <v>535</v>
      </c>
      <c r="C236" s="680" t="s">
        <v>519</v>
      </c>
      <c r="D236" s="680" t="s">
        <v>518</v>
      </c>
      <c r="E236" s="680" t="s">
        <v>489</v>
      </c>
      <c r="F236" s="680" t="s">
        <v>488</v>
      </c>
      <c r="G236" s="680">
        <v>418</v>
      </c>
      <c r="H236" s="680">
        <v>1044</v>
      </c>
      <c r="I236" s="680">
        <v>4140</v>
      </c>
      <c r="J236" s="680">
        <v>10350</v>
      </c>
      <c r="K236" s="680">
        <v>0</v>
      </c>
      <c r="L236" s="680">
        <v>0</v>
      </c>
      <c r="M236" s="680">
        <v>0</v>
      </c>
      <c r="N236" s="680">
        <v>0</v>
      </c>
      <c r="O236" s="680">
        <f>+G236+I236+K236+M236</f>
        <v>4558</v>
      </c>
      <c r="P236" s="680">
        <f>+H236+J236+L236+N236</f>
        <v>11394</v>
      </c>
      <c r="Q236" s="680" t="s">
        <v>527</v>
      </c>
      <c r="R236" s="680" t="s">
        <v>527</v>
      </c>
      <c r="S236" s="680" t="s">
        <v>8</v>
      </c>
      <c r="T236" s="680" t="s">
        <v>484</v>
      </c>
      <c r="U236" s="681">
        <v>12.9</v>
      </c>
      <c r="V236" s="680">
        <v>13.04</v>
      </c>
      <c r="W236" s="680" t="s">
        <v>526</v>
      </c>
      <c r="X236" s="680" t="s">
        <v>485</v>
      </c>
      <c r="Y236" s="680" t="s">
        <v>484</v>
      </c>
      <c r="Z236" s="680" t="s">
        <v>483</v>
      </c>
      <c r="AA236" s="680">
        <f>+U236*G236</f>
        <v>5392.2</v>
      </c>
      <c r="AB236" s="680">
        <f>+U236*H236</f>
        <v>13467.6</v>
      </c>
      <c r="AC236" s="680">
        <f>+U236*I236</f>
        <v>53406</v>
      </c>
      <c r="AD236" s="680">
        <f>+U236*J236</f>
        <v>133515</v>
      </c>
      <c r="AE236" s="680">
        <f>+U236*K236</f>
        <v>0</v>
      </c>
      <c r="AF236" s="680">
        <f>+U236*L236</f>
        <v>0</v>
      </c>
      <c r="AG236" s="680">
        <f>+U236*M236</f>
        <v>0</v>
      </c>
      <c r="AH236" s="680">
        <f>+U236*N236</f>
        <v>0</v>
      </c>
      <c r="AI236" s="681">
        <f>+U236*O236</f>
        <v>58798.200000000004</v>
      </c>
      <c r="AJ236" s="681">
        <f>+U236*P236</f>
        <v>146982.6</v>
      </c>
    </row>
    <row r="237" spans="1:36" hidden="1">
      <c r="A237" s="680">
        <v>2212008033</v>
      </c>
      <c r="B237" s="680" t="s">
        <v>225</v>
      </c>
      <c r="C237" s="680" t="s">
        <v>510</v>
      </c>
      <c r="D237" s="680" t="s">
        <v>509</v>
      </c>
      <c r="E237" s="680" t="s">
        <v>489</v>
      </c>
      <c r="F237" s="680" t="s">
        <v>488</v>
      </c>
      <c r="G237" s="680">
        <v>226</v>
      </c>
      <c r="H237" s="680">
        <v>564</v>
      </c>
      <c r="I237" s="680">
        <v>1080</v>
      </c>
      <c r="J237" s="680">
        <v>2700</v>
      </c>
      <c r="K237" s="680">
        <v>0</v>
      </c>
      <c r="L237" s="680">
        <v>0</v>
      </c>
      <c r="M237" s="680">
        <v>0</v>
      </c>
      <c r="N237" s="680">
        <v>0</v>
      </c>
      <c r="O237" s="680">
        <f>+G237+I237+K237+M237</f>
        <v>1306</v>
      </c>
      <c r="P237" s="680">
        <f>+H237+J237+L237+N237</f>
        <v>3264</v>
      </c>
      <c r="Q237" s="680" t="s">
        <v>532</v>
      </c>
      <c r="R237" s="680" t="s">
        <v>531</v>
      </c>
      <c r="S237" s="680" t="s">
        <v>8</v>
      </c>
      <c r="T237" s="680" t="s">
        <v>484</v>
      </c>
      <c r="U237" s="681">
        <v>20</v>
      </c>
      <c r="V237" s="680">
        <v>22.75</v>
      </c>
      <c r="W237" s="680" t="s">
        <v>530</v>
      </c>
      <c r="X237" s="680" t="s">
        <v>485</v>
      </c>
      <c r="Y237" s="680" t="s">
        <v>484</v>
      </c>
      <c r="Z237" s="680" t="s">
        <v>483</v>
      </c>
      <c r="AA237" s="680">
        <f>+U237*G237</f>
        <v>4520</v>
      </c>
      <c r="AB237" s="680">
        <f>+U237*H237</f>
        <v>11280</v>
      </c>
      <c r="AC237" s="680">
        <f>+U237*I237</f>
        <v>21600</v>
      </c>
      <c r="AD237" s="680">
        <f>+U237*J237</f>
        <v>54000</v>
      </c>
      <c r="AE237" s="680">
        <f>+U237*K237</f>
        <v>0</v>
      </c>
      <c r="AF237" s="680">
        <f>+U237*L237</f>
        <v>0</v>
      </c>
      <c r="AG237" s="680">
        <f>+U237*M237</f>
        <v>0</v>
      </c>
      <c r="AH237" s="680">
        <f>+U237*N237</f>
        <v>0</v>
      </c>
      <c r="AI237" s="681">
        <f>+U237*O237</f>
        <v>26120</v>
      </c>
      <c r="AJ237" s="681">
        <f>+U237*P237</f>
        <v>65280</v>
      </c>
    </row>
    <row r="238" spans="1:36" hidden="1">
      <c r="A238" s="680">
        <v>2212008034</v>
      </c>
      <c r="B238" s="680" t="s">
        <v>226</v>
      </c>
      <c r="C238" s="680" t="s">
        <v>491</v>
      </c>
      <c r="D238" s="680" t="s">
        <v>490</v>
      </c>
      <c r="E238" s="680" t="s">
        <v>489</v>
      </c>
      <c r="F238" s="680" t="s">
        <v>488</v>
      </c>
      <c r="G238" s="680">
        <v>24</v>
      </c>
      <c r="H238" s="680">
        <v>60</v>
      </c>
      <c r="I238" s="680">
        <v>0</v>
      </c>
      <c r="J238" s="680">
        <v>0</v>
      </c>
      <c r="K238" s="680">
        <v>0</v>
      </c>
      <c r="L238" s="680">
        <v>0</v>
      </c>
      <c r="M238" s="680">
        <v>0</v>
      </c>
      <c r="N238" s="680">
        <v>0</v>
      </c>
      <c r="O238" s="680">
        <f>+G238+I238+K238+M238</f>
        <v>24</v>
      </c>
      <c r="P238" s="680">
        <f>+H238+J238+L238+N238</f>
        <v>60</v>
      </c>
      <c r="Q238" s="680" t="s">
        <v>534</v>
      </c>
      <c r="R238" s="680" t="s">
        <v>534</v>
      </c>
      <c r="S238" s="680" t="s">
        <v>6</v>
      </c>
      <c r="T238" s="680" t="s">
        <v>484</v>
      </c>
      <c r="U238" s="681">
        <v>80</v>
      </c>
      <c r="V238" s="680">
        <v>54.84</v>
      </c>
      <c r="W238" s="680" t="s">
        <v>533</v>
      </c>
      <c r="X238" s="680" t="s">
        <v>485</v>
      </c>
      <c r="Y238" s="680" t="s">
        <v>484</v>
      </c>
      <c r="Z238" s="680" t="s">
        <v>483</v>
      </c>
      <c r="AA238" s="680">
        <f>+U238*G238</f>
        <v>1920</v>
      </c>
      <c r="AB238" s="680">
        <f>+U238*H238</f>
        <v>4800</v>
      </c>
      <c r="AC238" s="680">
        <f>+U238*I238</f>
        <v>0</v>
      </c>
      <c r="AD238" s="680">
        <f>+U238*J238</f>
        <v>0</v>
      </c>
      <c r="AE238" s="680">
        <f>+U238*K238</f>
        <v>0</v>
      </c>
      <c r="AF238" s="680">
        <f>+U238*L238</f>
        <v>0</v>
      </c>
      <c r="AG238" s="680">
        <f>+U238*M238</f>
        <v>0</v>
      </c>
      <c r="AH238" s="680">
        <f>+U238*N238</f>
        <v>0</v>
      </c>
      <c r="AI238" s="681">
        <f>+U238*O238</f>
        <v>1920</v>
      </c>
      <c r="AJ238" s="681">
        <f>+U238*P238</f>
        <v>4800</v>
      </c>
    </row>
    <row r="239" spans="1:36" hidden="1">
      <c r="A239" s="680">
        <v>2212008035</v>
      </c>
      <c r="B239" s="680" t="s">
        <v>227</v>
      </c>
      <c r="C239" s="680" t="s">
        <v>510</v>
      </c>
      <c r="D239" s="680" t="s">
        <v>509</v>
      </c>
      <c r="E239" s="680" t="s">
        <v>489</v>
      </c>
      <c r="F239" s="680" t="s">
        <v>488</v>
      </c>
      <c r="G239" s="680">
        <v>6270</v>
      </c>
      <c r="H239" s="680">
        <v>15674</v>
      </c>
      <c r="I239" s="680">
        <v>2880</v>
      </c>
      <c r="J239" s="680">
        <v>7200</v>
      </c>
      <c r="K239" s="680">
        <v>0</v>
      </c>
      <c r="L239" s="680">
        <v>0</v>
      </c>
      <c r="M239" s="680">
        <v>0</v>
      </c>
      <c r="N239" s="680">
        <v>0</v>
      </c>
      <c r="O239" s="680">
        <f>+G239+I239+K239+M239</f>
        <v>9150</v>
      </c>
      <c r="P239" s="680">
        <f>+H239+J239+L239+N239</f>
        <v>22874</v>
      </c>
      <c r="Q239" s="680" t="s">
        <v>532</v>
      </c>
      <c r="R239" s="680" t="s">
        <v>531</v>
      </c>
      <c r="S239" s="680" t="s">
        <v>6</v>
      </c>
      <c r="T239" s="680" t="s">
        <v>484</v>
      </c>
      <c r="U239" s="681">
        <v>27.3</v>
      </c>
      <c r="V239" s="680">
        <v>31.7</v>
      </c>
      <c r="W239" s="680" t="s">
        <v>530</v>
      </c>
      <c r="X239" s="680" t="s">
        <v>485</v>
      </c>
      <c r="Y239" s="680" t="s">
        <v>484</v>
      </c>
      <c r="Z239" s="680" t="s">
        <v>483</v>
      </c>
      <c r="AA239" s="680">
        <f>+U239*G239</f>
        <v>171171</v>
      </c>
      <c r="AB239" s="680">
        <f>+U239*H239</f>
        <v>427900.2</v>
      </c>
      <c r="AC239" s="680">
        <f>+U239*I239</f>
        <v>78624</v>
      </c>
      <c r="AD239" s="680">
        <f>+U239*J239</f>
        <v>196560</v>
      </c>
      <c r="AE239" s="680">
        <f>+U239*K239</f>
        <v>0</v>
      </c>
      <c r="AF239" s="680">
        <f>+U239*L239</f>
        <v>0</v>
      </c>
      <c r="AG239" s="680">
        <f>+U239*M239</f>
        <v>0</v>
      </c>
      <c r="AH239" s="680">
        <f>+U239*N239</f>
        <v>0</v>
      </c>
      <c r="AI239" s="681">
        <f>+U239*O239</f>
        <v>249795</v>
      </c>
      <c r="AJ239" s="681">
        <f>+U239*P239</f>
        <v>624460.20000000007</v>
      </c>
    </row>
    <row r="240" spans="1:36">
      <c r="A240" s="680">
        <v>2212008037</v>
      </c>
      <c r="B240" s="680" t="s">
        <v>529</v>
      </c>
      <c r="C240" s="680" t="s">
        <v>519</v>
      </c>
      <c r="D240" s="680" t="s">
        <v>518</v>
      </c>
      <c r="E240" s="680" t="s">
        <v>489</v>
      </c>
      <c r="F240" s="680" t="s">
        <v>488</v>
      </c>
      <c r="G240" s="680">
        <v>8979</v>
      </c>
      <c r="H240" s="680">
        <v>22446</v>
      </c>
      <c r="I240" s="680">
        <v>0</v>
      </c>
      <c r="J240" s="680">
        <v>0</v>
      </c>
      <c r="K240" s="680">
        <v>0</v>
      </c>
      <c r="L240" s="680">
        <v>0</v>
      </c>
      <c r="M240" s="680">
        <v>0</v>
      </c>
      <c r="N240" s="680">
        <v>0</v>
      </c>
      <c r="O240" s="680">
        <f>+G240+I240+K240+M240</f>
        <v>8979</v>
      </c>
      <c r="P240" s="680">
        <f>+H240+J240+L240+N240</f>
        <v>22446</v>
      </c>
      <c r="Q240" s="680" t="s">
        <v>527</v>
      </c>
      <c r="R240" s="680" t="s">
        <v>527</v>
      </c>
      <c r="S240" s="680" t="s">
        <v>8</v>
      </c>
      <c r="T240" s="680" t="s">
        <v>484</v>
      </c>
      <c r="U240" s="681">
        <v>7</v>
      </c>
      <c r="V240" s="680">
        <v>7.5</v>
      </c>
      <c r="W240" s="680" t="s">
        <v>526</v>
      </c>
      <c r="X240" s="680" t="s">
        <v>485</v>
      </c>
      <c r="Y240" s="680" t="s">
        <v>484</v>
      </c>
      <c r="Z240" s="680" t="s">
        <v>483</v>
      </c>
      <c r="AA240" s="680">
        <f>+U240*G240</f>
        <v>62853</v>
      </c>
      <c r="AB240" s="680">
        <f>+U240*H240</f>
        <v>157122</v>
      </c>
      <c r="AC240" s="680">
        <f>+U240*I240</f>
        <v>0</v>
      </c>
      <c r="AD240" s="680">
        <f>+U240*J240</f>
        <v>0</v>
      </c>
      <c r="AE240" s="680">
        <f>+U240*K240</f>
        <v>0</v>
      </c>
      <c r="AF240" s="680">
        <f>+U240*L240</f>
        <v>0</v>
      </c>
      <c r="AG240" s="680">
        <f>+U240*M240</f>
        <v>0</v>
      </c>
      <c r="AH240" s="680">
        <f>+U240*N240</f>
        <v>0</v>
      </c>
      <c r="AI240" s="681">
        <f>+U240*O240</f>
        <v>62853</v>
      </c>
      <c r="AJ240" s="681">
        <f>+U240*P240</f>
        <v>157122</v>
      </c>
    </row>
    <row r="241" spans="1:36">
      <c r="A241" s="680">
        <v>2212008039</v>
      </c>
      <c r="B241" s="680" t="s">
        <v>229</v>
      </c>
      <c r="C241" s="680" t="s">
        <v>519</v>
      </c>
      <c r="D241" s="680" t="s">
        <v>518</v>
      </c>
      <c r="E241" s="680" t="s">
        <v>489</v>
      </c>
      <c r="F241" s="680" t="s">
        <v>488</v>
      </c>
      <c r="G241" s="680">
        <v>1200</v>
      </c>
      <c r="H241" s="680">
        <v>3000</v>
      </c>
      <c r="I241" s="680">
        <v>0</v>
      </c>
      <c r="J241" s="680">
        <v>0</v>
      </c>
      <c r="K241" s="680">
        <v>0</v>
      </c>
      <c r="L241" s="680">
        <v>0</v>
      </c>
      <c r="M241" s="680">
        <v>0</v>
      </c>
      <c r="N241" s="680">
        <v>0</v>
      </c>
      <c r="O241" s="680">
        <f>+G241+I241+K241+M241</f>
        <v>1200</v>
      </c>
      <c r="P241" s="680">
        <f>+H241+J241+L241+N241</f>
        <v>3000</v>
      </c>
      <c r="Q241" s="680" t="s">
        <v>527</v>
      </c>
      <c r="R241" s="680" t="s">
        <v>527</v>
      </c>
      <c r="S241" s="680" t="s">
        <v>8</v>
      </c>
      <c r="T241" s="680" t="s">
        <v>484</v>
      </c>
      <c r="U241" s="681">
        <v>13.5</v>
      </c>
      <c r="V241" s="680">
        <v>14.13</v>
      </c>
      <c r="W241" s="680" t="s">
        <v>526</v>
      </c>
      <c r="X241" s="680" t="s">
        <v>485</v>
      </c>
      <c r="Y241" s="680" t="s">
        <v>484</v>
      </c>
      <c r="Z241" s="680" t="s">
        <v>483</v>
      </c>
      <c r="AA241" s="680">
        <f>+U241*G241</f>
        <v>16200</v>
      </c>
      <c r="AB241" s="680">
        <f>+U241*H241</f>
        <v>40500</v>
      </c>
      <c r="AC241" s="680">
        <f>+U241*I241</f>
        <v>0</v>
      </c>
      <c r="AD241" s="680">
        <f>+U241*J241</f>
        <v>0</v>
      </c>
      <c r="AE241" s="680">
        <f>+U241*K241</f>
        <v>0</v>
      </c>
      <c r="AF241" s="680">
        <f>+U241*L241</f>
        <v>0</v>
      </c>
      <c r="AG241" s="680">
        <f>+U241*M241</f>
        <v>0</v>
      </c>
      <c r="AH241" s="680">
        <f>+U241*N241</f>
        <v>0</v>
      </c>
      <c r="AI241" s="681">
        <f>+U241*O241</f>
        <v>16200</v>
      </c>
      <c r="AJ241" s="681">
        <f>+U241*P241</f>
        <v>40500</v>
      </c>
    </row>
    <row r="242" spans="1:36">
      <c r="A242" s="680">
        <v>2212008040</v>
      </c>
      <c r="B242" s="680" t="s">
        <v>230</v>
      </c>
      <c r="C242" s="680" t="s">
        <v>519</v>
      </c>
      <c r="D242" s="680" t="s">
        <v>518</v>
      </c>
      <c r="E242" s="680" t="s">
        <v>489</v>
      </c>
      <c r="F242" s="680" t="s">
        <v>488</v>
      </c>
      <c r="G242" s="680">
        <v>0</v>
      </c>
      <c r="H242" s="680">
        <v>0</v>
      </c>
      <c r="I242" s="680">
        <v>6</v>
      </c>
      <c r="J242" s="680">
        <v>13</v>
      </c>
      <c r="K242" s="680">
        <v>0</v>
      </c>
      <c r="L242" s="680">
        <v>0</v>
      </c>
      <c r="M242" s="680">
        <v>0</v>
      </c>
      <c r="N242" s="680">
        <v>0</v>
      </c>
      <c r="O242" s="680">
        <f>+G242+I242+K242+M242</f>
        <v>6</v>
      </c>
      <c r="P242" s="680">
        <f>+H242+J242+L242+N242</f>
        <v>13</v>
      </c>
      <c r="Q242" s="680" t="s">
        <v>528</v>
      </c>
      <c r="R242" s="680" t="s">
        <v>527</v>
      </c>
      <c r="S242" s="680" t="s">
        <v>6</v>
      </c>
      <c r="T242" s="680" t="s">
        <v>484</v>
      </c>
      <c r="U242" s="681">
        <v>350</v>
      </c>
      <c r="V242" s="680">
        <v>357.5</v>
      </c>
      <c r="W242" s="680" t="s">
        <v>526</v>
      </c>
      <c r="X242" s="680" t="s">
        <v>485</v>
      </c>
      <c r="Y242" s="680" t="s">
        <v>484</v>
      </c>
      <c r="Z242" s="680" t="s">
        <v>483</v>
      </c>
      <c r="AA242" s="680">
        <f>+U242*G242</f>
        <v>0</v>
      </c>
      <c r="AB242" s="680">
        <f>+U242*H242</f>
        <v>0</v>
      </c>
      <c r="AC242" s="680">
        <f>+U242*I242</f>
        <v>2100</v>
      </c>
      <c r="AD242" s="680">
        <f>+U242*J242</f>
        <v>4550</v>
      </c>
      <c r="AE242" s="680">
        <f>+U242*K242</f>
        <v>0</v>
      </c>
      <c r="AF242" s="680">
        <f>+U242*L242</f>
        <v>0</v>
      </c>
      <c r="AG242" s="680">
        <f>+U242*M242</f>
        <v>0</v>
      </c>
      <c r="AH242" s="680">
        <f>+U242*N242</f>
        <v>0</v>
      </c>
      <c r="AI242" s="681">
        <f>+U242*O242</f>
        <v>2100</v>
      </c>
      <c r="AJ242" s="681">
        <f>+U242*P242</f>
        <v>4550</v>
      </c>
    </row>
    <row r="243" spans="1:36">
      <c r="A243" s="680">
        <v>2212008042</v>
      </c>
      <c r="B243" s="680" t="s">
        <v>231</v>
      </c>
      <c r="C243" s="680" t="s">
        <v>519</v>
      </c>
      <c r="D243" s="680" t="s">
        <v>518</v>
      </c>
      <c r="E243" s="680" t="s">
        <v>489</v>
      </c>
      <c r="F243" s="680" t="s">
        <v>488</v>
      </c>
      <c r="G243" s="680">
        <v>0</v>
      </c>
      <c r="H243" s="680">
        <v>0</v>
      </c>
      <c r="I243" s="680">
        <v>81</v>
      </c>
      <c r="J243" s="680">
        <v>202</v>
      </c>
      <c r="K243" s="680">
        <v>0</v>
      </c>
      <c r="L243" s="680">
        <v>0</v>
      </c>
      <c r="M243" s="680">
        <v>0</v>
      </c>
      <c r="N243" s="680">
        <v>0</v>
      </c>
      <c r="O243" s="680">
        <f>+G243+I243+K243+M243</f>
        <v>81</v>
      </c>
      <c r="P243" s="680">
        <f>+H243+J243+L243+N243</f>
        <v>202</v>
      </c>
      <c r="Q243" s="680" t="s">
        <v>528</v>
      </c>
      <c r="R243" s="680" t="s">
        <v>527</v>
      </c>
      <c r="S243" s="680" t="s">
        <v>8</v>
      </c>
      <c r="T243" s="680" t="s">
        <v>484</v>
      </c>
      <c r="U243" s="681">
        <v>3.5</v>
      </c>
      <c r="V243" s="680">
        <v>3.57</v>
      </c>
      <c r="W243" s="680" t="s">
        <v>526</v>
      </c>
      <c r="X243" s="680" t="s">
        <v>485</v>
      </c>
      <c r="Y243" s="680" t="s">
        <v>484</v>
      </c>
      <c r="Z243" s="680" t="s">
        <v>483</v>
      </c>
      <c r="AA243" s="680">
        <f>+U243*G243</f>
        <v>0</v>
      </c>
      <c r="AB243" s="680">
        <f>+U243*H243</f>
        <v>0</v>
      </c>
      <c r="AC243" s="680">
        <f>+U243*I243</f>
        <v>283.5</v>
      </c>
      <c r="AD243" s="680">
        <f>+U243*J243</f>
        <v>707</v>
      </c>
      <c r="AE243" s="680">
        <f>+U243*K243</f>
        <v>0</v>
      </c>
      <c r="AF243" s="680">
        <f>+U243*L243</f>
        <v>0</v>
      </c>
      <c r="AG243" s="680">
        <f>+U243*M243</f>
        <v>0</v>
      </c>
      <c r="AH243" s="680">
        <f>+U243*N243</f>
        <v>0</v>
      </c>
      <c r="AI243" s="681">
        <f>+U243*O243</f>
        <v>283.5</v>
      </c>
      <c r="AJ243" s="681">
        <f>+U243*P243</f>
        <v>707</v>
      </c>
    </row>
    <row r="244" spans="1:36">
      <c r="A244" s="680">
        <v>2212008045</v>
      </c>
      <c r="B244" s="680" t="s">
        <v>232</v>
      </c>
      <c r="C244" s="680" t="s">
        <v>519</v>
      </c>
      <c r="D244" s="680" t="s">
        <v>518</v>
      </c>
      <c r="E244" s="680" t="s">
        <v>489</v>
      </c>
      <c r="F244" s="680" t="s">
        <v>488</v>
      </c>
      <c r="G244" s="680">
        <v>0</v>
      </c>
      <c r="H244" s="680">
        <v>0</v>
      </c>
      <c r="I244" s="680">
        <v>54</v>
      </c>
      <c r="J244" s="680">
        <v>135</v>
      </c>
      <c r="K244" s="680">
        <v>0</v>
      </c>
      <c r="L244" s="680">
        <v>0</v>
      </c>
      <c r="M244" s="680">
        <v>0</v>
      </c>
      <c r="N244" s="680">
        <v>0</v>
      </c>
      <c r="O244" s="680">
        <f>+G244+I244+K244+M244</f>
        <v>54</v>
      </c>
      <c r="P244" s="680">
        <f>+H244+J244+L244+N244</f>
        <v>135</v>
      </c>
      <c r="Q244" s="680" t="s">
        <v>528</v>
      </c>
      <c r="R244" s="680" t="s">
        <v>527</v>
      </c>
      <c r="S244" s="680" t="s">
        <v>8</v>
      </c>
      <c r="T244" s="680" t="s">
        <v>484</v>
      </c>
      <c r="U244" s="681">
        <v>21.5</v>
      </c>
      <c r="V244" s="680">
        <v>21.87</v>
      </c>
      <c r="W244" s="680" t="s">
        <v>526</v>
      </c>
      <c r="X244" s="680" t="s">
        <v>485</v>
      </c>
      <c r="Y244" s="680" t="s">
        <v>484</v>
      </c>
      <c r="Z244" s="680" t="s">
        <v>483</v>
      </c>
      <c r="AA244" s="680">
        <f>+U244*G244</f>
        <v>0</v>
      </c>
      <c r="AB244" s="680">
        <f>+U244*H244</f>
        <v>0</v>
      </c>
      <c r="AC244" s="680">
        <f>+U244*I244</f>
        <v>1161</v>
      </c>
      <c r="AD244" s="680">
        <f>+U244*J244</f>
        <v>2902.5</v>
      </c>
      <c r="AE244" s="680">
        <f>+U244*K244</f>
        <v>0</v>
      </c>
      <c r="AF244" s="680">
        <f>+U244*L244</f>
        <v>0</v>
      </c>
      <c r="AG244" s="680">
        <f>+U244*M244</f>
        <v>0</v>
      </c>
      <c r="AH244" s="680">
        <f>+U244*N244</f>
        <v>0</v>
      </c>
      <c r="AI244" s="681">
        <f>+U244*O244</f>
        <v>1161</v>
      </c>
      <c r="AJ244" s="681">
        <f>+U244*P244</f>
        <v>2902.5</v>
      </c>
    </row>
    <row r="245" spans="1:36" hidden="1">
      <c r="A245" s="680">
        <v>2212008048</v>
      </c>
      <c r="B245" s="680" t="s">
        <v>525</v>
      </c>
      <c r="C245" s="680" t="s">
        <v>510</v>
      </c>
      <c r="D245" s="680" t="s">
        <v>509</v>
      </c>
      <c r="E245" s="680" t="s">
        <v>489</v>
      </c>
      <c r="F245" s="680" t="s">
        <v>488</v>
      </c>
      <c r="G245" s="680">
        <v>32</v>
      </c>
      <c r="H245" s="680">
        <v>78</v>
      </c>
      <c r="I245" s="680">
        <v>3</v>
      </c>
      <c r="J245" s="680">
        <v>7</v>
      </c>
      <c r="K245" s="680">
        <v>16</v>
      </c>
      <c r="L245" s="680">
        <v>40</v>
      </c>
      <c r="M245" s="680">
        <v>3</v>
      </c>
      <c r="N245" s="680">
        <v>6</v>
      </c>
      <c r="O245" s="680">
        <f>+G245+I245+K245+M245</f>
        <v>54</v>
      </c>
      <c r="P245" s="680">
        <f>+H245+J245+L245+N245</f>
        <v>131</v>
      </c>
      <c r="Q245" s="680" t="s">
        <v>524</v>
      </c>
      <c r="R245" s="680" t="s">
        <v>524</v>
      </c>
      <c r="S245" s="680" t="s">
        <v>8</v>
      </c>
      <c r="T245" s="680" t="s">
        <v>484</v>
      </c>
      <c r="U245" s="681">
        <v>66</v>
      </c>
      <c r="V245" s="680">
        <v>77.16</v>
      </c>
      <c r="W245" s="680" t="s">
        <v>507</v>
      </c>
      <c r="X245" s="680" t="s">
        <v>485</v>
      </c>
      <c r="Y245" s="680" t="s">
        <v>484</v>
      </c>
      <c r="Z245" s="680" t="s">
        <v>483</v>
      </c>
      <c r="AA245" s="680">
        <f>+U245*G245</f>
        <v>2112</v>
      </c>
      <c r="AB245" s="680">
        <f>+U245*H245</f>
        <v>5148</v>
      </c>
      <c r="AC245" s="680">
        <f>+U245*I245</f>
        <v>198</v>
      </c>
      <c r="AD245" s="680">
        <f>+U245*J245</f>
        <v>462</v>
      </c>
      <c r="AE245" s="680">
        <f>+U245*K245</f>
        <v>1056</v>
      </c>
      <c r="AF245" s="680">
        <f>+U245*L245</f>
        <v>2640</v>
      </c>
      <c r="AG245" s="680">
        <f>+U245*M245</f>
        <v>198</v>
      </c>
      <c r="AH245" s="680">
        <f>+U245*N245</f>
        <v>396</v>
      </c>
      <c r="AI245" s="681">
        <f>+U245*O245</f>
        <v>3564</v>
      </c>
      <c r="AJ245" s="681">
        <f>+U245*P245</f>
        <v>8646</v>
      </c>
    </row>
    <row r="246" spans="1:36" hidden="1">
      <c r="A246" s="680">
        <v>2212008050</v>
      </c>
      <c r="B246" s="680" t="s">
        <v>523</v>
      </c>
      <c r="C246" s="680" t="s">
        <v>491</v>
      </c>
      <c r="D246" s="680" t="s">
        <v>490</v>
      </c>
      <c r="E246" s="680" t="s">
        <v>489</v>
      </c>
      <c r="F246" s="680" t="s">
        <v>488</v>
      </c>
      <c r="G246" s="680">
        <v>0</v>
      </c>
      <c r="H246" s="680">
        <v>0</v>
      </c>
      <c r="I246" s="680">
        <v>0</v>
      </c>
      <c r="J246" s="680">
        <v>0</v>
      </c>
      <c r="K246" s="680">
        <v>110</v>
      </c>
      <c r="L246" s="680">
        <v>275</v>
      </c>
      <c r="M246" s="680">
        <v>100</v>
      </c>
      <c r="N246" s="680">
        <v>250</v>
      </c>
      <c r="O246" s="680">
        <f>+G246+I246+K246+M246</f>
        <v>210</v>
      </c>
      <c r="P246" s="680">
        <f>+H246+J246+L246+N246</f>
        <v>525</v>
      </c>
      <c r="Q246" s="680" t="s">
        <v>522</v>
      </c>
      <c r="R246" s="680" t="s">
        <v>522</v>
      </c>
      <c r="S246" s="680" t="s">
        <v>8</v>
      </c>
      <c r="T246" s="680" t="s">
        <v>484</v>
      </c>
      <c r="U246" s="681">
        <v>18.3</v>
      </c>
      <c r="V246" s="680">
        <v>19.829999999999998</v>
      </c>
      <c r="W246" s="680" t="s">
        <v>507</v>
      </c>
      <c r="X246" s="680" t="s">
        <v>485</v>
      </c>
      <c r="Y246" s="680" t="s">
        <v>484</v>
      </c>
      <c r="Z246" s="680" t="s">
        <v>483</v>
      </c>
      <c r="AA246" s="680">
        <f>+U246*G246</f>
        <v>0</v>
      </c>
      <c r="AB246" s="680">
        <f>+U246*H246</f>
        <v>0</v>
      </c>
      <c r="AC246" s="680">
        <f>+U246*I246</f>
        <v>0</v>
      </c>
      <c r="AD246" s="680">
        <f>+U246*J246</f>
        <v>0</v>
      </c>
      <c r="AE246" s="680">
        <f>+U246*K246</f>
        <v>2013</v>
      </c>
      <c r="AF246" s="680">
        <f>+U246*L246</f>
        <v>5032.5</v>
      </c>
      <c r="AG246" s="680">
        <f>+U246*M246</f>
        <v>1830</v>
      </c>
      <c r="AH246" s="680">
        <f>+U246*N246</f>
        <v>4575</v>
      </c>
      <c r="AI246" s="681">
        <f>+U246*O246</f>
        <v>3843</v>
      </c>
      <c r="AJ246" s="681">
        <f>+U246*P246</f>
        <v>9607.5</v>
      </c>
    </row>
    <row r="247" spans="1:36" hidden="1">
      <c r="A247" s="680">
        <v>2212008051</v>
      </c>
      <c r="B247" s="680" t="s">
        <v>521</v>
      </c>
      <c r="C247" s="680" t="s">
        <v>512</v>
      </c>
      <c r="D247" s="680" t="s">
        <v>511</v>
      </c>
      <c r="E247" s="680" t="s">
        <v>489</v>
      </c>
      <c r="F247" s="680" t="s">
        <v>488</v>
      </c>
      <c r="G247" s="680">
        <v>0</v>
      </c>
      <c r="H247" s="680">
        <v>0</v>
      </c>
      <c r="I247" s="680">
        <v>198</v>
      </c>
      <c r="J247" s="680">
        <v>495</v>
      </c>
      <c r="K247" s="680">
        <v>0</v>
      </c>
      <c r="L247" s="680">
        <v>0</v>
      </c>
      <c r="M247" s="680">
        <v>0</v>
      </c>
      <c r="N247" s="680">
        <v>0</v>
      </c>
      <c r="O247" s="680">
        <f>+G247+I247+K247+M247</f>
        <v>198</v>
      </c>
      <c r="P247" s="680">
        <f>+H247+J247+L247+N247</f>
        <v>495</v>
      </c>
      <c r="Q247" s="680" t="s">
        <v>495</v>
      </c>
      <c r="R247" s="680" t="s">
        <v>494</v>
      </c>
      <c r="S247" s="680" t="s">
        <v>8</v>
      </c>
      <c r="T247" s="680" t="s">
        <v>484</v>
      </c>
      <c r="U247" s="681">
        <v>40</v>
      </c>
      <c r="V247" s="680">
        <v>43.87</v>
      </c>
      <c r="W247" s="680" t="s">
        <v>507</v>
      </c>
      <c r="X247" s="680" t="s">
        <v>485</v>
      </c>
      <c r="Y247" s="680" t="s">
        <v>484</v>
      </c>
      <c r="Z247" s="680" t="s">
        <v>483</v>
      </c>
      <c r="AA247" s="680">
        <f>+U247*G247</f>
        <v>0</v>
      </c>
      <c r="AB247" s="680">
        <f>+U247*H247</f>
        <v>0</v>
      </c>
      <c r="AC247" s="680">
        <f>+U247*I247</f>
        <v>7920</v>
      </c>
      <c r="AD247" s="680">
        <f>+U247*J247</f>
        <v>19800</v>
      </c>
      <c r="AE247" s="680">
        <f>+U247*K247</f>
        <v>0</v>
      </c>
      <c r="AF247" s="680">
        <f>+U247*L247</f>
        <v>0</v>
      </c>
      <c r="AG247" s="680">
        <f>+U247*M247</f>
        <v>0</v>
      </c>
      <c r="AH247" s="680">
        <f>+U247*N247</f>
        <v>0</v>
      </c>
      <c r="AI247" s="681">
        <f>+U247*O247</f>
        <v>7920</v>
      </c>
      <c r="AJ247" s="681">
        <f>+U247*P247</f>
        <v>19800</v>
      </c>
    </row>
    <row r="248" spans="1:36" hidden="1">
      <c r="A248" s="680">
        <v>2212009002</v>
      </c>
      <c r="B248" s="680" t="s">
        <v>235</v>
      </c>
      <c r="C248" s="680" t="s">
        <v>491</v>
      </c>
      <c r="D248" s="680" t="s">
        <v>490</v>
      </c>
      <c r="E248" s="680" t="s">
        <v>489</v>
      </c>
      <c r="F248" s="680" t="s">
        <v>488</v>
      </c>
      <c r="G248" s="680">
        <v>0</v>
      </c>
      <c r="H248" s="680">
        <v>0</v>
      </c>
      <c r="I248" s="680">
        <v>3</v>
      </c>
      <c r="J248" s="680">
        <v>7</v>
      </c>
      <c r="K248" s="680">
        <v>0</v>
      </c>
      <c r="L248" s="680">
        <v>0</v>
      </c>
      <c r="M248" s="680">
        <v>0</v>
      </c>
      <c r="N248" s="680">
        <v>0</v>
      </c>
      <c r="O248" s="680">
        <f>+G248+I248+K248+M248</f>
        <v>3</v>
      </c>
      <c r="P248" s="680">
        <f>+H248+J248+L248+N248</f>
        <v>7</v>
      </c>
      <c r="Q248" s="680" t="s">
        <v>517</v>
      </c>
      <c r="R248" s="680" t="s">
        <v>517</v>
      </c>
      <c r="S248" s="680" t="s">
        <v>6</v>
      </c>
      <c r="T248" s="680" t="s">
        <v>484</v>
      </c>
      <c r="U248" s="681">
        <v>135</v>
      </c>
      <c r="V248" s="680">
        <v>142.13999999999999</v>
      </c>
      <c r="W248" s="680" t="s">
        <v>500</v>
      </c>
      <c r="X248" s="680" t="s">
        <v>485</v>
      </c>
      <c r="Y248" s="680" t="s">
        <v>484</v>
      </c>
      <c r="Z248" s="680" t="s">
        <v>483</v>
      </c>
      <c r="AA248" s="680">
        <f>+U248*G248</f>
        <v>0</v>
      </c>
      <c r="AB248" s="680">
        <f>+U248*H248</f>
        <v>0</v>
      </c>
      <c r="AC248" s="680">
        <f>+U248*I248</f>
        <v>405</v>
      </c>
      <c r="AD248" s="680">
        <f>+U248*J248</f>
        <v>945</v>
      </c>
      <c r="AE248" s="680">
        <f>+U248*K248</f>
        <v>0</v>
      </c>
      <c r="AF248" s="680">
        <f>+U248*L248</f>
        <v>0</v>
      </c>
      <c r="AG248" s="680">
        <f>+U248*M248</f>
        <v>0</v>
      </c>
      <c r="AH248" s="680">
        <f>+U248*N248</f>
        <v>0</v>
      </c>
      <c r="AI248" s="681">
        <f>+U248*O248</f>
        <v>405</v>
      </c>
      <c r="AJ248" s="681">
        <f>+U248*P248</f>
        <v>945</v>
      </c>
    </row>
    <row r="249" spans="1:36" hidden="1">
      <c r="A249" s="680">
        <v>2212009005</v>
      </c>
      <c r="B249" s="680" t="s">
        <v>237</v>
      </c>
      <c r="C249" s="680" t="s">
        <v>512</v>
      </c>
      <c r="D249" s="680" t="s">
        <v>511</v>
      </c>
      <c r="E249" s="680" t="s">
        <v>489</v>
      </c>
      <c r="F249" s="680" t="s">
        <v>488</v>
      </c>
      <c r="G249" s="680">
        <v>176</v>
      </c>
      <c r="H249" s="680">
        <v>438</v>
      </c>
      <c r="I249" s="680">
        <v>78</v>
      </c>
      <c r="J249" s="680">
        <v>194</v>
      </c>
      <c r="K249" s="680">
        <v>0</v>
      </c>
      <c r="L249" s="680">
        <v>0</v>
      </c>
      <c r="M249" s="680">
        <v>0</v>
      </c>
      <c r="N249" s="680">
        <v>0</v>
      </c>
      <c r="O249" s="680">
        <f>+G249+I249+K249+M249</f>
        <v>254</v>
      </c>
      <c r="P249" s="680">
        <f>+H249+J249+L249+N249</f>
        <v>632</v>
      </c>
      <c r="Q249" s="680" t="s">
        <v>495</v>
      </c>
      <c r="R249" s="680" t="s">
        <v>494</v>
      </c>
      <c r="S249" s="680" t="s">
        <v>6</v>
      </c>
      <c r="T249" s="680" t="s">
        <v>484</v>
      </c>
      <c r="U249" s="681">
        <v>85</v>
      </c>
      <c r="V249" s="680">
        <v>92.37</v>
      </c>
      <c r="W249" s="680" t="s">
        <v>500</v>
      </c>
      <c r="X249" s="680" t="s">
        <v>485</v>
      </c>
      <c r="Y249" s="680" t="s">
        <v>484</v>
      </c>
      <c r="Z249" s="680" t="s">
        <v>483</v>
      </c>
      <c r="AA249" s="680">
        <f>+U249*G249</f>
        <v>14960</v>
      </c>
      <c r="AB249" s="680">
        <f>+U249*H249</f>
        <v>37230</v>
      </c>
      <c r="AC249" s="680">
        <f>+U249*I249</f>
        <v>6630</v>
      </c>
      <c r="AD249" s="680">
        <f>+U249*J249</f>
        <v>16490</v>
      </c>
      <c r="AE249" s="680">
        <f>+U249*K249</f>
        <v>0</v>
      </c>
      <c r="AF249" s="680">
        <f>+U249*L249</f>
        <v>0</v>
      </c>
      <c r="AG249" s="680">
        <f>+U249*M249</f>
        <v>0</v>
      </c>
      <c r="AH249" s="680">
        <f>+U249*N249</f>
        <v>0</v>
      </c>
      <c r="AI249" s="681">
        <f>+U249*O249</f>
        <v>21590</v>
      </c>
      <c r="AJ249" s="681">
        <f>+U249*P249</f>
        <v>53720</v>
      </c>
    </row>
    <row r="250" spans="1:36">
      <c r="A250" s="680">
        <v>2212009006</v>
      </c>
      <c r="B250" s="680" t="s">
        <v>238</v>
      </c>
      <c r="C250" s="680" t="s">
        <v>519</v>
      </c>
      <c r="D250" s="680" t="s">
        <v>518</v>
      </c>
      <c r="E250" s="680" t="s">
        <v>489</v>
      </c>
      <c r="F250" s="680" t="s">
        <v>488</v>
      </c>
      <c r="G250" s="680">
        <v>8</v>
      </c>
      <c r="H250" s="680">
        <v>18</v>
      </c>
      <c r="I250" s="680">
        <v>0</v>
      </c>
      <c r="J250" s="680">
        <v>0</v>
      </c>
      <c r="K250" s="680">
        <v>0</v>
      </c>
      <c r="L250" s="680">
        <v>0</v>
      </c>
      <c r="M250" s="680">
        <v>0</v>
      </c>
      <c r="N250" s="680">
        <v>0</v>
      </c>
      <c r="O250" s="680">
        <f>+G250+I250+K250+M250</f>
        <v>8</v>
      </c>
      <c r="P250" s="680">
        <f>+H250+J250+L250+N250</f>
        <v>18</v>
      </c>
      <c r="Q250" s="680" t="s">
        <v>516</v>
      </c>
      <c r="R250" s="680" t="s">
        <v>516</v>
      </c>
      <c r="S250" s="680" t="s">
        <v>6</v>
      </c>
      <c r="T250" s="680" t="s">
        <v>484</v>
      </c>
      <c r="U250" s="681">
        <v>60</v>
      </c>
      <c r="V250" s="680">
        <v>70.64</v>
      </c>
      <c r="W250" s="680" t="s">
        <v>500</v>
      </c>
      <c r="X250" s="680" t="s">
        <v>485</v>
      </c>
      <c r="Y250" s="680" t="s">
        <v>484</v>
      </c>
      <c r="Z250" s="680" t="s">
        <v>483</v>
      </c>
      <c r="AA250" s="680">
        <f>+U250*G250</f>
        <v>480</v>
      </c>
      <c r="AB250" s="680">
        <f>+U250*H250</f>
        <v>1080</v>
      </c>
      <c r="AC250" s="680">
        <f>+U250*I250</f>
        <v>0</v>
      </c>
      <c r="AD250" s="680">
        <f>+U250*J250</f>
        <v>0</v>
      </c>
      <c r="AE250" s="680">
        <f>+U250*K250</f>
        <v>0</v>
      </c>
      <c r="AF250" s="680">
        <f>+U250*L250</f>
        <v>0</v>
      </c>
      <c r="AG250" s="680">
        <f>+U250*M250</f>
        <v>0</v>
      </c>
      <c r="AH250" s="680">
        <f>+U250*N250</f>
        <v>0</v>
      </c>
      <c r="AI250" s="681">
        <f>+U250*O250</f>
        <v>480</v>
      </c>
      <c r="AJ250" s="681">
        <f>+U250*P250</f>
        <v>1080</v>
      </c>
    </row>
    <row r="251" spans="1:36">
      <c r="A251" s="680">
        <v>2212009007</v>
      </c>
      <c r="B251" s="680" t="s">
        <v>239</v>
      </c>
      <c r="C251" s="680" t="s">
        <v>519</v>
      </c>
      <c r="D251" s="680" t="s">
        <v>518</v>
      </c>
      <c r="E251" s="680" t="s">
        <v>489</v>
      </c>
      <c r="F251" s="680" t="s">
        <v>488</v>
      </c>
      <c r="G251" s="680">
        <v>0</v>
      </c>
      <c r="H251" s="680">
        <v>0</v>
      </c>
      <c r="I251" s="680">
        <v>45</v>
      </c>
      <c r="J251" s="680">
        <v>112</v>
      </c>
      <c r="K251" s="680">
        <v>0</v>
      </c>
      <c r="L251" s="680">
        <v>0</v>
      </c>
      <c r="M251" s="680">
        <v>0</v>
      </c>
      <c r="N251" s="680">
        <v>0</v>
      </c>
      <c r="O251" s="680">
        <f>+G251+I251+K251+M251</f>
        <v>45</v>
      </c>
      <c r="P251" s="680">
        <f>+H251+J251+L251+N251</f>
        <v>112</v>
      </c>
      <c r="Q251" s="680" t="s">
        <v>516</v>
      </c>
      <c r="R251" s="680" t="s">
        <v>516</v>
      </c>
      <c r="S251" s="680" t="s">
        <v>6</v>
      </c>
      <c r="T251" s="680" t="s">
        <v>484</v>
      </c>
      <c r="U251" s="681">
        <v>38</v>
      </c>
      <c r="V251" s="680">
        <v>41.17</v>
      </c>
      <c r="W251" s="680" t="s">
        <v>500</v>
      </c>
      <c r="X251" s="680" t="s">
        <v>485</v>
      </c>
      <c r="Y251" s="680" t="s">
        <v>484</v>
      </c>
      <c r="Z251" s="680" t="s">
        <v>483</v>
      </c>
      <c r="AA251" s="680">
        <f>+U251*G251</f>
        <v>0</v>
      </c>
      <c r="AB251" s="680">
        <f>+U251*H251</f>
        <v>0</v>
      </c>
      <c r="AC251" s="680">
        <f>+U251*I251</f>
        <v>1710</v>
      </c>
      <c r="AD251" s="680">
        <f>+U251*J251</f>
        <v>4256</v>
      </c>
      <c r="AE251" s="680">
        <f>+U251*K251</f>
        <v>0</v>
      </c>
      <c r="AF251" s="680">
        <f>+U251*L251</f>
        <v>0</v>
      </c>
      <c r="AG251" s="680">
        <f>+U251*M251</f>
        <v>0</v>
      </c>
      <c r="AH251" s="680">
        <f>+U251*N251</f>
        <v>0</v>
      </c>
      <c r="AI251" s="681">
        <f>+U251*O251</f>
        <v>1710</v>
      </c>
      <c r="AJ251" s="681">
        <f>+U251*P251</f>
        <v>4256</v>
      </c>
    </row>
    <row r="252" spans="1:36" hidden="1">
      <c r="A252" s="680">
        <v>2212009008</v>
      </c>
      <c r="B252" s="680" t="s">
        <v>240</v>
      </c>
      <c r="C252" s="680" t="s">
        <v>491</v>
      </c>
      <c r="D252" s="680" t="s">
        <v>490</v>
      </c>
      <c r="E252" s="680" t="s">
        <v>489</v>
      </c>
      <c r="F252" s="680" t="s">
        <v>488</v>
      </c>
      <c r="G252" s="680">
        <v>2127</v>
      </c>
      <c r="H252" s="680">
        <v>5316</v>
      </c>
      <c r="I252" s="680">
        <v>843</v>
      </c>
      <c r="J252" s="680">
        <v>2106</v>
      </c>
      <c r="K252" s="680">
        <v>0</v>
      </c>
      <c r="L252" s="680">
        <v>0</v>
      </c>
      <c r="M252" s="680">
        <v>0</v>
      </c>
      <c r="N252" s="680">
        <v>0</v>
      </c>
      <c r="O252" s="680">
        <f>+G252+I252+K252+M252</f>
        <v>2970</v>
      </c>
      <c r="P252" s="680">
        <f>+H252+J252+L252+N252</f>
        <v>7422</v>
      </c>
      <c r="Q252" s="680" t="s">
        <v>516</v>
      </c>
      <c r="R252" s="680" t="s">
        <v>516</v>
      </c>
      <c r="S252" s="680" t="s">
        <v>6</v>
      </c>
      <c r="T252" s="680" t="s">
        <v>484</v>
      </c>
      <c r="U252" s="681">
        <v>22</v>
      </c>
      <c r="V252" s="680">
        <v>24.13</v>
      </c>
      <c r="W252" s="680" t="s">
        <v>500</v>
      </c>
      <c r="X252" s="680" t="s">
        <v>485</v>
      </c>
      <c r="Y252" s="680" t="s">
        <v>484</v>
      </c>
      <c r="Z252" s="680" t="s">
        <v>483</v>
      </c>
      <c r="AA252" s="680">
        <f>+U252*G252</f>
        <v>46794</v>
      </c>
      <c r="AB252" s="680">
        <f>+U252*H252</f>
        <v>116952</v>
      </c>
      <c r="AC252" s="680">
        <f>+U252*I252</f>
        <v>18546</v>
      </c>
      <c r="AD252" s="680">
        <f>+U252*J252</f>
        <v>46332</v>
      </c>
      <c r="AE252" s="680">
        <f>+U252*K252</f>
        <v>0</v>
      </c>
      <c r="AF252" s="680">
        <f>+U252*L252</f>
        <v>0</v>
      </c>
      <c r="AG252" s="680">
        <f>+U252*M252</f>
        <v>0</v>
      </c>
      <c r="AH252" s="680">
        <f>+U252*N252</f>
        <v>0</v>
      </c>
      <c r="AI252" s="681">
        <f>+U252*O252</f>
        <v>65340</v>
      </c>
      <c r="AJ252" s="681">
        <f>+U252*P252</f>
        <v>163284</v>
      </c>
    </row>
    <row r="253" spans="1:36">
      <c r="A253" s="680">
        <v>2212009009</v>
      </c>
      <c r="B253" s="680" t="s">
        <v>241</v>
      </c>
      <c r="C253" s="680" t="s">
        <v>519</v>
      </c>
      <c r="D253" s="680" t="s">
        <v>518</v>
      </c>
      <c r="E253" s="680" t="s">
        <v>489</v>
      </c>
      <c r="F253" s="680" t="s">
        <v>488</v>
      </c>
      <c r="G253" s="680">
        <v>10</v>
      </c>
      <c r="H253" s="680">
        <v>24</v>
      </c>
      <c r="I253" s="680">
        <v>11</v>
      </c>
      <c r="J253" s="680">
        <v>27</v>
      </c>
      <c r="K253" s="680">
        <v>6</v>
      </c>
      <c r="L253" s="680">
        <v>15</v>
      </c>
      <c r="M253" s="680">
        <v>0</v>
      </c>
      <c r="N253" s="680">
        <v>0</v>
      </c>
      <c r="O253" s="680">
        <f>+G253+I253+K253+M253</f>
        <v>27</v>
      </c>
      <c r="P253" s="680">
        <f>+H253+J253+L253+N253</f>
        <v>66</v>
      </c>
      <c r="Q253" s="680" t="s">
        <v>516</v>
      </c>
      <c r="R253" s="680" t="s">
        <v>516</v>
      </c>
      <c r="S253" s="680" t="s">
        <v>6</v>
      </c>
      <c r="T253" s="680" t="s">
        <v>484</v>
      </c>
      <c r="U253" s="681">
        <v>66</v>
      </c>
      <c r="V253" s="680">
        <v>71.069999999999993</v>
      </c>
      <c r="W253" s="680" t="s">
        <v>500</v>
      </c>
      <c r="X253" s="680" t="s">
        <v>485</v>
      </c>
      <c r="Y253" s="680" t="s">
        <v>484</v>
      </c>
      <c r="Z253" s="680" t="s">
        <v>483</v>
      </c>
      <c r="AA253" s="680">
        <f>+U253*G253</f>
        <v>660</v>
      </c>
      <c r="AB253" s="680">
        <f>+U253*H253</f>
        <v>1584</v>
      </c>
      <c r="AC253" s="680">
        <f>+U253*I253</f>
        <v>726</v>
      </c>
      <c r="AD253" s="680">
        <f>+U253*J253</f>
        <v>1782</v>
      </c>
      <c r="AE253" s="680">
        <f>+U253*K253</f>
        <v>396</v>
      </c>
      <c r="AF253" s="680">
        <f>+U253*L253</f>
        <v>990</v>
      </c>
      <c r="AG253" s="680">
        <f>+U253*M253</f>
        <v>0</v>
      </c>
      <c r="AH253" s="680">
        <f>+U253*N253</f>
        <v>0</v>
      </c>
      <c r="AI253" s="681">
        <f>+U253*O253</f>
        <v>1782</v>
      </c>
      <c r="AJ253" s="681">
        <f>+U253*P253</f>
        <v>4356</v>
      </c>
    </row>
    <row r="254" spans="1:36" hidden="1">
      <c r="A254" s="680">
        <v>2212009010</v>
      </c>
      <c r="B254" s="680" t="s">
        <v>242</v>
      </c>
      <c r="C254" s="680" t="s">
        <v>491</v>
      </c>
      <c r="D254" s="680" t="s">
        <v>490</v>
      </c>
      <c r="E254" s="680" t="s">
        <v>489</v>
      </c>
      <c r="F254" s="680" t="s">
        <v>488</v>
      </c>
      <c r="G254" s="680">
        <v>113</v>
      </c>
      <c r="H254" s="680">
        <v>282</v>
      </c>
      <c r="I254" s="680">
        <v>14</v>
      </c>
      <c r="J254" s="680">
        <v>35</v>
      </c>
      <c r="K254" s="680">
        <v>0</v>
      </c>
      <c r="L254" s="680">
        <v>0</v>
      </c>
      <c r="M254" s="680">
        <v>0</v>
      </c>
      <c r="N254" s="680">
        <v>0</v>
      </c>
      <c r="O254" s="680">
        <f>+G254+I254+K254+M254</f>
        <v>127</v>
      </c>
      <c r="P254" s="680">
        <f>+H254+J254+L254+N254</f>
        <v>317</v>
      </c>
      <c r="Q254" s="680" t="s">
        <v>517</v>
      </c>
      <c r="R254" s="680" t="s">
        <v>517</v>
      </c>
      <c r="S254" s="680" t="s">
        <v>6</v>
      </c>
      <c r="T254" s="680" t="s">
        <v>484</v>
      </c>
      <c r="U254" s="681">
        <v>270</v>
      </c>
      <c r="V254" s="680">
        <v>304.27</v>
      </c>
      <c r="W254" s="680" t="s">
        <v>500</v>
      </c>
      <c r="X254" s="680" t="s">
        <v>485</v>
      </c>
      <c r="Y254" s="680" t="s">
        <v>484</v>
      </c>
      <c r="Z254" s="680" t="s">
        <v>483</v>
      </c>
      <c r="AA254" s="680">
        <f>+U254*G254</f>
        <v>30510</v>
      </c>
      <c r="AB254" s="680">
        <f>+U254*H254</f>
        <v>76140</v>
      </c>
      <c r="AC254" s="680">
        <f>+U254*I254</f>
        <v>3780</v>
      </c>
      <c r="AD254" s="680">
        <f>+U254*J254</f>
        <v>9450</v>
      </c>
      <c r="AE254" s="680">
        <f>+U254*K254</f>
        <v>0</v>
      </c>
      <c r="AF254" s="680">
        <f>+U254*L254</f>
        <v>0</v>
      </c>
      <c r="AG254" s="680">
        <f>+U254*M254</f>
        <v>0</v>
      </c>
      <c r="AH254" s="680">
        <f>+U254*N254</f>
        <v>0</v>
      </c>
      <c r="AI254" s="681">
        <f>+U254*O254</f>
        <v>34290</v>
      </c>
      <c r="AJ254" s="681">
        <f>+U254*P254</f>
        <v>85590</v>
      </c>
    </row>
    <row r="255" spans="1:36" hidden="1">
      <c r="A255" s="680">
        <v>2212009011</v>
      </c>
      <c r="B255" s="680" t="s">
        <v>243</v>
      </c>
      <c r="C255" s="680" t="s">
        <v>491</v>
      </c>
      <c r="D255" s="680" t="s">
        <v>490</v>
      </c>
      <c r="E255" s="680" t="s">
        <v>489</v>
      </c>
      <c r="F255" s="680" t="s">
        <v>488</v>
      </c>
      <c r="G255" s="680">
        <v>10</v>
      </c>
      <c r="H255" s="680">
        <v>24</v>
      </c>
      <c r="I255" s="680">
        <v>18</v>
      </c>
      <c r="J255" s="680">
        <v>43</v>
      </c>
      <c r="K255" s="680">
        <v>0</v>
      </c>
      <c r="L255" s="680">
        <v>0</v>
      </c>
      <c r="M255" s="680">
        <v>0</v>
      </c>
      <c r="N255" s="680">
        <v>0</v>
      </c>
      <c r="O255" s="680">
        <f>+G255+I255+K255+M255</f>
        <v>28</v>
      </c>
      <c r="P255" s="680">
        <f>+H255+J255+L255+N255</f>
        <v>67</v>
      </c>
      <c r="Q255" s="680" t="s">
        <v>517</v>
      </c>
      <c r="R255" s="680" t="s">
        <v>517</v>
      </c>
      <c r="S255" s="680" t="s">
        <v>6</v>
      </c>
      <c r="T255" s="680" t="s">
        <v>484</v>
      </c>
      <c r="U255" s="681">
        <v>170</v>
      </c>
      <c r="V255" s="680">
        <v>177.13</v>
      </c>
      <c r="W255" s="680" t="s">
        <v>500</v>
      </c>
      <c r="X255" s="680" t="s">
        <v>485</v>
      </c>
      <c r="Y255" s="680" t="s">
        <v>484</v>
      </c>
      <c r="Z255" s="680" t="s">
        <v>483</v>
      </c>
      <c r="AA255" s="680">
        <f>+U255*G255</f>
        <v>1700</v>
      </c>
      <c r="AB255" s="680">
        <f>+U255*H255</f>
        <v>4080</v>
      </c>
      <c r="AC255" s="680">
        <f>+U255*I255</f>
        <v>3060</v>
      </c>
      <c r="AD255" s="680">
        <f>+U255*J255</f>
        <v>7310</v>
      </c>
      <c r="AE255" s="680">
        <f>+U255*K255</f>
        <v>0</v>
      </c>
      <c r="AF255" s="680">
        <f>+U255*L255</f>
        <v>0</v>
      </c>
      <c r="AG255" s="680">
        <f>+U255*M255</f>
        <v>0</v>
      </c>
      <c r="AH255" s="680">
        <f>+U255*N255</f>
        <v>0</v>
      </c>
      <c r="AI255" s="681">
        <f>+U255*O255</f>
        <v>4760</v>
      </c>
      <c r="AJ255" s="681">
        <f>+U255*P255</f>
        <v>11390</v>
      </c>
    </row>
    <row r="256" spans="1:36" hidden="1">
      <c r="A256" s="680">
        <v>2212009012</v>
      </c>
      <c r="B256" s="680" t="s">
        <v>244</v>
      </c>
      <c r="C256" s="680" t="s">
        <v>512</v>
      </c>
      <c r="D256" s="680" t="s">
        <v>511</v>
      </c>
      <c r="E256" s="680" t="s">
        <v>489</v>
      </c>
      <c r="F256" s="680" t="s">
        <v>488</v>
      </c>
      <c r="G256" s="680">
        <v>17</v>
      </c>
      <c r="H256" s="680">
        <v>42</v>
      </c>
      <c r="I256" s="680">
        <v>18</v>
      </c>
      <c r="J256" s="680">
        <v>43</v>
      </c>
      <c r="K256" s="680">
        <v>0</v>
      </c>
      <c r="L256" s="680">
        <v>0</v>
      </c>
      <c r="M256" s="680">
        <v>0</v>
      </c>
      <c r="N256" s="680">
        <v>0</v>
      </c>
      <c r="O256" s="680">
        <f>+G256+I256+K256+M256</f>
        <v>35</v>
      </c>
      <c r="P256" s="680">
        <f>+H256+J256+L256+N256</f>
        <v>85</v>
      </c>
      <c r="Q256" s="680" t="s">
        <v>495</v>
      </c>
      <c r="R256" s="680" t="s">
        <v>494</v>
      </c>
      <c r="S256" s="680" t="s">
        <v>6</v>
      </c>
      <c r="T256" s="680" t="s">
        <v>484</v>
      </c>
      <c r="U256" s="681">
        <v>130</v>
      </c>
      <c r="V256" s="680">
        <v>146.25</v>
      </c>
      <c r="W256" s="680" t="s">
        <v>500</v>
      </c>
      <c r="X256" s="680" t="s">
        <v>485</v>
      </c>
      <c r="Y256" s="680" t="s">
        <v>484</v>
      </c>
      <c r="Z256" s="680" t="s">
        <v>483</v>
      </c>
      <c r="AA256" s="680">
        <f>+U256*G256</f>
        <v>2210</v>
      </c>
      <c r="AB256" s="680">
        <f>+U256*H256</f>
        <v>5460</v>
      </c>
      <c r="AC256" s="680">
        <f>+U256*I256</f>
        <v>2340</v>
      </c>
      <c r="AD256" s="680">
        <f>+U256*J256</f>
        <v>5590</v>
      </c>
      <c r="AE256" s="680">
        <f>+U256*K256</f>
        <v>0</v>
      </c>
      <c r="AF256" s="680">
        <f>+U256*L256</f>
        <v>0</v>
      </c>
      <c r="AG256" s="680">
        <f>+U256*M256</f>
        <v>0</v>
      </c>
      <c r="AH256" s="680">
        <f>+U256*N256</f>
        <v>0</v>
      </c>
      <c r="AI256" s="681">
        <f>+U256*O256</f>
        <v>4550</v>
      </c>
      <c r="AJ256" s="681">
        <f>+U256*P256</f>
        <v>11050</v>
      </c>
    </row>
    <row r="257" spans="1:36" hidden="1">
      <c r="A257" s="680">
        <v>2212009013</v>
      </c>
      <c r="B257" s="680" t="s">
        <v>245</v>
      </c>
      <c r="C257" s="680" t="s">
        <v>503</v>
      </c>
      <c r="D257" s="680" t="s">
        <v>502</v>
      </c>
      <c r="E257" s="680" t="s">
        <v>489</v>
      </c>
      <c r="F257" s="680" t="s">
        <v>488</v>
      </c>
      <c r="G257" s="680">
        <v>5</v>
      </c>
      <c r="H257" s="680">
        <v>12</v>
      </c>
      <c r="I257" s="680">
        <v>0</v>
      </c>
      <c r="J257" s="680">
        <v>0</v>
      </c>
      <c r="K257" s="680">
        <v>0</v>
      </c>
      <c r="L257" s="680">
        <v>0</v>
      </c>
      <c r="M257" s="680">
        <v>0</v>
      </c>
      <c r="N257" s="680">
        <v>0</v>
      </c>
      <c r="O257" s="680">
        <f>+G257+I257+K257+M257</f>
        <v>5</v>
      </c>
      <c r="P257" s="680">
        <f>+H257+J257+L257+N257</f>
        <v>12</v>
      </c>
      <c r="Q257" s="680" t="s">
        <v>501</v>
      </c>
      <c r="R257" s="680" t="s">
        <v>501</v>
      </c>
      <c r="S257" s="680" t="s">
        <v>6</v>
      </c>
      <c r="T257" s="680" t="s">
        <v>484</v>
      </c>
      <c r="U257" s="681">
        <v>195</v>
      </c>
      <c r="V257" s="680">
        <v>197.4</v>
      </c>
      <c r="W257" s="680" t="s">
        <v>500</v>
      </c>
      <c r="X257" s="680" t="s">
        <v>485</v>
      </c>
      <c r="Y257" s="680" t="s">
        <v>484</v>
      </c>
      <c r="Z257" s="680" t="s">
        <v>483</v>
      </c>
      <c r="AA257" s="680">
        <f>+U257*G257</f>
        <v>975</v>
      </c>
      <c r="AB257" s="680">
        <f>+U257*H257</f>
        <v>2340</v>
      </c>
      <c r="AC257" s="680">
        <f>+U257*I257</f>
        <v>0</v>
      </c>
      <c r="AD257" s="680">
        <f>+U257*J257</f>
        <v>0</v>
      </c>
      <c r="AE257" s="680">
        <f>+U257*K257</f>
        <v>0</v>
      </c>
      <c r="AF257" s="680">
        <f>+U257*L257</f>
        <v>0</v>
      </c>
      <c r="AG257" s="680">
        <f>+U257*M257</f>
        <v>0</v>
      </c>
      <c r="AH257" s="680">
        <f>+U257*N257</f>
        <v>0</v>
      </c>
      <c r="AI257" s="681">
        <f>+U257*O257</f>
        <v>975</v>
      </c>
      <c r="AJ257" s="681">
        <f>+U257*P257</f>
        <v>2340</v>
      </c>
    </row>
    <row r="258" spans="1:36" hidden="1">
      <c r="A258" s="680">
        <v>2212009014</v>
      </c>
      <c r="B258" s="680" t="s">
        <v>246</v>
      </c>
      <c r="C258" s="680" t="s">
        <v>512</v>
      </c>
      <c r="D258" s="680" t="s">
        <v>511</v>
      </c>
      <c r="E258" s="680" t="s">
        <v>489</v>
      </c>
      <c r="F258" s="680" t="s">
        <v>488</v>
      </c>
      <c r="G258" s="680">
        <v>10</v>
      </c>
      <c r="H258" s="680">
        <v>24</v>
      </c>
      <c r="I258" s="680">
        <v>18</v>
      </c>
      <c r="J258" s="680">
        <v>43</v>
      </c>
      <c r="K258" s="680">
        <v>0</v>
      </c>
      <c r="L258" s="680">
        <v>0</v>
      </c>
      <c r="M258" s="680">
        <v>0</v>
      </c>
      <c r="N258" s="680">
        <v>0</v>
      </c>
      <c r="O258" s="680">
        <f>+G258+I258+K258+M258</f>
        <v>28</v>
      </c>
      <c r="P258" s="680">
        <f>+H258+J258+L258+N258</f>
        <v>67</v>
      </c>
      <c r="Q258" s="680" t="s">
        <v>495</v>
      </c>
      <c r="R258" s="680" t="s">
        <v>494</v>
      </c>
      <c r="S258" s="680" t="s">
        <v>6</v>
      </c>
      <c r="T258" s="680" t="s">
        <v>484</v>
      </c>
      <c r="U258" s="681">
        <v>130</v>
      </c>
      <c r="V258" s="680">
        <v>147.6</v>
      </c>
      <c r="W258" s="680" t="s">
        <v>500</v>
      </c>
      <c r="X258" s="680" t="s">
        <v>485</v>
      </c>
      <c r="Y258" s="680" t="s">
        <v>484</v>
      </c>
      <c r="Z258" s="680" t="s">
        <v>483</v>
      </c>
      <c r="AA258" s="680">
        <f>+U258*G258</f>
        <v>1300</v>
      </c>
      <c r="AB258" s="680">
        <f>+U258*H258</f>
        <v>3120</v>
      </c>
      <c r="AC258" s="680">
        <f>+U258*I258</f>
        <v>2340</v>
      </c>
      <c r="AD258" s="680">
        <f>+U258*J258</f>
        <v>5590</v>
      </c>
      <c r="AE258" s="680">
        <f>+U258*K258</f>
        <v>0</v>
      </c>
      <c r="AF258" s="680">
        <f>+U258*L258</f>
        <v>0</v>
      </c>
      <c r="AG258" s="680">
        <f>+U258*M258</f>
        <v>0</v>
      </c>
      <c r="AH258" s="680">
        <f>+U258*N258</f>
        <v>0</v>
      </c>
      <c r="AI258" s="681">
        <f>+U258*O258</f>
        <v>3640</v>
      </c>
      <c r="AJ258" s="681">
        <f>+U258*P258</f>
        <v>8710</v>
      </c>
    </row>
    <row r="259" spans="1:36" hidden="1">
      <c r="A259" s="680">
        <v>2212009015</v>
      </c>
      <c r="B259" s="680" t="s">
        <v>247</v>
      </c>
      <c r="C259" s="680" t="s">
        <v>491</v>
      </c>
      <c r="D259" s="680" t="s">
        <v>490</v>
      </c>
      <c r="E259" s="680" t="s">
        <v>489</v>
      </c>
      <c r="F259" s="680" t="s">
        <v>488</v>
      </c>
      <c r="G259" s="680">
        <v>58</v>
      </c>
      <c r="H259" s="680">
        <v>144</v>
      </c>
      <c r="I259" s="680">
        <v>26</v>
      </c>
      <c r="J259" s="680">
        <v>65</v>
      </c>
      <c r="K259" s="680">
        <v>0</v>
      </c>
      <c r="L259" s="680">
        <v>0</v>
      </c>
      <c r="M259" s="680">
        <v>0</v>
      </c>
      <c r="N259" s="680">
        <v>0</v>
      </c>
      <c r="O259" s="680">
        <f>+G259+I259+K259+M259</f>
        <v>84</v>
      </c>
      <c r="P259" s="680">
        <f>+H259+J259+L259+N259</f>
        <v>209</v>
      </c>
      <c r="Q259" s="680" t="s">
        <v>517</v>
      </c>
      <c r="R259" s="680" t="s">
        <v>517</v>
      </c>
      <c r="S259" s="680" t="s">
        <v>6</v>
      </c>
      <c r="T259" s="680" t="s">
        <v>484</v>
      </c>
      <c r="U259" s="681">
        <v>135</v>
      </c>
      <c r="V259" s="680">
        <v>146.69999999999999</v>
      </c>
      <c r="W259" s="680" t="s">
        <v>500</v>
      </c>
      <c r="X259" s="680" t="s">
        <v>485</v>
      </c>
      <c r="Y259" s="680" t="s">
        <v>484</v>
      </c>
      <c r="Z259" s="680" t="s">
        <v>483</v>
      </c>
      <c r="AA259" s="680">
        <f>+U259*G259</f>
        <v>7830</v>
      </c>
      <c r="AB259" s="680">
        <f>+U259*H259</f>
        <v>19440</v>
      </c>
      <c r="AC259" s="680">
        <f>+U259*I259</f>
        <v>3510</v>
      </c>
      <c r="AD259" s="680">
        <f>+U259*J259</f>
        <v>8775</v>
      </c>
      <c r="AE259" s="680">
        <f>+U259*K259</f>
        <v>0</v>
      </c>
      <c r="AF259" s="680">
        <f>+U259*L259</f>
        <v>0</v>
      </c>
      <c r="AG259" s="680">
        <f>+U259*M259</f>
        <v>0</v>
      </c>
      <c r="AH259" s="680">
        <f>+U259*N259</f>
        <v>0</v>
      </c>
      <c r="AI259" s="681">
        <f>+U259*O259</f>
        <v>11340</v>
      </c>
      <c r="AJ259" s="681">
        <f>+U259*P259</f>
        <v>28215</v>
      </c>
    </row>
    <row r="260" spans="1:36" hidden="1">
      <c r="A260" s="680">
        <v>2212009016</v>
      </c>
      <c r="B260" s="680" t="s">
        <v>248</v>
      </c>
      <c r="C260" s="680" t="s">
        <v>503</v>
      </c>
      <c r="D260" s="680" t="s">
        <v>502</v>
      </c>
      <c r="E260" s="680" t="s">
        <v>489</v>
      </c>
      <c r="F260" s="680" t="s">
        <v>488</v>
      </c>
      <c r="G260" s="680">
        <v>3</v>
      </c>
      <c r="H260" s="680">
        <v>6</v>
      </c>
      <c r="I260" s="680">
        <v>0</v>
      </c>
      <c r="J260" s="680">
        <v>0</v>
      </c>
      <c r="K260" s="680">
        <v>0</v>
      </c>
      <c r="L260" s="680">
        <v>0</v>
      </c>
      <c r="M260" s="680">
        <v>0</v>
      </c>
      <c r="N260" s="680">
        <v>0</v>
      </c>
      <c r="O260" s="680">
        <f>+G260+I260+K260+M260</f>
        <v>3</v>
      </c>
      <c r="P260" s="680">
        <f>+H260+J260+L260+N260</f>
        <v>6</v>
      </c>
      <c r="Q260" s="680" t="s">
        <v>501</v>
      </c>
      <c r="R260" s="680" t="s">
        <v>501</v>
      </c>
      <c r="S260" s="680" t="s">
        <v>6</v>
      </c>
      <c r="T260" s="680" t="s">
        <v>484</v>
      </c>
      <c r="U260" s="681">
        <v>163.5</v>
      </c>
      <c r="V260" s="680">
        <v>163</v>
      </c>
      <c r="W260" s="680" t="s">
        <v>500</v>
      </c>
      <c r="X260" s="680" t="s">
        <v>485</v>
      </c>
      <c r="Y260" s="680" t="s">
        <v>484</v>
      </c>
      <c r="Z260" s="680" t="s">
        <v>483</v>
      </c>
      <c r="AA260" s="680">
        <f>+U260*G260</f>
        <v>490.5</v>
      </c>
      <c r="AB260" s="680">
        <f>+U260*H260</f>
        <v>981</v>
      </c>
      <c r="AC260" s="680">
        <f>+U260*I260</f>
        <v>0</v>
      </c>
      <c r="AD260" s="680">
        <f>+U260*J260</f>
        <v>0</v>
      </c>
      <c r="AE260" s="680">
        <f>+U260*K260</f>
        <v>0</v>
      </c>
      <c r="AF260" s="680">
        <f>+U260*L260</f>
        <v>0</v>
      </c>
      <c r="AG260" s="680">
        <f>+U260*M260</f>
        <v>0</v>
      </c>
      <c r="AH260" s="680">
        <f>+U260*N260</f>
        <v>0</v>
      </c>
      <c r="AI260" s="681">
        <f>+U260*O260</f>
        <v>490.5</v>
      </c>
      <c r="AJ260" s="681">
        <f>+U260*P260</f>
        <v>981</v>
      </c>
    </row>
    <row r="261" spans="1:36" hidden="1">
      <c r="A261" s="680">
        <v>2212009017</v>
      </c>
      <c r="B261" s="680" t="s">
        <v>249</v>
      </c>
      <c r="C261" s="680" t="s">
        <v>503</v>
      </c>
      <c r="D261" s="680" t="s">
        <v>502</v>
      </c>
      <c r="E261" s="680" t="s">
        <v>489</v>
      </c>
      <c r="F261" s="680" t="s">
        <v>488</v>
      </c>
      <c r="G261" s="680">
        <v>3</v>
      </c>
      <c r="H261" s="680">
        <v>6</v>
      </c>
      <c r="I261" s="680">
        <v>5</v>
      </c>
      <c r="J261" s="680">
        <v>11</v>
      </c>
      <c r="K261" s="680">
        <v>0</v>
      </c>
      <c r="L261" s="680">
        <v>0</v>
      </c>
      <c r="M261" s="680">
        <v>0</v>
      </c>
      <c r="N261" s="680">
        <v>0</v>
      </c>
      <c r="O261" s="680">
        <f>+G261+I261+K261+M261</f>
        <v>8</v>
      </c>
      <c r="P261" s="680">
        <f>+H261+J261+L261+N261</f>
        <v>17</v>
      </c>
      <c r="Q261" s="680" t="s">
        <v>501</v>
      </c>
      <c r="R261" s="680" t="s">
        <v>501</v>
      </c>
      <c r="S261" s="680" t="s">
        <v>6</v>
      </c>
      <c r="T261" s="680" t="s">
        <v>484</v>
      </c>
      <c r="U261" s="681">
        <v>174.4</v>
      </c>
      <c r="V261" s="680">
        <v>173.34</v>
      </c>
      <c r="W261" s="680" t="s">
        <v>500</v>
      </c>
      <c r="X261" s="680" t="s">
        <v>485</v>
      </c>
      <c r="Y261" s="680" t="s">
        <v>484</v>
      </c>
      <c r="Z261" s="680" t="s">
        <v>483</v>
      </c>
      <c r="AA261" s="680">
        <f>+U261*G261</f>
        <v>523.20000000000005</v>
      </c>
      <c r="AB261" s="680">
        <f>+U261*H261</f>
        <v>1046.4000000000001</v>
      </c>
      <c r="AC261" s="680">
        <f>+U261*I261</f>
        <v>872</v>
      </c>
      <c r="AD261" s="680">
        <f>+U261*J261</f>
        <v>1918.4</v>
      </c>
      <c r="AE261" s="680">
        <f>+U261*K261</f>
        <v>0</v>
      </c>
      <c r="AF261" s="680">
        <f>+U261*L261</f>
        <v>0</v>
      </c>
      <c r="AG261" s="680">
        <f>+U261*M261</f>
        <v>0</v>
      </c>
      <c r="AH261" s="680">
        <f>+U261*N261</f>
        <v>0</v>
      </c>
      <c r="AI261" s="681">
        <f>+U261*O261</f>
        <v>1395.2</v>
      </c>
      <c r="AJ261" s="681">
        <f>+U261*P261</f>
        <v>2964.8</v>
      </c>
    </row>
    <row r="262" spans="1:36" hidden="1">
      <c r="A262" s="680">
        <v>2212009018</v>
      </c>
      <c r="B262" s="680" t="s">
        <v>250</v>
      </c>
      <c r="C262" s="680" t="s">
        <v>503</v>
      </c>
      <c r="D262" s="680" t="s">
        <v>502</v>
      </c>
      <c r="E262" s="680" t="s">
        <v>489</v>
      </c>
      <c r="F262" s="680" t="s">
        <v>488</v>
      </c>
      <c r="G262" s="680">
        <v>5</v>
      </c>
      <c r="H262" s="680">
        <v>12</v>
      </c>
      <c r="I262" s="680">
        <v>2</v>
      </c>
      <c r="J262" s="680">
        <v>3</v>
      </c>
      <c r="K262" s="680">
        <v>0</v>
      </c>
      <c r="L262" s="680">
        <v>0</v>
      </c>
      <c r="M262" s="680">
        <v>0</v>
      </c>
      <c r="N262" s="680">
        <v>0</v>
      </c>
      <c r="O262" s="680">
        <f>+G262+I262+K262+M262</f>
        <v>7</v>
      </c>
      <c r="P262" s="680">
        <f>+H262+J262+L262+N262</f>
        <v>15</v>
      </c>
      <c r="Q262" s="680" t="s">
        <v>501</v>
      </c>
      <c r="R262" s="680" t="s">
        <v>501</v>
      </c>
      <c r="S262" s="680" t="s">
        <v>6</v>
      </c>
      <c r="T262" s="680" t="s">
        <v>484</v>
      </c>
      <c r="U262" s="681">
        <v>235</v>
      </c>
      <c r="V262" s="680">
        <v>241.27</v>
      </c>
      <c r="W262" s="680" t="s">
        <v>500</v>
      </c>
      <c r="X262" s="680" t="s">
        <v>485</v>
      </c>
      <c r="Y262" s="680" t="s">
        <v>484</v>
      </c>
      <c r="Z262" s="680" t="s">
        <v>483</v>
      </c>
      <c r="AA262" s="680">
        <f>+U262*G262</f>
        <v>1175</v>
      </c>
      <c r="AB262" s="680">
        <f>+U262*H262</f>
        <v>2820</v>
      </c>
      <c r="AC262" s="680">
        <f>+U262*I262</f>
        <v>470</v>
      </c>
      <c r="AD262" s="680">
        <f>+U262*J262</f>
        <v>705</v>
      </c>
      <c r="AE262" s="680">
        <f>+U262*K262</f>
        <v>0</v>
      </c>
      <c r="AF262" s="680">
        <f>+U262*L262</f>
        <v>0</v>
      </c>
      <c r="AG262" s="680">
        <f>+U262*M262</f>
        <v>0</v>
      </c>
      <c r="AH262" s="680">
        <f>+U262*N262</f>
        <v>0</v>
      </c>
      <c r="AI262" s="681">
        <f>+U262*O262</f>
        <v>1645</v>
      </c>
      <c r="AJ262" s="681">
        <f>+U262*P262</f>
        <v>3525</v>
      </c>
    </row>
    <row r="263" spans="1:36" hidden="1">
      <c r="A263" s="680">
        <v>2212009020</v>
      </c>
      <c r="B263" s="680" t="s">
        <v>252</v>
      </c>
      <c r="C263" s="680" t="s">
        <v>503</v>
      </c>
      <c r="D263" s="680" t="s">
        <v>502</v>
      </c>
      <c r="E263" s="680" t="s">
        <v>489</v>
      </c>
      <c r="F263" s="680" t="s">
        <v>488</v>
      </c>
      <c r="G263" s="680">
        <v>0</v>
      </c>
      <c r="H263" s="680">
        <v>0</v>
      </c>
      <c r="I263" s="680">
        <v>5</v>
      </c>
      <c r="J263" s="680">
        <v>11</v>
      </c>
      <c r="K263" s="680">
        <v>0</v>
      </c>
      <c r="L263" s="680">
        <v>0</v>
      </c>
      <c r="M263" s="680">
        <v>0</v>
      </c>
      <c r="N263" s="680">
        <v>0</v>
      </c>
      <c r="O263" s="680">
        <f>+G263+I263+K263+M263</f>
        <v>5</v>
      </c>
      <c r="P263" s="680">
        <f>+H263+J263+L263+N263</f>
        <v>11</v>
      </c>
      <c r="Q263" s="680" t="s">
        <v>501</v>
      </c>
      <c r="R263" s="680" t="s">
        <v>501</v>
      </c>
      <c r="S263" s="680" t="s">
        <v>6</v>
      </c>
      <c r="T263" s="680" t="s">
        <v>484</v>
      </c>
      <c r="U263" s="681">
        <v>105</v>
      </c>
      <c r="V263" s="680">
        <v>111.52</v>
      </c>
      <c r="W263" s="680" t="s">
        <v>507</v>
      </c>
      <c r="X263" s="680" t="s">
        <v>485</v>
      </c>
      <c r="Y263" s="680" t="s">
        <v>484</v>
      </c>
      <c r="Z263" s="680" t="s">
        <v>483</v>
      </c>
      <c r="AA263" s="680">
        <f>+U263*G263</f>
        <v>0</v>
      </c>
      <c r="AB263" s="680">
        <f>+U263*H263</f>
        <v>0</v>
      </c>
      <c r="AC263" s="680">
        <f>+U263*I263</f>
        <v>525</v>
      </c>
      <c r="AD263" s="680">
        <f>+U263*J263</f>
        <v>1155</v>
      </c>
      <c r="AE263" s="680">
        <f>+U263*K263</f>
        <v>0</v>
      </c>
      <c r="AF263" s="680">
        <f>+U263*L263</f>
        <v>0</v>
      </c>
      <c r="AG263" s="680">
        <f>+U263*M263</f>
        <v>0</v>
      </c>
      <c r="AH263" s="680">
        <f>+U263*N263</f>
        <v>0</v>
      </c>
      <c r="AI263" s="681">
        <f>+U263*O263</f>
        <v>525</v>
      </c>
      <c r="AJ263" s="681">
        <f>+U263*P263</f>
        <v>1155</v>
      </c>
    </row>
    <row r="264" spans="1:36" hidden="1">
      <c r="A264" s="680">
        <v>2212009021</v>
      </c>
      <c r="B264" s="680" t="s">
        <v>253</v>
      </c>
      <c r="C264" s="680" t="s">
        <v>491</v>
      </c>
      <c r="D264" s="680" t="s">
        <v>490</v>
      </c>
      <c r="E264" s="680" t="s">
        <v>489</v>
      </c>
      <c r="F264" s="680" t="s">
        <v>488</v>
      </c>
      <c r="G264" s="680">
        <v>3617</v>
      </c>
      <c r="H264" s="680">
        <v>9042</v>
      </c>
      <c r="I264" s="680">
        <v>774</v>
      </c>
      <c r="J264" s="680">
        <v>1935</v>
      </c>
      <c r="K264" s="680">
        <v>0</v>
      </c>
      <c r="L264" s="680">
        <v>0</v>
      </c>
      <c r="M264" s="680">
        <v>0</v>
      </c>
      <c r="N264" s="680">
        <v>0</v>
      </c>
      <c r="O264" s="680">
        <f>+G264+I264+K264+M264</f>
        <v>4391</v>
      </c>
      <c r="P264" s="680">
        <f>+H264+J264+L264+N264</f>
        <v>10977</v>
      </c>
      <c r="Q264" s="680" t="s">
        <v>516</v>
      </c>
      <c r="R264" s="680" t="s">
        <v>516</v>
      </c>
      <c r="S264" s="680" t="s">
        <v>6</v>
      </c>
      <c r="T264" s="680" t="s">
        <v>484</v>
      </c>
      <c r="U264" s="681">
        <v>32.5</v>
      </c>
      <c r="V264" s="680">
        <v>34.78</v>
      </c>
      <c r="W264" s="680" t="s">
        <v>500</v>
      </c>
      <c r="X264" s="680" t="s">
        <v>485</v>
      </c>
      <c r="Y264" s="680" t="s">
        <v>484</v>
      </c>
      <c r="Z264" s="680" t="s">
        <v>483</v>
      </c>
      <c r="AA264" s="680">
        <f>+U264*G264</f>
        <v>117552.5</v>
      </c>
      <c r="AB264" s="680">
        <f>+U264*H264</f>
        <v>293865</v>
      </c>
      <c r="AC264" s="680">
        <f>+U264*I264</f>
        <v>25155</v>
      </c>
      <c r="AD264" s="680">
        <f>+U264*J264</f>
        <v>62887.5</v>
      </c>
      <c r="AE264" s="680">
        <f>+U264*K264</f>
        <v>0</v>
      </c>
      <c r="AF264" s="680">
        <f>+U264*L264</f>
        <v>0</v>
      </c>
      <c r="AG264" s="680">
        <f>+U264*M264</f>
        <v>0</v>
      </c>
      <c r="AH264" s="680">
        <f>+U264*N264</f>
        <v>0</v>
      </c>
      <c r="AI264" s="681">
        <f>+U264*O264</f>
        <v>142707.5</v>
      </c>
      <c r="AJ264" s="681">
        <f>+U264*P264</f>
        <v>356752.5</v>
      </c>
    </row>
    <row r="265" spans="1:36" hidden="1">
      <c r="A265" s="680">
        <v>2212009022</v>
      </c>
      <c r="B265" s="680" t="s">
        <v>254</v>
      </c>
      <c r="C265" s="680" t="s">
        <v>491</v>
      </c>
      <c r="D265" s="680" t="s">
        <v>490</v>
      </c>
      <c r="E265" s="680" t="s">
        <v>489</v>
      </c>
      <c r="F265" s="680" t="s">
        <v>488</v>
      </c>
      <c r="G265" s="680">
        <v>77</v>
      </c>
      <c r="H265" s="680">
        <v>192</v>
      </c>
      <c r="I265" s="680">
        <v>45</v>
      </c>
      <c r="J265" s="680">
        <v>112</v>
      </c>
      <c r="K265" s="680">
        <v>0</v>
      </c>
      <c r="L265" s="680">
        <v>0</v>
      </c>
      <c r="M265" s="680">
        <v>0</v>
      </c>
      <c r="N265" s="680">
        <v>0</v>
      </c>
      <c r="O265" s="680">
        <f>+G265+I265+K265+M265</f>
        <v>122</v>
      </c>
      <c r="P265" s="680">
        <f>+H265+J265+L265+N265</f>
        <v>304</v>
      </c>
      <c r="Q265" s="680" t="s">
        <v>516</v>
      </c>
      <c r="R265" s="680" t="s">
        <v>516</v>
      </c>
      <c r="S265" s="680" t="s">
        <v>6</v>
      </c>
      <c r="T265" s="680" t="s">
        <v>484</v>
      </c>
      <c r="U265" s="681">
        <v>38</v>
      </c>
      <c r="V265" s="680">
        <v>41.3</v>
      </c>
      <c r="W265" s="680" t="s">
        <v>500</v>
      </c>
      <c r="X265" s="680" t="s">
        <v>485</v>
      </c>
      <c r="Y265" s="680" t="s">
        <v>484</v>
      </c>
      <c r="Z265" s="680" t="s">
        <v>483</v>
      </c>
      <c r="AA265" s="680">
        <f>+U265*G265</f>
        <v>2926</v>
      </c>
      <c r="AB265" s="680">
        <f>+U265*H265</f>
        <v>7296</v>
      </c>
      <c r="AC265" s="680">
        <f>+U265*I265</f>
        <v>1710</v>
      </c>
      <c r="AD265" s="680">
        <f>+U265*J265</f>
        <v>4256</v>
      </c>
      <c r="AE265" s="680">
        <f>+U265*K265</f>
        <v>0</v>
      </c>
      <c r="AF265" s="680">
        <f>+U265*L265</f>
        <v>0</v>
      </c>
      <c r="AG265" s="680">
        <f>+U265*M265</f>
        <v>0</v>
      </c>
      <c r="AH265" s="680">
        <f>+U265*N265</f>
        <v>0</v>
      </c>
      <c r="AI265" s="681">
        <f>+U265*O265</f>
        <v>4636</v>
      </c>
      <c r="AJ265" s="681">
        <f>+U265*P265</f>
        <v>11552</v>
      </c>
    </row>
    <row r="266" spans="1:36" hidden="1">
      <c r="A266" s="680">
        <v>2212009023</v>
      </c>
      <c r="B266" s="680" t="s">
        <v>255</v>
      </c>
      <c r="C266" s="680" t="s">
        <v>512</v>
      </c>
      <c r="D266" s="680" t="s">
        <v>511</v>
      </c>
      <c r="E266" s="680" t="s">
        <v>489</v>
      </c>
      <c r="F266" s="680" t="s">
        <v>488</v>
      </c>
      <c r="G266" s="680">
        <v>108</v>
      </c>
      <c r="H266" s="680">
        <v>270</v>
      </c>
      <c r="I266" s="680">
        <v>9</v>
      </c>
      <c r="J266" s="680">
        <v>22</v>
      </c>
      <c r="K266" s="680">
        <v>0</v>
      </c>
      <c r="L266" s="680">
        <v>0</v>
      </c>
      <c r="M266" s="680">
        <v>0</v>
      </c>
      <c r="N266" s="680">
        <v>0</v>
      </c>
      <c r="O266" s="680">
        <f>+G266+I266+K266+M266</f>
        <v>117</v>
      </c>
      <c r="P266" s="680">
        <f>+H266+J266+L266+N266</f>
        <v>292</v>
      </c>
      <c r="Q266" s="680" t="s">
        <v>495</v>
      </c>
      <c r="R266" s="680" t="s">
        <v>494</v>
      </c>
      <c r="S266" s="680" t="s">
        <v>6</v>
      </c>
      <c r="T266" s="680" t="s">
        <v>484</v>
      </c>
      <c r="U266" s="681">
        <v>60</v>
      </c>
      <c r="V266" s="680">
        <v>65</v>
      </c>
      <c r="W266" s="680" t="s">
        <v>500</v>
      </c>
      <c r="X266" s="680" t="s">
        <v>485</v>
      </c>
      <c r="Y266" s="680" t="s">
        <v>484</v>
      </c>
      <c r="Z266" s="680" t="s">
        <v>483</v>
      </c>
      <c r="AA266" s="680">
        <f>+U266*G266</f>
        <v>6480</v>
      </c>
      <c r="AB266" s="680">
        <f>+U266*H266</f>
        <v>16200</v>
      </c>
      <c r="AC266" s="680">
        <f>+U266*I266</f>
        <v>540</v>
      </c>
      <c r="AD266" s="680">
        <f>+U266*J266</f>
        <v>1320</v>
      </c>
      <c r="AE266" s="680">
        <f>+U266*K266</f>
        <v>0</v>
      </c>
      <c r="AF266" s="680">
        <f>+U266*L266</f>
        <v>0</v>
      </c>
      <c r="AG266" s="680">
        <f>+U266*M266</f>
        <v>0</v>
      </c>
      <c r="AH266" s="680">
        <f>+U266*N266</f>
        <v>0</v>
      </c>
      <c r="AI266" s="681">
        <f>+U266*O266</f>
        <v>7020</v>
      </c>
      <c r="AJ266" s="681">
        <f>+U266*P266</f>
        <v>17520</v>
      </c>
    </row>
    <row r="267" spans="1:36" hidden="1">
      <c r="A267" s="680">
        <v>2212009024</v>
      </c>
      <c r="B267" s="680" t="s">
        <v>256</v>
      </c>
      <c r="C267" s="680" t="s">
        <v>503</v>
      </c>
      <c r="D267" s="680" t="s">
        <v>502</v>
      </c>
      <c r="E267" s="680" t="s">
        <v>489</v>
      </c>
      <c r="F267" s="680" t="s">
        <v>488</v>
      </c>
      <c r="G267" s="680">
        <v>5</v>
      </c>
      <c r="H267" s="680">
        <v>12</v>
      </c>
      <c r="I267" s="680">
        <v>0</v>
      </c>
      <c r="J267" s="680">
        <v>0</v>
      </c>
      <c r="K267" s="680">
        <v>0</v>
      </c>
      <c r="L267" s="680">
        <v>0</v>
      </c>
      <c r="M267" s="680">
        <v>0</v>
      </c>
      <c r="N267" s="680">
        <v>0</v>
      </c>
      <c r="O267" s="680">
        <f>+G267+I267+K267+M267</f>
        <v>5</v>
      </c>
      <c r="P267" s="680">
        <f>+H267+J267+L267+N267</f>
        <v>12</v>
      </c>
      <c r="Q267" s="680" t="s">
        <v>501</v>
      </c>
      <c r="R267" s="680" t="s">
        <v>501</v>
      </c>
      <c r="S267" s="680" t="s">
        <v>6</v>
      </c>
      <c r="T267" s="680" t="s">
        <v>484</v>
      </c>
      <c r="U267" s="681">
        <v>87.2</v>
      </c>
      <c r="V267" s="680">
        <v>87.74</v>
      </c>
      <c r="W267" s="680" t="s">
        <v>500</v>
      </c>
      <c r="X267" s="680" t="s">
        <v>485</v>
      </c>
      <c r="Y267" s="680" t="s">
        <v>484</v>
      </c>
      <c r="Z267" s="680" t="s">
        <v>483</v>
      </c>
      <c r="AA267" s="680">
        <f>+U267*G267</f>
        <v>436</v>
      </c>
      <c r="AB267" s="680">
        <f>+U267*H267</f>
        <v>1046.4000000000001</v>
      </c>
      <c r="AC267" s="680">
        <f>+U267*I267</f>
        <v>0</v>
      </c>
      <c r="AD267" s="680">
        <f>+U267*J267</f>
        <v>0</v>
      </c>
      <c r="AE267" s="680">
        <f>+U267*K267</f>
        <v>0</v>
      </c>
      <c r="AF267" s="680">
        <f>+U267*L267</f>
        <v>0</v>
      </c>
      <c r="AG267" s="680">
        <f>+U267*M267</f>
        <v>0</v>
      </c>
      <c r="AH267" s="680">
        <f>+U267*N267</f>
        <v>0</v>
      </c>
      <c r="AI267" s="681">
        <f>+U267*O267</f>
        <v>436</v>
      </c>
      <c r="AJ267" s="681">
        <f>+U267*P267</f>
        <v>1046.4000000000001</v>
      </c>
    </row>
    <row r="268" spans="1:36" hidden="1">
      <c r="A268" s="680">
        <v>2212009025</v>
      </c>
      <c r="B268" s="680" t="s">
        <v>257</v>
      </c>
      <c r="C268" s="680" t="s">
        <v>512</v>
      </c>
      <c r="D268" s="680" t="s">
        <v>511</v>
      </c>
      <c r="E268" s="680" t="s">
        <v>489</v>
      </c>
      <c r="F268" s="680" t="s">
        <v>488</v>
      </c>
      <c r="G268" s="680">
        <v>5</v>
      </c>
      <c r="H268" s="680">
        <v>12</v>
      </c>
      <c r="I268" s="680">
        <v>2</v>
      </c>
      <c r="J268" s="680">
        <v>3</v>
      </c>
      <c r="K268" s="680">
        <v>0</v>
      </c>
      <c r="L268" s="680">
        <v>0</v>
      </c>
      <c r="M268" s="680">
        <v>0</v>
      </c>
      <c r="N268" s="680">
        <v>0</v>
      </c>
      <c r="O268" s="680">
        <f>+G268+I268+K268+M268</f>
        <v>7</v>
      </c>
      <c r="P268" s="680">
        <f>+H268+J268+L268+N268</f>
        <v>15</v>
      </c>
      <c r="Q268" s="680" t="s">
        <v>495</v>
      </c>
      <c r="R268" s="680" t="s">
        <v>494</v>
      </c>
      <c r="S268" s="680" t="s">
        <v>6</v>
      </c>
      <c r="T268" s="680" t="s">
        <v>484</v>
      </c>
      <c r="U268" s="681">
        <v>90</v>
      </c>
      <c r="V268" s="680">
        <v>98.4</v>
      </c>
      <c r="W268" s="680" t="s">
        <v>500</v>
      </c>
      <c r="X268" s="680" t="s">
        <v>485</v>
      </c>
      <c r="Y268" s="680" t="s">
        <v>484</v>
      </c>
      <c r="Z268" s="680" t="s">
        <v>483</v>
      </c>
      <c r="AA268" s="680">
        <f>+U268*G268</f>
        <v>450</v>
      </c>
      <c r="AB268" s="680">
        <f>+U268*H268</f>
        <v>1080</v>
      </c>
      <c r="AC268" s="680">
        <f>+U268*I268</f>
        <v>180</v>
      </c>
      <c r="AD268" s="680">
        <f>+U268*J268</f>
        <v>270</v>
      </c>
      <c r="AE268" s="680">
        <f>+U268*K268</f>
        <v>0</v>
      </c>
      <c r="AF268" s="680">
        <f>+U268*L268</f>
        <v>0</v>
      </c>
      <c r="AG268" s="680">
        <f>+U268*M268</f>
        <v>0</v>
      </c>
      <c r="AH268" s="680">
        <f>+U268*N268</f>
        <v>0</v>
      </c>
      <c r="AI268" s="681">
        <f>+U268*O268</f>
        <v>630</v>
      </c>
      <c r="AJ268" s="681">
        <f>+U268*P268</f>
        <v>1350</v>
      </c>
    </row>
    <row r="269" spans="1:36" hidden="1">
      <c r="A269" s="680">
        <v>2212009026</v>
      </c>
      <c r="B269" s="680" t="s">
        <v>258</v>
      </c>
      <c r="C269" s="680" t="s">
        <v>512</v>
      </c>
      <c r="D269" s="680" t="s">
        <v>511</v>
      </c>
      <c r="E269" s="680" t="s">
        <v>489</v>
      </c>
      <c r="F269" s="680" t="s">
        <v>488</v>
      </c>
      <c r="G269" s="680">
        <v>116</v>
      </c>
      <c r="H269" s="680">
        <v>288</v>
      </c>
      <c r="I269" s="680">
        <v>102</v>
      </c>
      <c r="J269" s="680">
        <v>254</v>
      </c>
      <c r="K269" s="680">
        <v>0</v>
      </c>
      <c r="L269" s="680">
        <v>0</v>
      </c>
      <c r="M269" s="680">
        <v>0</v>
      </c>
      <c r="N269" s="680">
        <v>0</v>
      </c>
      <c r="O269" s="680">
        <f>+G269+I269+K269+M269</f>
        <v>218</v>
      </c>
      <c r="P269" s="680">
        <f>+H269+J269+L269+N269</f>
        <v>542</v>
      </c>
      <c r="Q269" s="680" t="s">
        <v>495</v>
      </c>
      <c r="R269" s="680" t="s">
        <v>494</v>
      </c>
      <c r="S269" s="680" t="s">
        <v>6</v>
      </c>
      <c r="T269" s="680" t="s">
        <v>484</v>
      </c>
      <c r="U269" s="681">
        <v>95</v>
      </c>
      <c r="V269" s="680">
        <v>108.67</v>
      </c>
      <c r="W269" s="680" t="s">
        <v>500</v>
      </c>
      <c r="X269" s="680" t="s">
        <v>485</v>
      </c>
      <c r="Y269" s="680" t="s">
        <v>484</v>
      </c>
      <c r="Z269" s="680" t="s">
        <v>483</v>
      </c>
      <c r="AA269" s="680">
        <f>+U269*G269</f>
        <v>11020</v>
      </c>
      <c r="AB269" s="680">
        <f>+U269*H269</f>
        <v>27360</v>
      </c>
      <c r="AC269" s="680">
        <f>+U269*I269</f>
        <v>9690</v>
      </c>
      <c r="AD269" s="680">
        <f>+U269*J269</f>
        <v>24130</v>
      </c>
      <c r="AE269" s="680">
        <f>+U269*K269</f>
        <v>0</v>
      </c>
      <c r="AF269" s="680">
        <f>+U269*L269</f>
        <v>0</v>
      </c>
      <c r="AG269" s="680">
        <f>+U269*M269</f>
        <v>0</v>
      </c>
      <c r="AH269" s="680">
        <f>+U269*N269</f>
        <v>0</v>
      </c>
      <c r="AI269" s="681">
        <f>+U269*O269</f>
        <v>20710</v>
      </c>
      <c r="AJ269" s="681">
        <f>+U269*P269</f>
        <v>51490</v>
      </c>
    </row>
    <row r="270" spans="1:36" hidden="1">
      <c r="A270" s="680">
        <v>2212009028</v>
      </c>
      <c r="B270" s="680" t="s">
        <v>520</v>
      </c>
      <c r="C270" s="680" t="s">
        <v>491</v>
      </c>
      <c r="D270" s="680" t="s">
        <v>490</v>
      </c>
      <c r="E270" s="680" t="s">
        <v>489</v>
      </c>
      <c r="F270" s="680" t="s">
        <v>488</v>
      </c>
      <c r="G270" s="680">
        <v>168</v>
      </c>
      <c r="H270" s="680">
        <v>420</v>
      </c>
      <c r="I270" s="680">
        <v>70</v>
      </c>
      <c r="J270" s="680">
        <v>173</v>
      </c>
      <c r="K270" s="680">
        <v>0</v>
      </c>
      <c r="L270" s="680">
        <v>0</v>
      </c>
      <c r="M270" s="680">
        <v>0</v>
      </c>
      <c r="N270" s="680">
        <v>0</v>
      </c>
      <c r="O270" s="680">
        <f>+G270+I270+K270+M270</f>
        <v>238</v>
      </c>
      <c r="P270" s="680">
        <f>+H270+J270+L270+N270</f>
        <v>593</v>
      </c>
      <c r="Q270" s="680" t="s">
        <v>516</v>
      </c>
      <c r="R270" s="680" t="s">
        <v>516</v>
      </c>
      <c r="S270" s="680" t="s">
        <v>6</v>
      </c>
      <c r="T270" s="680" t="s">
        <v>484</v>
      </c>
      <c r="U270" s="681">
        <v>36</v>
      </c>
      <c r="V270" s="680">
        <v>41.3</v>
      </c>
      <c r="W270" s="680" t="s">
        <v>500</v>
      </c>
      <c r="X270" s="680" t="s">
        <v>485</v>
      </c>
      <c r="Y270" s="680" t="s">
        <v>484</v>
      </c>
      <c r="Z270" s="680" t="s">
        <v>483</v>
      </c>
      <c r="AA270" s="680">
        <f>+U270*G270</f>
        <v>6048</v>
      </c>
      <c r="AB270" s="680">
        <f>+U270*H270</f>
        <v>15120</v>
      </c>
      <c r="AC270" s="680">
        <f>+U270*I270</f>
        <v>2520</v>
      </c>
      <c r="AD270" s="680">
        <f>+U270*J270</f>
        <v>6228</v>
      </c>
      <c r="AE270" s="680">
        <f>+U270*K270</f>
        <v>0</v>
      </c>
      <c r="AF270" s="680">
        <f>+U270*L270</f>
        <v>0</v>
      </c>
      <c r="AG270" s="680">
        <f>+U270*M270</f>
        <v>0</v>
      </c>
      <c r="AH270" s="680">
        <f>+U270*N270</f>
        <v>0</v>
      </c>
      <c r="AI270" s="681">
        <f>+U270*O270</f>
        <v>8568</v>
      </c>
      <c r="AJ270" s="681">
        <f>+U270*P270</f>
        <v>21348</v>
      </c>
    </row>
    <row r="271" spans="1:36">
      <c r="A271" s="680">
        <v>2212009029</v>
      </c>
      <c r="B271" s="680" t="s">
        <v>260</v>
      </c>
      <c r="C271" s="680" t="s">
        <v>519</v>
      </c>
      <c r="D271" s="680" t="s">
        <v>518</v>
      </c>
      <c r="E271" s="680" t="s">
        <v>489</v>
      </c>
      <c r="F271" s="680" t="s">
        <v>488</v>
      </c>
      <c r="G271" s="680">
        <v>5</v>
      </c>
      <c r="H271" s="680">
        <v>12</v>
      </c>
      <c r="I271" s="680">
        <v>360</v>
      </c>
      <c r="J271" s="680">
        <v>900</v>
      </c>
      <c r="K271" s="680">
        <v>0</v>
      </c>
      <c r="L271" s="680">
        <v>0</v>
      </c>
      <c r="M271" s="680">
        <v>0</v>
      </c>
      <c r="N271" s="680">
        <v>0</v>
      </c>
      <c r="O271" s="680">
        <f>+G271+I271+K271+M271</f>
        <v>365</v>
      </c>
      <c r="P271" s="680">
        <f>+H271+J271+L271+N271</f>
        <v>912</v>
      </c>
      <c r="Q271" s="680" t="s">
        <v>516</v>
      </c>
      <c r="R271" s="680" t="s">
        <v>516</v>
      </c>
      <c r="S271" s="680" t="s">
        <v>6</v>
      </c>
      <c r="T271" s="680" t="s">
        <v>484</v>
      </c>
      <c r="U271" s="681">
        <v>44</v>
      </c>
      <c r="V271" s="680">
        <v>47.67</v>
      </c>
      <c r="W271" s="680" t="s">
        <v>500</v>
      </c>
      <c r="X271" s="680" t="s">
        <v>485</v>
      </c>
      <c r="Y271" s="680" t="s">
        <v>484</v>
      </c>
      <c r="Z271" s="680" t="s">
        <v>483</v>
      </c>
      <c r="AA271" s="680">
        <f>+U271*G271</f>
        <v>220</v>
      </c>
      <c r="AB271" s="680">
        <f>+U271*H271</f>
        <v>528</v>
      </c>
      <c r="AC271" s="680">
        <f>+U271*I271</f>
        <v>15840</v>
      </c>
      <c r="AD271" s="680">
        <f>+U271*J271</f>
        <v>39600</v>
      </c>
      <c r="AE271" s="680">
        <f>+U271*K271</f>
        <v>0</v>
      </c>
      <c r="AF271" s="680">
        <f>+U271*L271</f>
        <v>0</v>
      </c>
      <c r="AG271" s="680">
        <f>+U271*M271</f>
        <v>0</v>
      </c>
      <c r="AH271" s="680">
        <f>+U271*N271</f>
        <v>0</v>
      </c>
      <c r="AI271" s="681">
        <f>+U271*O271</f>
        <v>16060</v>
      </c>
      <c r="AJ271" s="681">
        <f>+U271*P271</f>
        <v>40128</v>
      </c>
    </row>
    <row r="272" spans="1:36" hidden="1">
      <c r="A272" s="680">
        <v>2212009030</v>
      </c>
      <c r="B272" s="680" t="s">
        <v>261</v>
      </c>
      <c r="C272" s="680" t="s">
        <v>491</v>
      </c>
      <c r="D272" s="680" t="s">
        <v>490</v>
      </c>
      <c r="E272" s="680" t="s">
        <v>489</v>
      </c>
      <c r="F272" s="680" t="s">
        <v>488</v>
      </c>
      <c r="G272" s="680">
        <v>3</v>
      </c>
      <c r="H272" s="680">
        <v>6</v>
      </c>
      <c r="I272" s="680">
        <v>2</v>
      </c>
      <c r="J272" s="680">
        <v>3</v>
      </c>
      <c r="K272" s="680">
        <v>0</v>
      </c>
      <c r="L272" s="680">
        <v>0</v>
      </c>
      <c r="M272" s="680">
        <v>0</v>
      </c>
      <c r="N272" s="680">
        <v>0</v>
      </c>
      <c r="O272" s="680">
        <f>+G272+I272+K272+M272</f>
        <v>5</v>
      </c>
      <c r="P272" s="680">
        <f>+H272+J272+L272+N272</f>
        <v>9</v>
      </c>
      <c r="Q272" s="680" t="s">
        <v>517</v>
      </c>
      <c r="R272" s="680" t="s">
        <v>517</v>
      </c>
      <c r="S272" s="680" t="s">
        <v>6</v>
      </c>
      <c r="T272" s="680" t="s">
        <v>484</v>
      </c>
      <c r="U272" s="681">
        <v>100</v>
      </c>
      <c r="V272" s="680">
        <v>98.7</v>
      </c>
      <c r="W272" s="680" t="s">
        <v>500</v>
      </c>
      <c r="X272" s="680" t="s">
        <v>485</v>
      </c>
      <c r="Y272" s="680" t="s">
        <v>484</v>
      </c>
      <c r="Z272" s="680" t="s">
        <v>483</v>
      </c>
      <c r="AA272" s="680">
        <f>+U272*G272</f>
        <v>300</v>
      </c>
      <c r="AB272" s="680">
        <f>+U272*H272</f>
        <v>600</v>
      </c>
      <c r="AC272" s="680">
        <f>+U272*I272</f>
        <v>200</v>
      </c>
      <c r="AD272" s="680">
        <f>+U272*J272</f>
        <v>300</v>
      </c>
      <c r="AE272" s="680">
        <f>+U272*K272</f>
        <v>0</v>
      </c>
      <c r="AF272" s="680">
        <f>+U272*L272</f>
        <v>0</v>
      </c>
      <c r="AG272" s="680">
        <f>+U272*M272</f>
        <v>0</v>
      </c>
      <c r="AH272" s="680">
        <f>+U272*N272</f>
        <v>0</v>
      </c>
      <c r="AI272" s="681">
        <f>+U272*O272</f>
        <v>500</v>
      </c>
      <c r="AJ272" s="681">
        <f>+U272*P272</f>
        <v>900</v>
      </c>
    </row>
    <row r="273" spans="1:36" hidden="1">
      <c r="A273" s="680">
        <v>2212009031</v>
      </c>
      <c r="B273" s="680" t="s">
        <v>262</v>
      </c>
      <c r="C273" s="680" t="s">
        <v>491</v>
      </c>
      <c r="D273" s="680" t="s">
        <v>490</v>
      </c>
      <c r="E273" s="680" t="s">
        <v>489</v>
      </c>
      <c r="F273" s="680" t="s">
        <v>488</v>
      </c>
      <c r="G273" s="680">
        <v>46</v>
      </c>
      <c r="H273" s="680">
        <v>114</v>
      </c>
      <c r="I273" s="680">
        <v>11</v>
      </c>
      <c r="J273" s="680">
        <v>27</v>
      </c>
      <c r="K273" s="680">
        <v>0</v>
      </c>
      <c r="L273" s="680">
        <v>0</v>
      </c>
      <c r="M273" s="680">
        <v>6</v>
      </c>
      <c r="N273" s="680">
        <v>15</v>
      </c>
      <c r="O273" s="680">
        <f>+G273+I273+K273+M273</f>
        <v>63</v>
      </c>
      <c r="P273" s="680">
        <f>+H273+J273+L273+N273</f>
        <v>156</v>
      </c>
      <c r="Q273" s="680" t="s">
        <v>517</v>
      </c>
      <c r="R273" s="680" t="s">
        <v>517</v>
      </c>
      <c r="S273" s="680" t="s">
        <v>6</v>
      </c>
      <c r="T273" s="680" t="s">
        <v>484</v>
      </c>
      <c r="U273" s="681">
        <v>335</v>
      </c>
      <c r="V273" s="680">
        <v>349.87</v>
      </c>
      <c r="W273" s="680" t="s">
        <v>500</v>
      </c>
      <c r="X273" s="680" t="s">
        <v>485</v>
      </c>
      <c r="Y273" s="680" t="s">
        <v>484</v>
      </c>
      <c r="Z273" s="680" t="s">
        <v>483</v>
      </c>
      <c r="AA273" s="680">
        <f>+U273*G273</f>
        <v>15410</v>
      </c>
      <c r="AB273" s="680">
        <f>+U273*H273</f>
        <v>38190</v>
      </c>
      <c r="AC273" s="680">
        <f>+U273*I273</f>
        <v>3685</v>
      </c>
      <c r="AD273" s="680">
        <f>+U273*J273</f>
        <v>9045</v>
      </c>
      <c r="AE273" s="680">
        <f>+U273*K273</f>
        <v>0</v>
      </c>
      <c r="AF273" s="680">
        <f>+U273*L273</f>
        <v>0</v>
      </c>
      <c r="AG273" s="680">
        <f>+U273*M273</f>
        <v>2010</v>
      </c>
      <c r="AH273" s="680">
        <f>+U273*N273</f>
        <v>5025</v>
      </c>
      <c r="AI273" s="681">
        <f>+U273*O273</f>
        <v>21105</v>
      </c>
      <c r="AJ273" s="681">
        <f>+U273*P273</f>
        <v>52260</v>
      </c>
    </row>
    <row r="274" spans="1:36" hidden="1">
      <c r="A274" s="680">
        <v>2212009032</v>
      </c>
      <c r="B274" s="680" t="s">
        <v>263</v>
      </c>
      <c r="C274" s="680" t="s">
        <v>491</v>
      </c>
      <c r="D274" s="680" t="s">
        <v>490</v>
      </c>
      <c r="E274" s="680" t="s">
        <v>489</v>
      </c>
      <c r="F274" s="680" t="s">
        <v>488</v>
      </c>
      <c r="G274" s="680">
        <v>24</v>
      </c>
      <c r="H274" s="680">
        <v>60</v>
      </c>
      <c r="I274" s="680">
        <v>2</v>
      </c>
      <c r="J274" s="680">
        <v>5</v>
      </c>
      <c r="K274" s="680">
        <v>0</v>
      </c>
      <c r="L274" s="680">
        <v>0</v>
      </c>
      <c r="M274" s="680">
        <v>0</v>
      </c>
      <c r="N274" s="680">
        <v>0</v>
      </c>
      <c r="O274" s="680">
        <f>+G274+I274+K274+M274</f>
        <v>26</v>
      </c>
      <c r="P274" s="680">
        <f>+H274+J274+L274+N274</f>
        <v>65</v>
      </c>
      <c r="Q274" s="680" t="s">
        <v>517</v>
      </c>
      <c r="R274" s="680" t="s">
        <v>517</v>
      </c>
      <c r="S274" s="680" t="s">
        <v>6</v>
      </c>
      <c r="T274" s="680" t="s">
        <v>484</v>
      </c>
      <c r="U274" s="681">
        <v>65</v>
      </c>
      <c r="V274" s="680">
        <v>65.2</v>
      </c>
      <c r="W274" s="680" t="s">
        <v>500</v>
      </c>
      <c r="X274" s="680" t="s">
        <v>485</v>
      </c>
      <c r="Y274" s="680" t="s">
        <v>484</v>
      </c>
      <c r="Z274" s="680" t="s">
        <v>483</v>
      </c>
      <c r="AA274" s="680">
        <f>+U274*G274</f>
        <v>1560</v>
      </c>
      <c r="AB274" s="680">
        <f>+U274*H274</f>
        <v>3900</v>
      </c>
      <c r="AC274" s="680">
        <f>+U274*I274</f>
        <v>130</v>
      </c>
      <c r="AD274" s="680">
        <f>+U274*J274</f>
        <v>325</v>
      </c>
      <c r="AE274" s="680">
        <f>+U274*K274</f>
        <v>0</v>
      </c>
      <c r="AF274" s="680">
        <f>+U274*L274</f>
        <v>0</v>
      </c>
      <c r="AG274" s="680">
        <f>+U274*M274</f>
        <v>0</v>
      </c>
      <c r="AH274" s="680">
        <f>+U274*N274</f>
        <v>0</v>
      </c>
      <c r="AI274" s="681">
        <f>+U274*O274</f>
        <v>1690</v>
      </c>
      <c r="AJ274" s="681">
        <f>+U274*P274</f>
        <v>4225</v>
      </c>
    </row>
    <row r="275" spans="1:36" hidden="1">
      <c r="A275" s="680">
        <v>2212009033</v>
      </c>
      <c r="B275" s="680" t="s">
        <v>264</v>
      </c>
      <c r="C275" s="680" t="s">
        <v>491</v>
      </c>
      <c r="D275" s="680" t="s">
        <v>490</v>
      </c>
      <c r="E275" s="680" t="s">
        <v>489</v>
      </c>
      <c r="F275" s="680" t="s">
        <v>488</v>
      </c>
      <c r="G275" s="680">
        <v>216</v>
      </c>
      <c r="H275" s="680">
        <v>540</v>
      </c>
      <c r="I275" s="680">
        <v>0</v>
      </c>
      <c r="J275" s="680">
        <v>0</v>
      </c>
      <c r="K275" s="680">
        <v>0</v>
      </c>
      <c r="L275" s="680">
        <v>0</v>
      </c>
      <c r="M275" s="680">
        <v>0</v>
      </c>
      <c r="N275" s="680">
        <v>0</v>
      </c>
      <c r="O275" s="680">
        <f>+G275+I275+K275+M275</f>
        <v>216</v>
      </c>
      <c r="P275" s="680">
        <f>+H275+J275+L275+N275</f>
        <v>540</v>
      </c>
      <c r="Q275" s="680" t="s">
        <v>516</v>
      </c>
      <c r="R275" s="680" t="s">
        <v>516</v>
      </c>
      <c r="S275" s="680" t="s">
        <v>6</v>
      </c>
      <c r="T275" s="680" t="s">
        <v>484</v>
      </c>
      <c r="U275" s="681">
        <v>42.5</v>
      </c>
      <c r="V275" s="680">
        <v>47.82</v>
      </c>
      <c r="W275" s="680" t="s">
        <v>500</v>
      </c>
      <c r="X275" s="680" t="s">
        <v>485</v>
      </c>
      <c r="Y275" s="680" t="s">
        <v>484</v>
      </c>
      <c r="Z275" s="680" t="s">
        <v>483</v>
      </c>
      <c r="AA275" s="680">
        <f>+U275*G275</f>
        <v>9180</v>
      </c>
      <c r="AB275" s="680">
        <f>+U275*H275</f>
        <v>22950</v>
      </c>
      <c r="AC275" s="680">
        <f>+U275*I275</f>
        <v>0</v>
      </c>
      <c r="AD275" s="680">
        <f>+U275*J275</f>
        <v>0</v>
      </c>
      <c r="AE275" s="680">
        <f>+U275*K275</f>
        <v>0</v>
      </c>
      <c r="AF275" s="680">
        <f>+U275*L275</f>
        <v>0</v>
      </c>
      <c r="AG275" s="680">
        <f>+U275*M275</f>
        <v>0</v>
      </c>
      <c r="AH275" s="680">
        <f>+U275*N275</f>
        <v>0</v>
      </c>
      <c r="AI275" s="681">
        <f>+U275*O275</f>
        <v>9180</v>
      </c>
      <c r="AJ275" s="681">
        <f>+U275*P275</f>
        <v>22950</v>
      </c>
    </row>
    <row r="276" spans="1:36" hidden="1">
      <c r="A276" s="680">
        <v>2212009034</v>
      </c>
      <c r="B276" s="680" t="s">
        <v>265</v>
      </c>
      <c r="C276" s="680" t="s">
        <v>503</v>
      </c>
      <c r="D276" s="680" t="s">
        <v>502</v>
      </c>
      <c r="E276" s="680" t="s">
        <v>489</v>
      </c>
      <c r="F276" s="680" t="s">
        <v>488</v>
      </c>
      <c r="G276" s="680">
        <v>142</v>
      </c>
      <c r="H276" s="680">
        <v>354</v>
      </c>
      <c r="I276" s="680">
        <v>108</v>
      </c>
      <c r="J276" s="680">
        <v>270</v>
      </c>
      <c r="K276" s="680">
        <v>0</v>
      </c>
      <c r="L276" s="680">
        <v>0</v>
      </c>
      <c r="M276" s="680">
        <v>0</v>
      </c>
      <c r="N276" s="680">
        <v>0</v>
      </c>
      <c r="O276" s="680">
        <f>+G276+I276+K276+M276</f>
        <v>250</v>
      </c>
      <c r="P276" s="680">
        <f>+H276+J276+L276+N276</f>
        <v>624</v>
      </c>
      <c r="Q276" s="680" t="s">
        <v>501</v>
      </c>
      <c r="R276" s="680" t="s">
        <v>501</v>
      </c>
      <c r="S276" s="680" t="s">
        <v>6</v>
      </c>
      <c r="T276" s="680" t="s">
        <v>484</v>
      </c>
      <c r="U276" s="681">
        <v>73</v>
      </c>
      <c r="V276" s="680">
        <v>75.84</v>
      </c>
      <c r="W276" s="680" t="s">
        <v>500</v>
      </c>
      <c r="X276" s="680" t="s">
        <v>485</v>
      </c>
      <c r="Y276" s="680" t="s">
        <v>484</v>
      </c>
      <c r="Z276" s="680" t="s">
        <v>483</v>
      </c>
      <c r="AA276" s="680">
        <f>+U276*G276</f>
        <v>10366</v>
      </c>
      <c r="AB276" s="680">
        <f>+U276*H276</f>
        <v>25842</v>
      </c>
      <c r="AC276" s="680">
        <f>+U276*I276</f>
        <v>7884</v>
      </c>
      <c r="AD276" s="680">
        <f>+U276*J276</f>
        <v>19710</v>
      </c>
      <c r="AE276" s="680">
        <f>+U276*K276</f>
        <v>0</v>
      </c>
      <c r="AF276" s="680">
        <f>+U276*L276</f>
        <v>0</v>
      </c>
      <c r="AG276" s="680">
        <f>+U276*M276</f>
        <v>0</v>
      </c>
      <c r="AH276" s="680">
        <f>+U276*N276</f>
        <v>0</v>
      </c>
      <c r="AI276" s="681">
        <f>+U276*O276</f>
        <v>18250</v>
      </c>
      <c r="AJ276" s="681">
        <f>+U276*P276</f>
        <v>45552</v>
      </c>
    </row>
    <row r="277" spans="1:36" hidden="1">
      <c r="A277" s="680">
        <v>2212009035</v>
      </c>
      <c r="B277" s="680" t="s">
        <v>515</v>
      </c>
      <c r="C277" s="680" t="s">
        <v>491</v>
      </c>
      <c r="D277" s="680" t="s">
        <v>490</v>
      </c>
      <c r="E277" s="680" t="s">
        <v>489</v>
      </c>
      <c r="F277" s="680" t="s">
        <v>488</v>
      </c>
      <c r="G277" s="680">
        <v>3</v>
      </c>
      <c r="H277" s="680">
        <v>6</v>
      </c>
      <c r="I277" s="680">
        <v>0</v>
      </c>
      <c r="J277" s="680">
        <v>0</v>
      </c>
      <c r="K277" s="680">
        <v>0</v>
      </c>
      <c r="L277" s="680">
        <v>0</v>
      </c>
      <c r="M277" s="680">
        <v>0</v>
      </c>
      <c r="N277" s="680">
        <v>0</v>
      </c>
      <c r="O277" s="680">
        <f>+G277+I277+K277+M277</f>
        <v>3</v>
      </c>
      <c r="P277" s="680">
        <f>+H277+J277+L277+N277</f>
        <v>6</v>
      </c>
      <c r="Q277" s="680" t="s">
        <v>514</v>
      </c>
      <c r="R277" s="680" t="s">
        <v>514</v>
      </c>
      <c r="S277" s="680" t="s">
        <v>384</v>
      </c>
      <c r="T277" s="680" t="s">
        <v>484</v>
      </c>
      <c r="U277" s="681">
        <v>75</v>
      </c>
      <c r="V277" s="680">
        <v>120.64</v>
      </c>
      <c r="W277" s="680" t="s">
        <v>513</v>
      </c>
      <c r="X277" s="680" t="s">
        <v>485</v>
      </c>
      <c r="Y277" s="680" t="s">
        <v>484</v>
      </c>
      <c r="Z277" s="680" t="s">
        <v>483</v>
      </c>
      <c r="AA277" s="680">
        <f>+U277*G277</f>
        <v>225</v>
      </c>
      <c r="AB277" s="680">
        <f>+U277*H277</f>
        <v>450</v>
      </c>
      <c r="AC277" s="680">
        <f>+U277*I277</f>
        <v>0</v>
      </c>
      <c r="AD277" s="680">
        <f>+U277*J277</f>
        <v>0</v>
      </c>
      <c r="AE277" s="680">
        <f>+U277*K277</f>
        <v>0</v>
      </c>
      <c r="AF277" s="680">
        <f>+U277*L277</f>
        <v>0</v>
      </c>
      <c r="AG277" s="680">
        <f>+U277*M277</f>
        <v>0</v>
      </c>
      <c r="AH277" s="680">
        <f>+U277*N277</f>
        <v>0</v>
      </c>
      <c r="AI277" s="681">
        <f>+U277*O277</f>
        <v>225</v>
      </c>
      <c r="AJ277" s="681">
        <f>+U277*P277</f>
        <v>450</v>
      </c>
    </row>
    <row r="278" spans="1:36" hidden="1">
      <c r="A278" s="680">
        <v>2212009036</v>
      </c>
      <c r="B278" s="680" t="s">
        <v>268</v>
      </c>
      <c r="C278" s="680" t="s">
        <v>512</v>
      </c>
      <c r="D278" s="680" t="s">
        <v>511</v>
      </c>
      <c r="E278" s="680" t="s">
        <v>489</v>
      </c>
      <c r="F278" s="680" t="s">
        <v>488</v>
      </c>
      <c r="G278" s="680">
        <v>39</v>
      </c>
      <c r="H278" s="680">
        <v>96</v>
      </c>
      <c r="I278" s="680">
        <v>11</v>
      </c>
      <c r="J278" s="680">
        <v>27</v>
      </c>
      <c r="K278" s="680">
        <v>0</v>
      </c>
      <c r="L278" s="680">
        <v>0</v>
      </c>
      <c r="M278" s="680">
        <v>6</v>
      </c>
      <c r="N278" s="680">
        <v>15</v>
      </c>
      <c r="O278" s="680">
        <f>+G278+I278+K278+M278</f>
        <v>56</v>
      </c>
      <c r="P278" s="680">
        <f>+H278+J278+L278+N278</f>
        <v>138</v>
      </c>
      <c r="Q278" s="680" t="s">
        <v>495</v>
      </c>
      <c r="R278" s="680" t="s">
        <v>494</v>
      </c>
      <c r="S278" s="680" t="s">
        <v>6</v>
      </c>
      <c r="T278" s="680" t="s">
        <v>484</v>
      </c>
      <c r="U278" s="681">
        <v>210</v>
      </c>
      <c r="V278" s="680">
        <v>216.48</v>
      </c>
      <c r="W278" s="680" t="s">
        <v>500</v>
      </c>
      <c r="X278" s="680" t="s">
        <v>485</v>
      </c>
      <c r="Y278" s="680" t="s">
        <v>484</v>
      </c>
      <c r="Z278" s="680" t="s">
        <v>483</v>
      </c>
      <c r="AA278" s="680">
        <f>+U278*G278</f>
        <v>8190</v>
      </c>
      <c r="AB278" s="680">
        <f>+U278*H278</f>
        <v>20160</v>
      </c>
      <c r="AC278" s="680">
        <f>+U278*I278</f>
        <v>2310</v>
      </c>
      <c r="AD278" s="680">
        <f>+U278*J278</f>
        <v>5670</v>
      </c>
      <c r="AE278" s="680">
        <f>+U278*K278</f>
        <v>0</v>
      </c>
      <c r="AF278" s="680">
        <f>+U278*L278</f>
        <v>0</v>
      </c>
      <c r="AG278" s="680">
        <f>+U278*M278</f>
        <v>1260</v>
      </c>
      <c r="AH278" s="680">
        <f>+U278*N278</f>
        <v>3150</v>
      </c>
      <c r="AI278" s="681">
        <f>+U278*O278</f>
        <v>11760</v>
      </c>
      <c r="AJ278" s="681">
        <f>+U278*P278</f>
        <v>28980</v>
      </c>
    </row>
    <row r="279" spans="1:36" hidden="1">
      <c r="A279" s="680">
        <v>2212009038</v>
      </c>
      <c r="B279" s="680" t="s">
        <v>270</v>
      </c>
      <c r="C279" s="680" t="s">
        <v>510</v>
      </c>
      <c r="D279" s="680" t="s">
        <v>509</v>
      </c>
      <c r="E279" s="680" t="s">
        <v>489</v>
      </c>
      <c r="F279" s="680" t="s">
        <v>488</v>
      </c>
      <c r="G279" s="680">
        <v>3</v>
      </c>
      <c r="H279" s="680">
        <v>6</v>
      </c>
      <c r="I279" s="680">
        <v>0</v>
      </c>
      <c r="J279" s="680">
        <v>0</v>
      </c>
      <c r="K279" s="680">
        <v>0</v>
      </c>
      <c r="L279" s="680">
        <v>0</v>
      </c>
      <c r="M279" s="680">
        <v>0</v>
      </c>
      <c r="N279" s="680">
        <v>0</v>
      </c>
      <c r="O279" s="680">
        <f>+G279+I279+K279+M279</f>
        <v>3</v>
      </c>
      <c r="P279" s="680">
        <f>+H279+J279+L279+N279</f>
        <v>6</v>
      </c>
      <c r="Q279" s="680" t="s">
        <v>501</v>
      </c>
      <c r="R279" s="680" t="s">
        <v>501</v>
      </c>
      <c r="S279" s="680" t="s">
        <v>6</v>
      </c>
      <c r="T279" s="680" t="s">
        <v>508</v>
      </c>
      <c r="U279" s="681">
        <v>77</v>
      </c>
      <c r="V279" s="680">
        <v>83.68</v>
      </c>
      <c r="W279" s="680" t="s">
        <v>507</v>
      </c>
      <c r="X279" s="680" t="s">
        <v>485</v>
      </c>
      <c r="Y279" s="680" t="s">
        <v>484</v>
      </c>
      <c r="Z279" s="680" t="s">
        <v>483</v>
      </c>
      <c r="AA279" s="680">
        <f>+U279*G279</f>
        <v>231</v>
      </c>
      <c r="AB279" s="680">
        <f>+U279*H279</f>
        <v>462</v>
      </c>
      <c r="AC279" s="680">
        <f>+U279*I279</f>
        <v>0</v>
      </c>
      <c r="AD279" s="680">
        <f>+U279*J279</f>
        <v>0</v>
      </c>
      <c r="AE279" s="680">
        <f>+U279*K279</f>
        <v>0</v>
      </c>
      <c r="AF279" s="680">
        <f>+U279*L279</f>
        <v>0</v>
      </c>
      <c r="AG279" s="680">
        <f>+U279*M279</f>
        <v>0</v>
      </c>
      <c r="AH279" s="680">
        <f>+U279*N279</f>
        <v>0</v>
      </c>
      <c r="AI279" s="681">
        <f>+U279*O279</f>
        <v>231</v>
      </c>
      <c r="AJ279" s="681">
        <f>+U279*P279</f>
        <v>462</v>
      </c>
    </row>
    <row r="280" spans="1:36" hidden="1">
      <c r="A280" s="680">
        <v>2212009041</v>
      </c>
      <c r="B280" s="680" t="s">
        <v>506</v>
      </c>
      <c r="C280" s="680" t="s">
        <v>503</v>
      </c>
      <c r="D280" s="680" t="s">
        <v>502</v>
      </c>
      <c r="E280" s="680" t="s">
        <v>489</v>
      </c>
      <c r="F280" s="680" t="s">
        <v>488</v>
      </c>
      <c r="G280" s="680">
        <v>5</v>
      </c>
      <c r="H280" s="680">
        <v>12</v>
      </c>
      <c r="I280" s="680">
        <v>0</v>
      </c>
      <c r="J280" s="680">
        <v>0</v>
      </c>
      <c r="K280" s="680">
        <v>0</v>
      </c>
      <c r="L280" s="680">
        <v>0</v>
      </c>
      <c r="M280" s="680">
        <v>0</v>
      </c>
      <c r="N280" s="680">
        <v>0</v>
      </c>
      <c r="O280" s="680">
        <f>+G280+I280+K280+M280</f>
        <v>5</v>
      </c>
      <c r="P280" s="680">
        <f>+H280+J280+L280+N280</f>
        <v>12</v>
      </c>
      <c r="Q280" s="680" t="s">
        <v>501</v>
      </c>
      <c r="R280" s="680" t="s">
        <v>501</v>
      </c>
      <c r="S280" s="680" t="s">
        <v>86</v>
      </c>
      <c r="T280" s="680" t="s">
        <v>484</v>
      </c>
      <c r="U280" s="681">
        <v>32</v>
      </c>
      <c r="V280" s="680">
        <v>31.52</v>
      </c>
      <c r="W280" s="680" t="s">
        <v>500</v>
      </c>
      <c r="X280" s="680" t="s">
        <v>485</v>
      </c>
      <c r="Y280" s="680" t="s">
        <v>484</v>
      </c>
      <c r="Z280" s="680" t="s">
        <v>483</v>
      </c>
      <c r="AA280" s="680">
        <f>+U280*G280</f>
        <v>160</v>
      </c>
      <c r="AB280" s="680">
        <f>+U280*H280</f>
        <v>384</v>
      </c>
      <c r="AC280" s="680">
        <f>+U280*I280</f>
        <v>0</v>
      </c>
      <c r="AD280" s="680">
        <f>+U280*J280</f>
        <v>0</v>
      </c>
      <c r="AE280" s="680">
        <f>+U280*K280</f>
        <v>0</v>
      </c>
      <c r="AF280" s="680">
        <f>+U280*L280</f>
        <v>0</v>
      </c>
      <c r="AG280" s="680">
        <f>+U280*M280</f>
        <v>0</v>
      </c>
      <c r="AH280" s="680">
        <f>+U280*N280</f>
        <v>0</v>
      </c>
      <c r="AI280" s="681">
        <f>+U280*O280</f>
        <v>160</v>
      </c>
      <c r="AJ280" s="681">
        <f>+U280*P280</f>
        <v>384</v>
      </c>
    </row>
    <row r="281" spans="1:36" hidden="1">
      <c r="A281" s="680">
        <v>2212010003</v>
      </c>
      <c r="B281" s="680" t="s">
        <v>39</v>
      </c>
      <c r="C281" s="680" t="s">
        <v>491</v>
      </c>
      <c r="D281" s="680" t="s">
        <v>490</v>
      </c>
      <c r="E281" s="680" t="s">
        <v>489</v>
      </c>
      <c r="F281" s="680" t="s">
        <v>488</v>
      </c>
      <c r="G281" s="680">
        <v>5</v>
      </c>
      <c r="H281" s="680">
        <v>12</v>
      </c>
      <c r="I281" s="680">
        <v>0</v>
      </c>
      <c r="J281" s="680">
        <v>0</v>
      </c>
      <c r="K281" s="680">
        <v>0</v>
      </c>
      <c r="L281" s="680">
        <v>0</v>
      </c>
      <c r="M281" s="680">
        <v>0</v>
      </c>
      <c r="N281" s="680">
        <v>0</v>
      </c>
      <c r="O281" s="680">
        <f>+G281+I281+K281+M281</f>
        <v>5</v>
      </c>
      <c r="P281" s="680">
        <f>+H281+J281+L281+N281</f>
        <v>12</v>
      </c>
      <c r="Q281" s="680" t="s">
        <v>498</v>
      </c>
      <c r="R281" s="680" t="s">
        <v>494</v>
      </c>
      <c r="S281" s="680" t="s">
        <v>6</v>
      </c>
      <c r="T281" s="680" t="s">
        <v>484</v>
      </c>
      <c r="U281" s="681">
        <v>30</v>
      </c>
      <c r="V281" s="680">
        <v>32.5</v>
      </c>
      <c r="W281" s="680" t="s">
        <v>497</v>
      </c>
      <c r="X281" s="680" t="s">
        <v>485</v>
      </c>
      <c r="Y281" s="680" t="s">
        <v>484</v>
      </c>
      <c r="Z281" s="680" t="s">
        <v>483</v>
      </c>
      <c r="AA281" s="680">
        <f>+U281*G281</f>
        <v>150</v>
      </c>
      <c r="AB281" s="680">
        <f>+U281*H281</f>
        <v>360</v>
      </c>
      <c r="AC281" s="680">
        <f>+U281*I281</f>
        <v>0</v>
      </c>
      <c r="AD281" s="680">
        <f>+U281*J281</f>
        <v>0</v>
      </c>
      <c r="AE281" s="680">
        <f>+U281*K281</f>
        <v>0</v>
      </c>
      <c r="AF281" s="680">
        <f>+U281*L281</f>
        <v>0</v>
      </c>
      <c r="AG281" s="680">
        <f>+U281*M281</f>
        <v>0</v>
      </c>
      <c r="AH281" s="680">
        <f>+U281*N281</f>
        <v>0</v>
      </c>
      <c r="AI281" s="681">
        <f>+U281*O281</f>
        <v>150</v>
      </c>
      <c r="AJ281" s="681">
        <f>+U281*P281</f>
        <v>360</v>
      </c>
    </row>
    <row r="282" spans="1:36" hidden="1">
      <c r="A282" s="680">
        <v>2212010004</v>
      </c>
      <c r="B282" s="680" t="s">
        <v>40</v>
      </c>
      <c r="C282" s="680" t="s">
        <v>491</v>
      </c>
      <c r="D282" s="680" t="s">
        <v>490</v>
      </c>
      <c r="E282" s="680" t="s">
        <v>489</v>
      </c>
      <c r="F282" s="680" t="s">
        <v>488</v>
      </c>
      <c r="G282" s="680">
        <v>161</v>
      </c>
      <c r="H282" s="680">
        <v>402</v>
      </c>
      <c r="I282" s="680">
        <v>39</v>
      </c>
      <c r="J282" s="680">
        <v>97</v>
      </c>
      <c r="K282" s="680">
        <v>0</v>
      </c>
      <c r="L282" s="680">
        <v>0</v>
      </c>
      <c r="M282" s="680">
        <v>0</v>
      </c>
      <c r="N282" s="680">
        <v>0</v>
      </c>
      <c r="O282" s="680">
        <f>+G282+I282+K282+M282</f>
        <v>200</v>
      </c>
      <c r="P282" s="680">
        <f>+H282+J282+L282+N282</f>
        <v>499</v>
      </c>
      <c r="Q282" s="680" t="s">
        <v>498</v>
      </c>
      <c r="R282" s="680" t="s">
        <v>494</v>
      </c>
      <c r="S282" s="680" t="s">
        <v>6</v>
      </c>
      <c r="T282" s="680" t="s">
        <v>484</v>
      </c>
      <c r="U282" s="681">
        <v>90</v>
      </c>
      <c r="V282" s="680">
        <v>98.7</v>
      </c>
      <c r="W282" s="680" t="s">
        <v>497</v>
      </c>
      <c r="X282" s="680" t="s">
        <v>485</v>
      </c>
      <c r="Y282" s="680" t="s">
        <v>484</v>
      </c>
      <c r="Z282" s="680" t="s">
        <v>483</v>
      </c>
      <c r="AA282" s="680">
        <f>+U282*G282</f>
        <v>14490</v>
      </c>
      <c r="AB282" s="680">
        <f>+U282*H282</f>
        <v>36180</v>
      </c>
      <c r="AC282" s="680">
        <f>+U282*I282</f>
        <v>3510</v>
      </c>
      <c r="AD282" s="680">
        <f>+U282*J282</f>
        <v>8730</v>
      </c>
      <c r="AE282" s="680">
        <f>+U282*K282</f>
        <v>0</v>
      </c>
      <c r="AF282" s="680">
        <f>+U282*L282</f>
        <v>0</v>
      </c>
      <c r="AG282" s="680">
        <f>+U282*M282</f>
        <v>0</v>
      </c>
      <c r="AH282" s="680">
        <f>+U282*N282</f>
        <v>0</v>
      </c>
      <c r="AI282" s="681">
        <f>+U282*O282</f>
        <v>18000</v>
      </c>
      <c r="AJ282" s="681">
        <f>+U282*P282</f>
        <v>44910</v>
      </c>
    </row>
    <row r="283" spans="1:36" hidden="1">
      <c r="A283" s="680">
        <v>2212010005</v>
      </c>
      <c r="B283" s="680" t="s">
        <v>41</v>
      </c>
      <c r="C283" s="680" t="s">
        <v>491</v>
      </c>
      <c r="D283" s="680" t="s">
        <v>490</v>
      </c>
      <c r="E283" s="680" t="s">
        <v>489</v>
      </c>
      <c r="F283" s="680" t="s">
        <v>488</v>
      </c>
      <c r="G283" s="680">
        <v>82</v>
      </c>
      <c r="H283" s="680">
        <v>204</v>
      </c>
      <c r="I283" s="680">
        <v>54</v>
      </c>
      <c r="J283" s="680">
        <v>135</v>
      </c>
      <c r="K283" s="680">
        <v>0</v>
      </c>
      <c r="L283" s="680">
        <v>0</v>
      </c>
      <c r="M283" s="680">
        <v>0</v>
      </c>
      <c r="N283" s="680">
        <v>0</v>
      </c>
      <c r="O283" s="680">
        <f>+G283+I283+K283+M283</f>
        <v>136</v>
      </c>
      <c r="P283" s="680">
        <f>+H283+J283+L283+N283</f>
        <v>339</v>
      </c>
      <c r="Q283" s="680" t="s">
        <v>498</v>
      </c>
      <c r="R283" s="680" t="s">
        <v>494</v>
      </c>
      <c r="S283" s="680" t="s">
        <v>42</v>
      </c>
      <c r="T283" s="680" t="s">
        <v>484</v>
      </c>
      <c r="U283" s="681">
        <v>24</v>
      </c>
      <c r="V283" s="680">
        <v>27.34</v>
      </c>
      <c r="W283" s="680" t="s">
        <v>497</v>
      </c>
      <c r="X283" s="680" t="s">
        <v>485</v>
      </c>
      <c r="Y283" s="680" t="s">
        <v>484</v>
      </c>
      <c r="Z283" s="680" t="s">
        <v>483</v>
      </c>
      <c r="AA283" s="680">
        <f>+U283*G283</f>
        <v>1968</v>
      </c>
      <c r="AB283" s="680">
        <f>+U283*H283</f>
        <v>4896</v>
      </c>
      <c r="AC283" s="680">
        <f>+U283*I283</f>
        <v>1296</v>
      </c>
      <c r="AD283" s="680">
        <f>+U283*J283</f>
        <v>3240</v>
      </c>
      <c r="AE283" s="680">
        <f>+U283*K283</f>
        <v>0</v>
      </c>
      <c r="AF283" s="680">
        <f>+U283*L283</f>
        <v>0</v>
      </c>
      <c r="AG283" s="680">
        <f>+U283*M283</f>
        <v>0</v>
      </c>
      <c r="AH283" s="680">
        <f>+U283*N283</f>
        <v>0</v>
      </c>
      <c r="AI283" s="681">
        <f>+U283*O283</f>
        <v>3264</v>
      </c>
      <c r="AJ283" s="681">
        <f>+U283*P283</f>
        <v>8136</v>
      </c>
    </row>
    <row r="284" spans="1:36" hidden="1">
      <c r="A284" s="680">
        <v>2212010007</v>
      </c>
      <c r="B284" s="680" t="s">
        <v>44</v>
      </c>
      <c r="C284" s="680" t="s">
        <v>491</v>
      </c>
      <c r="D284" s="680" t="s">
        <v>490</v>
      </c>
      <c r="E284" s="680" t="s">
        <v>489</v>
      </c>
      <c r="F284" s="680" t="s">
        <v>488</v>
      </c>
      <c r="G284" s="680">
        <v>255</v>
      </c>
      <c r="H284" s="680">
        <v>636</v>
      </c>
      <c r="I284" s="680">
        <v>0</v>
      </c>
      <c r="J284" s="680">
        <v>0</v>
      </c>
      <c r="K284" s="680">
        <v>0</v>
      </c>
      <c r="L284" s="680">
        <v>0</v>
      </c>
      <c r="M284" s="680">
        <v>0</v>
      </c>
      <c r="N284" s="680">
        <v>0</v>
      </c>
      <c r="O284" s="680">
        <f>+G284+I284+K284+M284</f>
        <v>255</v>
      </c>
      <c r="P284" s="680">
        <f>+H284+J284+L284+N284</f>
        <v>636</v>
      </c>
      <c r="Q284" s="680" t="s">
        <v>498</v>
      </c>
      <c r="R284" s="680" t="s">
        <v>494</v>
      </c>
      <c r="S284" s="680" t="s">
        <v>42</v>
      </c>
      <c r="T284" s="680" t="s">
        <v>484</v>
      </c>
      <c r="U284" s="681">
        <v>17</v>
      </c>
      <c r="V284" s="680">
        <v>18.48</v>
      </c>
      <c r="W284" s="680" t="s">
        <v>497</v>
      </c>
      <c r="X284" s="680" t="s">
        <v>485</v>
      </c>
      <c r="Y284" s="680" t="s">
        <v>484</v>
      </c>
      <c r="Z284" s="680" t="s">
        <v>483</v>
      </c>
      <c r="AA284" s="680">
        <f>+U284*G284</f>
        <v>4335</v>
      </c>
      <c r="AB284" s="680">
        <f>+U284*H284</f>
        <v>10812</v>
      </c>
      <c r="AC284" s="680">
        <f>+U284*I284</f>
        <v>0</v>
      </c>
      <c r="AD284" s="680">
        <f>+U284*J284</f>
        <v>0</v>
      </c>
      <c r="AE284" s="680">
        <f>+U284*K284</f>
        <v>0</v>
      </c>
      <c r="AF284" s="680">
        <f>+U284*L284</f>
        <v>0</v>
      </c>
      <c r="AG284" s="680">
        <f>+U284*M284</f>
        <v>0</v>
      </c>
      <c r="AH284" s="680">
        <f>+U284*N284</f>
        <v>0</v>
      </c>
      <c r="AI284" s="681">
        <f>+U284*O284</f>
        <v>4335</v>
      </c>
      <c r="AJ284" s="681">
        <f>+U284*P284</f>
        <v>10812</v>
      </c>
    </row>
    <row r="285" spans="1:36" hidden="1">
      <c r="A285" s="680">
        <v>2212010008</v>
      </c>
      <c r="B285" s="680" t="s">
        <v>45</v>
      </c>
      <c r="C285" s="680" t="s">
        <v>491</v>
      </c>
      <c r="D285" s="680" t="s">
        <v>490</v>
      </c>
      <c r="E285" s="680" t="s">
        <v>489</v>
      </c>
      <c r="F285" s="680" t="s">
        <v>488</v>
      </c>
      <c r="G285" s="680">
        <v>456</v>
      </c>
      <c r="H285" s="680">
        <v>1140</v>
      </c>
      <c r="I285" s="680">
        <v>5</v>
      </c>
      <c r="J285" s="680">
        <v>11</v>
      </c>
      <c r="K285" s="680">
        <v>0</v>
      </c>
      <c r="L285" s="680">
        <v>0</v>
      </c>
      <c r="M285" s="680">
        <v>0</v>
      </c>
      <c r="N285" s="680">
        <v>0</v>
      </c>
      <c r="O285" s="680">
        <f>+G285+I285+K285+M285</f>
        <v>461</v>
      </c>
      <c r="P285" s="680">
        <f>+H285+J285+L285+N285</f>
        <v>1151</v>
      </c>
      <c r="Q285" s="680" t="s">
        <v>498</v>
      </c>
      <c r="R285" s="680" t="s">
        <v>494</v>
      </c>
      <c r="S285" s="680" t="s">
        <v>6</v>
      </c>
      <c r="T285" s="680" t="s">
        <v>484</v>
      </c>
      <c r="U285" s="681">
        <v>65</v>
      </c>
      <c r="V285" s="680">
        <v>76.069999999999993</v>
      </c>
      <c r="W285" s="680" t="s">
        <v>497</v>
      </c>
      <c r="X285" s="680" t="s">
        <v>485</v>
      </c>
      <c r="Y285" s="680" t="s">
        <v>484</v>
      </c>
      <c r="Z285" s="680" t="s">
        <v>483</v>
      </c>
      <c r="AA285" s="680">
        <f>+U285*G285</f>
        <v>29640</v>
      </c>
      <c r="AB285" s="680">
        <f>+U285*H285</f>
        <v>74100</v>
      </c>
      <c r="AC285" s="680">
        <f>+U285*I285</f>
        <v>325</v>
      </c>
      <c r="AD285" s="680">
        <f>+U285*J285</f>
        <v>715</v>
      </c>
      <c r="AE285" s="680">
        <f>+U285*K285</f>
        <v>0</v>
      </c>
      <c r="AF285" s="680">
        <f>+U285*L285</f>
        <v>0</v>
      </c>
      <c r="AG285" s="680">
        <f>+U285*M285</f>
        <v>0</v>
      </c>
      <c r="AH285" s="680">
        <f>+U285*N285</f>
        <v>0</v>
      </c>
      <c r="AI285" s="681">
        <f>+U285*O285</f>
        <v>29965</v>
      </c>
      <c r="AJ285" s="681">
        <f>+U285*P285</f>
        <v>74815</v>
      </c>
    </row>
    <row r="286" spans="1:36" hidden="1">
      <c r="A286" s="680">
        <v>2212010009</v>
      </c>
      <c r="B286" s="680" t="s">
        <v>46</v>
      </c>
      <c r="C286" s="680" t="s">
        <v>491</v>
      </c>
      <c r="D286" s="680" t="s">
        <v>490</v>
      </c>
      <c r="E286" s="680" t="s">
        <v>489</v>
      </c>
      <c r="F286" s="680" t="s">
        <v>488</v>
      </c>
      <c r="G286" s="680">
        <v>10</v>
      </c>
      <c r="H286" s="680">
        <v>24</v>
      </c>
      <c r="I286" s="680">
        <v>26</v>
      </c>
      <c r="J286" s="680">
        <v>65</v>
      </c>
      <c r="K286" s="680">
        <v>0</v>
      </c>
      <c r="L286" s="680">
        <v>0</v>
      </c>
      <c r="M286" s="680">
        <v>0</v>
      </c>
      <c r="N286" s="680">
        <v>0</v>
      </c>
      <c r="O286" s="680">
        <f>+G286+I286+K286+M286</f>
        <v>36</v>
      </c>
      <c r="P286" s="680">
        <f>+H286+J286+L286+N286</f>
        <v>89</v>
      </c>
      <c r="Q286" s="680" t="s">
        <v>498</v>
      </c>
      <c r="R286" s="680" t="s">
        <v>494</v>
      </c>
      <c r="S286" s="680" t="s">
        <v>6</v>
      </c>
      <c r="T286" s="680" t="s">
        <v>484</v>
      </c>
      <c r="U286" s="681">
        <v>20</v>
      </c>
      <c r="V286" s="680">
        <v>24.92</v>
      </c>
      <c r="W286" s="680" t="s">
        <v>497</v>
      </c>
      <c r="X286" s="680" t="s">
        <v>485</v>
      </c>
      <c r="Y286" s="680" t="s">
        <v>484</v>
      </c>
      <c r="Z286" s="680" t="s">
        <v>483</v>
      </c>
      <c r="AA286" s="680">
        <f>+U286*G286</f>
        <v>200</v>
      </c>
      <c r="AB286" s="680">
        <f>+U286*H286</f>
        <v>480</v>
      </c>
      <c r="AC286" s="680">
        <f>+U286*I286</f>
        <v>520</v>
      </c>
      <c r="AD286" s="680">
        <f>+U286*J286</f>
        <v>1300</v>
      </c>
      <c r="AE286" s="680">
        <f>+U286*K286</f>
        <v>0</v>
      </c>
      <c r="AF286" s="680">
        <f>+U286*L286</f>
        <v>0</v>
      </c>
      <c r="AG286" s="680">
        <f>+U286*M286</f>
        <v>0</v>
      </c>
      <c r="AH286" s="680">
        <f>+U286*N286</f>
        <v>0</v>
      </c>
      <c r="AI286" s="681">
        <f>+U286*O286</f>
        <v>720</v>
      </c>
      <c r="AJ286" s="681">
        <f>+U286*P286</f>
        <v>1780</v>
      </c>
    </row>
    <row r="287" spans="1:36" hidden="1">
      <c r="A287" s="680">
        <v>2212010010</v>
      </c>
      <c r="B287" s="680" t="s">
        <v>47</v>
      </c>
      <c r="C287" s="680" t="s">
        <v>491</v>
      </c>
      <c r="D287" s="680" t="s">
        <v>490</v>
      </c>
      <c r="E287" s="680" t="s">
        <v>489</v>
      </c>
      <c r="F287" s="680" t="s">
        <v>488</v>
      </c>
      <c r="G287" s="680">
        <v>149</v>
      </c>
      <c r="H287" s="680">
        <v>372</v>
      </c>
      <c r="I287" s="680">
        <v>0</v>
      </c>
      <c r="J287" s="680">
        <v>0</v>
      </c>
      <c r="K287" s="680">
        <v>0</v>
      </c>
      <c r="L287" s="680">
        <v>0</v>
      </c>
      <c r="M287" s="680">
        <v>0</v>
      </c>
      <c r="N287" s="680">
        <v>0</v>
      </c>
      <c r="O287" s="680">
        <f>+G287+I287+K287+M287</f>
        <v>149</v>
      </c>
      <c r="P287" s="680">
        <f>+H287+J287+L287+N287</f>
        <v>372</v>
      </c>
      <c r="Q287" s="680" t="s">
        <v>498</v>
      </c>
      <c r="R287" s="680" t="s">
        <v>494</v>
      </c>
      <c r="S287" s="680" t="s">
        <v>42</v>
      </c>
      <c r="T287" s="680" t="s">
        <v>484</v>
      </c>
      <c r="U287" s="681">
        <v>19</v>
      </c>
      <c r="V287" s="680">
        <v>21.94</v>
      </c>
      <c r="W287" s="680" t="s">
        <v>497</v>
      </c>
      <c r="X287" s="680" t="s">
        <v>485</v>
      </c>
      <c r="Y287" s="680" t="s">
        <v>484</v>
      </c>
      <c r="Z287" s="680" t="s">
        <v>483</v>
      </c>
      <c r="AA287" s="680">
        <f>+U287*G287</f>
        <v>2831</v>
      </c>
      <c r="AB287" s="680">
        <f>+U287*H287</f>
        <v>7068</v>
      </c>
      <c r="AC287" s="680">
        <f>+U287*I287</f>
        <v>0</v>
      </c>
      <c r="AD287" s="680">
        <f>+U287*J287</f>
        <v>0</v>
      </c>
      <c r="AE287" s="680">
        <f>+U287*K287</f>
        <v>0</v>
      </c>
      <c r="AF287" s="680">
        <f>+U287*L287</f>
        <v>0</v>
      </c>
      <c r="AG287" s="680">
        <f>+U287*M287</f>
        <v>0</v>
      </c>
      <c r="AH287" s="680">
        <f>+U287*N287</f>
        <v>0</v>
      </c>
      <c r="AI287" s="681">
        <f>+U287*O287</f>
        <v>2831</v>
      </c>
      <c r="AJ287" s="681">
        <f>+U287*P287</f>
        <v>7068</v>
      </c>
    </row>
    <row r="288" spans="1:36" hidden="1">
      <c r="A288" s="680">
        <v>2212010011</v>
      </c>
      <c r="B288" s="680" t="s">
        <v>48</v>
      </c>
      <c r="C288" s="680" t="s">
        <v>491</v>
      </c>
      <c r="D288" s="680" t="s">
        <v>490</v>
      </c>
      <c r="E288" s="680" t="s">
        <v>489</v>
      </c>
      <c r="F288" s="680" t="s">
        <v>488</v>
      </c>
      <c r="G288" s="680">
        <v>404</v>
      </c>
      <c r="H288" s="680">
        <v>1008</v>
      </c>
      <c r="I288" s="680">
        <v>0</v>
      </c>
      <c r="J288" s="680">
        <v>0</v>
      </c>
      <c r="K288" s="680">
        <v>0</v>
      </c>
      <c r="L288" s="680">
        <v>0</v>
      </c>
      <c r="M288" s="680">
        <v>0</v>
      </c>
      <c r="N288" s="680">
        <v>0</v>
      </c>
      <c r="O288" s="680">
        <f>+G288+I288+K288+M288</f>
        <v>404</v>
      </c>
      <c r="P288" s="680">
        <f>+H288+J288+L288+N288</f>
        <v>1008</v>
      </c>
      <c r="Q288" s="680" t="s">
        <v>498</v>
      </c>
      <c r="R288" s="680" t="s">
        <v>494</v>
      </c>
      <c r="S288" s="680" t="s">
        <v>6</v>
      </c>
      <c r="T288" s="680" t="s">
        <v>484</v>
      </c>
      <c r="U288" s="681">
        <v>20</v>
      </c>
      <c r="V288" s="680">
        <v>21.87</v>
      </c>
      <c r="W288" s="680" t="s">
        <v>497</v>
      </c>
      <c r="X288" s="680" t="s">
        <v>485</v>
      </c>
      <c r="Y288" s="680" t="s">
        <v>484</v>
      </c>
      <c r="Z288" s="680" t="s">
        <v>483</v>
      </c>
      <c r="AA288" s="680">
        <f>+U288*G288</f>
        <v>8080</v>
      </c>
      <c r="AB288" s="680">
        <f>+U288*H288</f>
        <v>20160</v>
      </c>
      <c r="AC288" s="680">
        <f>+U288*I288</f>
        <v>0</v>
      </c>
      <c r="AD288" s="680">
        <f>+U288*J288</f>
        <v>0</v>
      </c>
      <c r="AE288" s="680">
        <f>+U288*K288</f>
        <v>0</v>
      </c>
      <c r="AF288" s="680">
        <f>+U288*L288</f>
        <v>0</v>
      </c>
      <c r="AG288" s="680">
        <f>+U288*M288</f>
        <v>0</v>
      </c>
      <c r="AH288" s="680">
        <f>+U288*N288</f>
        <v>0</v>
      </c>
      <c r="AI288" s="681">
        <f>+U288*O288</f>
        <v>8080</v>
      </c>
      <c r="AJ288" s="681">
        <f>+U288*P288</f>
        <v>20160</v>
      </c>
    </row>
    <row r="289" spans="1:36" hidden="1">
      <c r="A289" s="680">
        <v>2212010012</v>
      </c>
      <c r="B289" s="680" t="s">
        <v>49</v>
      </c>
      <c r="C289" s="680" t="s">
        <v>491</v>
      </c>
      <c r="D289" s="680" t="s">
        <v>490</v>
      </c>
      <c r="E289" s="680" t="s">
        <v>489</v>
      </c>
      <c r="F289" s="680" t="s">
        <v>488</v>
      </c>
      <c r="G289" s="680">
        <v>6180</v>
      </c>
      <c r="H289" s="680">
        <v>15450</v>
      </c>
      <c r="I289" s="680">
        <v>1440</v>
      </c>
      <c r="J289" s="680">
        <v>3600</v>
      </c>
      <c r="K289" s="680">
        <v>0</v>
      </c>
      <c r="L289" s="680">
        <v>0</v>
      </c>
      <c r="M289" s="680">
        <v>0</v>
      </c>
      <c r="N289" s="680">
        <v>0</v>
      </c>
      <c r="O289" s="680">
        <f>+G289+I289+K289+M289</f>
        <v>7620</v>
      </c>
      <c r="P289" s="680">
        <f>+H289+J289+L289+N289</f>
        <v>19050</v>
      </c>
      <c r="Q289" s="680" t="s">
        <v>498</v>
      </c>
      <c r="R289" s="680" t="s">
        <v>494</v>
      </c>
      <c r="S289" s="680" t="s">
        <v>6</v>
      </c>
      <c r="T289" s="680" t="s">
        <v>484</v>
      </c>
      <c r="U289" s="681">
        <v>20</v>
      </c>
      <c r="V289" s="680">
        <v>23.91</v>
      </c>
      <c r="W289" s="680" t="s">
        <v>497</v>
      </c>
      <c r="X289" s="680" t="s">
        <v>485</v>
      </c>
      <c r="Y289" s="680" t="s">
        <v>484</v>
      </c>
      <c r="Z289" s="680" t="s">
        <v>483</v>
      </c>
      <c r="AA289" s="680">
        <f>+U289*G289</f>
        <v>123600</v>
      </c>
      <c r="AB289" s="680">
        <f>+U289*H289</f>
        <v>309000</v>
      </c>
      <c r="AC289" s="680">
        <f>+U289*I289</f>
        <v>28800</v>
      </c>
      <c r="AD289" s="680">
        <f>+U289*J289</f>
        <v>72000</v>
      </c>
      <c r="AE289" s="680">
        <f>+U289*K289</f>
        <v>0</v>
      </c>
      <c r="AF289" s="680">
        <f>+U289*L289</f>
        <v>0</v>
      </c>
      <c r="AG289" s="680">
        <f>+U289*M289</f>
        <v>0</v>
      </c>
      <c r="AH289" s="680">
        <f>+U289*N289</f>
        <v>0</v>
      </c>
      <c r="AI289" s="681">
        <f>+U289*O289</f>
        <v>152400</v>
      </c>
      <c r="AJ289" s="681">
        <f>+U289*P289</f>
        <v>381000</v>
      </c>
    </row>
    <row r="290" spans="1:36" hidden="1">
      <c r="A290" s="680">
        <v>2212010013</v>
      </c>
      <c r="B290" s="680" t="s">
        <v>50</v>
      </c>
      <c r="C290" s="680" t="s">
        <v>491</v>
      </c>
      <c r="D290" s="680" t="s">
        <v>490</v>
      </c>
      <c r="E290" s="680" t="s">
        <v>489</v>
      </c>
      <c r="F290" s="680" t="s">
        <v>488</v>
      </c>
      <c r="G290" s="680">
        <v>152</v>
      </c>
      <c r="H290" s="680">
        <v>378</v>
      </c>
      <c r="I290" s="680">
        <v>0</v>
      </c>
      <c r="J290" s="680">
        <v>0</v>
      </c>
      <c r="K290" s="680">
        <v>0</v>
      </c>
      <c r="L290" s="680">
        <v>0</v>
      </c>
      <c r="M290" s="680">
        <v>0</v>
      </c>
      <c r="N290" s="680">
        <v>0</v>
      </c>
      <c r="O290" s="680">
        <f>+G290+I290+K290+M290</f>
        <v>152</v>
      </c>
      <c r="P290" s="680">
        <f>+H290+J290+L290+N290</f>
        <v>378</v>
      </c>
      <c r="Q290" s="680" t="s">
        <v>498</v>
      </c>
      <c r="R290" s="680" t="s">
        <v>494</v>
      </c>
      <c r="S290" s="680" t="s">
        <v>6</v>
      </c>
      <c r="T290" s="680" t="s">
        <v>484</v>
      </c>
      <c r="U290" s="681">
        <v>15</v>
      </c>
      <c r="V290" s="680">
        <v>16.3</v>
      </c>
      <c r="W290" s="680" t="s">
        <v>497</v>
      </c>
      <c r="X290" s="680" t="s">
        <v>485</v>
      </c>
      <c r="Y290" s="680" t="s">
        <v>484</v>
      </c>
      <c r="Z290" s="680" t="s">
        <v>483</v>
      </c>
      <c r="AA290" s="680">
        <f>+U290*G290</f>
        <v>2280</v>
      </c>
      <c r="AB290" s="680">
        <f>+U290*H290</f>
        <v>5670</v>
      </c>
      <c r="AC290" s="680">
        <f>+U290*I290</f>
        <v>0</v>
      </c>
      <c r="AD290" s="680">
        <f>+U290*J290</f>
        <v>0</v>
      </c>
      <c r="AE290" s="680">
        <f>+U290*K290</f>
        <v>0</v>
      </c>
      <c r="AF290" s="680">
        <f>+U290*L290</f>
        <v>0</v>
      </c>
      <c r="AG290" s="680">
        <f>+U290*M290</f>
        <v>0</v>
      </c>
      <c r="AH290" s="680">
        <f>+U290*N290</f>
        <v>0</v>
      </c>
      <c r="AI290" s="681">
        <f>+U290*O290</f>
        <v>2280</v>
      </c>
      <c r="AJ290" s="681">
        <f>+U290*P290</f>
        <v>5670</v>
      </c>
    </row>
    <row r="291" spans="1:36" hidden="1">
      <c r="A291" s="680">
        <v>2212010014</v>
      </c>
      <c r="B291" s="680" t="s">
        <v>51</v>
      </c>
      <c r="C291" s="680" t="s">
        <v>491</v>
      </c>
      <c r="D291" s="680" t="s">
        <v>490</v>
      </c>
      <c r="E291" s="680" t="s">
        <v>489</v>
      </c>
      <c r="F291" s="680" t="s">
        <v>488</v>
      </c>
      <c r="G291" s="680">
        <v>154</v>
      </c>
      <c r="H291" s="680">
        <v>384</v>
      </c>
      <c r="I291" s="680">
        <v>0</v>
      </c>
      <c r="J291" s="680">
        <v>0</v>
      </c>
      <c r="K291" s="680">
        <v>0</v>
      </c>
      <c r="L291" s="680">
        <v>0</v>
      </c>
      <c r="M291" s="680">
        <v>0</v>
      </c>
      <c r="N291" s="680">
        <v>0</v>
      </c>
      <c r="O291" s="680">
        <f>+G291+I291+K291+M291</f>
        <v>154</v>
      </c>
      <c r="P291" s="680">
        <f>+H291+J291+L291+N291</f>
        <v>384</v>
      </c>
      <c r="Q291" s="680" t="s">
        <v>498</v>
      </c>
      <c r="R291" s="680" t="s">
        <v>494</v>
      </c>
      <c r="S291" s="680" t="s">
        <v>6</v>
      </c>
      <c r="T291" s="680" t="s">
        <v>484</v>
      </c>
      <c r="U291" s="681">
        <v>23</v>
      </c>
      <c r="V291" s="680">
        <v>27.09</v>
      </c>
      <c r="W291" s="680" t="s">
        <v>497</v>
      </c>
      <c r="X291" s="680" t="s">
        <v>485</v>
      </c>
      <c r="Y291" s="680" t="s">
        <v>484</v>
      </c>
      <c r="Z291" s="680" t="s">
        <v>483</v>
      </c>
      <c r="AA291" s="680">
        <f>+U291*G291</f>
        <v>3542</v>
      </c>
      <c r="AB291" s="680">
        <f>+U291*H291</f>
        <v>8832</v>
      </c>
      <c r="AC291" s="680">
        <f>+U291*I291</f>
        <v>0</v>
      </c>
      <c r="AD291" s="680">
        <f>+U291*J291</f>
        <v>0</v>
      </c>
      <c r="AE291" s="680">
        <f>+U291*K291</f>
        <v>0</v>
      </c>
      <c r="AF291" s="680">
        <f>+U291*L291</f>
        <v>0</v>
      </c>
      <c r="AG291" s="680">
        <f>+U291*M291</f>
        <v>0</v>
      </c>
      <c r="AH291" s="680">
        <f>+U291*N291</f>
        <v>0</v>
      </c>
      <c r="AI291" s="681">
        <f>+U291*O291</f>
        <v>3542</v>
      </c>
      <c r="AJ291" s="681">
        <f>+U291*P291</f>
        <v>8832</v>
      </c>
    </row>
    <row r="292" spans="1:36" hidden="1">
      <c r="A292" s="680">
        <v>2212010015</v>
      </c>
      <c r="B292" s="680" t="s">
        <v>52</v>
      </c>
      <c r="C292" s="680" t="s">
        <v>491</v>
      </c>
      <c r="D292" s="680" t="s">
        <v>490</v>
      </c>
      <c r="E292" s="680" t="s">
        <v>489</v>
      </c>
      <c r="F292" s="680" t="s">
        <v>488</v>
      </c>
      <c r="G292" s="680">
        <v>2151</v>
      </c>
      <c r="H292" s="680">
        <v>5376</v>
      </c>
      <c r="I292" s="680">
        <v>810</v>
      </c>
      <c r="J292" s="680">
        <v>2025</v>
      </c>
      <c r="K292" s="680">
        <v>0</v>
      </c>
      <c r="L292" s="680">
        <v>0</v>
      </c>
      <c r="M292" s="680">
        <v>0</v>
      </c>
      <c r="N292" s="680">
        <v>0</v>
      </c>
      <c r="O292" s="680">
        <f>+G292+I292+K292+M292</f>
        <v>2961</v>
      </c>
      <c r="P292" s="680">
        <f>+H292+J292+L292+N292</f>
        <v>7401</v>
      </c>
      <c r="Q292" s="680" t="s">
        <v>498</v>
      </c>
      <c r="R292" s="680" t="s">
        <v>494</v>
      </c>
      <c r="S292" s="680" t="s">
        <v>6</v>
      </c>
      <c r="T292" s="680" t="s">
        <v>484</v>
      </c>
      <c r="U292" s="681">
        <v>21</v>
      </c>
      <c r="V292" s="680">
        <v>18.649999999999999</v>
      </c>
      <c r="W292" s="680" t="s">
        <v>497</v>
      </c>
      <c r="X292" s="680" t="s">
        <v>485</v>
      </c>
      <c r="Y292" s="680" t="s">
        <v>484</v>
      </c>
      <c r="Z292" s="680" t="s">
        <v>483</v>
      </c>
      <c r="AA292" s="680">
        <f>+U292*G292</f>
        <v>45171</v>
      </c>
      <c r="AB292" s="680">
        <f>+U292*H292</f>
        <v>112896</v>
      </c>
      <c r="AC292" s="680">
        <f>+U292*I292</f>
        <v>17010</v>
      </c>
      <c r="AD292" s="680">
        <f>+U292*J292</f>
        <v>42525</v>
      </c>
      <c r="AE292" s="680">
        <f>+U292*K292</f>
        <v>0</v>
      </c>
      <c r="AF292" s="680">
        <f>+U292*L292</f>
        <v>0</v>
      </c>
      <c r="AG292" s="680">
        <f>+U292*M292</f>
        <v>0</v>
      </c>
      <c r="AH292" s="680">
        <f>+U292*N292</f>
        <v>0</v>
      </c>
      <c r="AI292" s="681">
        <f>+U292*O292</f>
        <v>62181</v>
      </c>
      <c r="AJ292" s="681">
        <f>+U292*P292</f>
        <v>155421</v>
      </c>
    </row>
    <row r="293" spans="1:36" hidden="1">
      <c r="A293" s="680">
        <v>2212010016</v>
      </c>
      <c r="B293" s="680" t="s">
        <v>53</v>
      </c>
      <c r="C293" s="680" t="s">
        <v>491</v>
      </c>
      <c r="D293" s="680" t="s">
        <v>490</v>
      </c>
      <c r="E293" s="680" t="s">
        <v>489</v>
      </c>
      <c r="F293" s="680" t="s">
        <v>488</v>
      </c>
      <c r="G293" s="680">
        <v>22</v>
      </c>
      <c r="H293" s="680">
        <v>54</v>
      </c>
      <c r="I293" s="680">
        <v>27</v>
      </c>
      <c r="J293" s="680">
        <v>67</v>
      </c>
      <c r="K293" s="680">
        <v>0</v>
      </c>
      <c r="L293" s="680">
        <v>0</v>
      </c>
      <c r="M293" s="680">
        <v>0</v>
      </c>
      <c r="N293" s="680">
        <v>0</v>
      </c>
      <c r="O293" s="680">
        <f>+G293+I293+K293+M293</f>
        <v>49</v>
      </c>
      <c r="P293" s="680">
        <f>+H293+J293+L293+N293</f>
        <v>121</v>
      </c>
      <c r="Q293" s="680" t="s">
        <v>498</v>
      </c>
      <c r="R293" s="680" t="s">
        <v>494</v>
      </c>
      <c r="S293" s="680" t="s">
        <v>42</v>
      </c>
      <c r="T293" s="680" t="s">
        <v>484</v>
      </c>
      <c r="U293" s="681">
        <v>20</v>
      </c>
      <c r="V293" s="680">
        <v>21.87</v>
      </c>
      <c r="W293" s="680" t="s">
        <v>497</v>
      </c>
      <c r="X293" s="680" t="s">
        <v>485</v>
      </c>
      <c r="Y293" s="680" t="s">
        <v>484</v>
      </c>
      <c r="Z293" s="680" t="s">
        <v>483</v>
      </c>
      <c r="AA293" s="680">
        <f>+U293*G293</f>
        <v>440</v>
      </c>
      <c r="AB293" s="680">
        <f>+U293*H293</f>
        <v>1080</v>
      </c>
      <c r="AC293" s="680">
        <f>+U293*I293</f>
        <v>540</v>
      </c>
      <c r="AD293" s="680">
        <f>+U293*J293</f>
        <v>1340</v>
      </c>
      <c r="AE293" s="680">
        <f>+U293*K293</f>
        <v>0</v>
      </c>
      <c r="AF293" s="680">
        <f>+U293*L293</f>
        <v>0</v>
      </c>
      <c r="AG293" s="680">
        <f>+U293*M293</f>
        <v>0</v>
      </c>
      <c r="AH293" s="680">
        <f>+U293*N293</f>
        <v>0</v>
      </c>
      <c r="AI293" s="681">
        <f>+U293*O293</f>
        <v>980</v>
      </c>
      <c r="AJ293" s="681">
        <f>+U293*P293</f>
        <v>2420</v>
      </c>
    </row>
    <row r="294" spans="1:36" hidden="1">
      <c r="A294" s="680">
        <v>2212010017</v>
      </c>
      <c r="B294" s="680" t="s">
        <v>54</v>
      </c>
      <c r="C294" s="680" t="s">
        <v>491</v>
      </c>
      <c r="D294" s="680" t="s">
        <v>490</v>
      </c>
      <c r="E294" s="680" t="s">
        <v>489</v>
      </c>
      <c r="F294" s="680" t="s">
        <v>488</v>
      </c>
      <c r="G294" s="680">
        <v>41</v>
      </c>
      <c r="H294" s="680">
        <v>102</v>
      </c>
      <c r="I294" s="680">
        <v>0</v>
      </c>
      <c r="J294" s="680">
        <v>0</v>
      </c>
      <c r="K294" s="680">
        <v>0</v>
      </c>
      <c r="L294" s="680">
        <v>0</v>
      </c>
      <c r="M294" s="680">
        <v>0</v>
      </c>
      <c r="N294" s="680">
        <v>0</v>
      </c>
      <c r="O294" s="680">
        <f>+G294+I294+K294+M294</f>
        <v>41</v>
      </c>
      <c r="P294" s="680">
        <f>+H294+J294+L294+N294</f>
        <v>102</v>
      </c>
      <c r="Q294" s="680" t="s">
        <v>498</v>
      </c>
      <c r="R294" s="680" t="s">
        <v>494</v>
      </c>
      <c r="S294" s="680" t="s">
        <v>6</v>
      </c>
      <c r="T294" s="680" t="s">
        <v>484</v>
      </c>
      <c r="U294" s="681">
        <v>23</v>
      </c>
      <c r="V294" s="680">
        <v>25</v>
      </c>
      <c r="W294" s="680" t="s">
        <v>497</v>
      </c>
      <c r="X294" s="680" t="s">
        <v>485</v>
      </c>
      <c r="Y294" s="680" t="s">
        <v>484</v>
      </c>
      <c r="Z294" s="680" t="s">
        <v>483</v>
      </c>
      <c r="AA294" s="680">
        <f>+U294*G294</f>
        <v>943</v>
      </c>
      <c r="AB294" s="680">
        <f>+U294*H294</f>
        <v>2346</v>
      </c>
      <c r="AC294" s="680">
        <f>+U294*I294</f>
        <v>0</v>
      </c>
      <c r="AD294" s="680">
        <f>+U294*J294</f>
        <v>0</v>
      </c>
      <c r="AE294" s="680">
        <f>+U294*K294</f>
        <v>0</v>
      </c>
      <c r="AF294" s="680">
        <f>+U294*L294</f>
        <v>0</v>
      </c>
      <c r="AG294" s="680">
        <f>+U294*M294</f>
        <v>0</v>
      </c>
      <c r="AH294" s="680">
        <f>+U294*N294</f>
        <v>0</v>
      </c>
      <c r="AI294" s="681">
        <f>+U294*O294</f>
        <v>943</v>
      </c>
      <c r="AJ294" s="681">
        <f>+U294*P294</f>
        <v>2346</v>
      </c>
    </row>
    <row r="295" spans="1:36" hidden="1">
      <c r="A295" s="680">
        <v>2212010019</v>
      </c>
      <c r="B295" s="680" t="s">
        <v>55</v>
      </c>
      <c r="C295" s="680" t="s">
        <v>491</v>
      </c>
      <c r="D295" s="680" t="s">
        <v>490</v>
      </c>
      <c r="E295" s="680" t="s">
        <v>489</v>
      </c>
      <c r="F295" s="680" t="s">
        <v>488</v>
      </c>
      <c r="G295" s="680">
        <v>6872</v>
      </c>
      <c r="H295" s="680">
        <v>17178</v>
      </c>
      <c r="I295" s="680">
        <v>1026</v>
      </c>
      <c r="J295" s="680">
        <v>2565</v>
      </c>
      <c r="K295" s="680">
        <v>0</v>
      </c>
      <c r="L295" s="680">
        <v>0</v>
      </c>
      <c r="M295" s="680">
        <v>0</v>
      </c>
      <c r="N295" s="680">
        <v>0</v>
      </c>
      <c r="O295" s="680">
        <f>+G295+I295+K295+M295</f>
        <v>7898</v>
      </c>
      <c r="P295" s="680">
        <f>+H295+J295+L295+N295</f>
        <v>19743</v>
      </c>
      <c r="Q295" s="680" t="s">
        <v>498</v>
      </c>
      <c r="R295" s="680" t="s">
        <v>494</v>
      </c>
      <c r="S295" s="680" t="s">
        <v>6</v>
      </c>
      <c r="T295" s="680" t="s">
        <v>484</v>
      </c>
      <c r="U295" s="681">
        <v>20</v>
      </c>
      <c r="V295" s="680">
        <v>23.91</v>
      </c>
      <c r="W295" s="680" t="s">
        <v>497</v>
      </c>
      <c r="X295" s="680" t="s">
        <v>485</v>
      </c>
      <c r="Y295" s="680" t="s">
        <v>484</v>
      </c>
      <c r="Z295" s="680" t="s">
        <v>483</v>
      </c>
      <c r="AA295" s="680">
        <f>+U295*G295</f>
        <v>137440</v>
      </c>
      <c r="AB295" s="680">
        <f>+U295*H295</f>
        <v>343560</v>
      </c>
      <c r="AC295" s="680">
        <f>+U295*I295</f>
        <v>20520</v>
      </c>
      <c r="AD295" s="680">
        <f>+U295*J295</f>
        <v>51300</v>
      </c>
      <c r="AE295" s="680">
        <f>+U295*K295</f>
        <v>0</v>
      </c>
      <c r="AF295" s="680">
        <f>+U295*L295</f>
        <v>0</v>
      </c>
      <c r="AG295" s="680">
        <f>+U295*M295</f>
        <v>0</v>
      </c>
      <c r="AH295" s="680">
        <f>+U295*N295</f>
        <v>0</v>
      </c>
      <c r="AI295" s="681">
        <f>+U295*O295</f>
        <v>157960</v>
      </c>
      <c r="AJ295" s="681">
        <f>+U295*P295</f>
        <v>394860</v>
      </c>
    </row>
    <row r="296" spans="1:36" hidden="1">
      <c r="A296" s="680">
        <v>2212010020</v>
      </c>
      <c r="B296" s="680" t="s">
        <v>56</v>
      </c>
      <c r="C296" s="680" t="s">
        <v>491</v>
      </c>
      <c r="D296" s="680" t="s">
        <v>490</v>
      </c>
      <c r="E296" s="680" t="s">
        <v>489</v>
      </c>
      <c r="F296" s="680" t="s">
        <v>488</v>
      </c>
      <c r="G296" s="680">
        <v>3</v>
      </c>
      <c r="H296" s="680">
        <v>6</v>
      </c>
      <c r="I296" s="680">
        <v>26</v>
      </c>
      <c r="J296" s="680">
        <v>63</v>
      </c>
      <c r="K296" s="680">
        <v>0</v>
      </c>
      <c r="L296" s="680">
        <v>0</v>
      </c>
      <c r="M296" s="680">
        <v>0</v>
      </c>
      <c r="N296" s="680">
        <v>0</v>
      </c>
      <c r="O296" s="680">
        <f>+G296+I296+K296+M296</f>
        <v>29</v>
      </c>
      <c r="P296" s="680">
        <f>+H296+J296+L296+N296</f>
        <v>69</v>
      </c>
      <c r="Q296" s="680" t="s">
        <v>498</v>
      </c>
      <c r="R296" s="680" t="s">
        <v>494</v>
      </c>
      <c r="S296" s="680" t="s">
        <v>6</v>
      </c>
      <c r="T296" s="680" t="s">
        <v>484</v>
      </c>
      <c r="U296" s="681">
        <v>30</v>
      </c>
      <c r="V296" s="680">
        <v>32.5</v>
      </c>
      <c r="W296" s="680" t="s">
        <v>497</v>
      </c>
      <c r="X296" s="680" t="s">
        <v>485</v>
      </c>
      <c r="Y296" s="680" t="s">
        <v>484</v>
      </c>
      <c r="Z296" s="680" t="s">
        <v>483</v>
      </c>
      <c r="AA296" s="680">
        <f>+U296*G296</f>
        <v>90</v>
      </c>
      <c r="AB296" s="680">
        <f>+U296*H296</f>
        <v>180</v>
      </c>
      <c r="AC296" s="680">
        <f>+U296*I296</f>
        <v>780</v>
      </c>
      <c r="AD296" s="680">
        <f>+U296*J296</f>
        <v>1890</v>
      </c>
      <c r="AE296" s="680">
        <f>+U296*K296</f>
        <v>0</v>
      </c>
      <c r="AF296" s="680">
        <f>+U296*L296</f>
        <v>0</v>
      </c>
      <c r="AG296" s="680">
        <f>+U296*M296</f>
        <v>0</v>
      </c>
      <c r="AH296" s="680">
        <f>+U296*N296</f>
        <v>0</v>
      </c>
      <c r="AI296" s="681">
        <f>+U296*O296</f>
        <v>870</v>
      </c>
      <c r="AJ296" s="681">
        <f>+U296*P296</f>
        <v>2070</v>
      </c>
    </row>
    <row r="297" spans="1:36" hidden="1">
      <c r="A297" s="680">
        <v>2212010021</v>
      </c>
      <c r="B297" s="680" t="s">
        <v>57</v>
      </c>
      <c r="C297" s="680" t="s">
        <v>491</v>
      </c>
      <c r="D297" s="680" t="s">
        <v>490</v>
      </c>
      <c r="E297" s="680" t="s">
        <v>489</v>
      </c>
      <c r="F297" s="680" t="s">
        <v>488</v>
      </c>
      <c r="G297" s="680">
        <v>75</v>
      </c>
      <c r="H297" s="680">
        <v>186</v>
      </c>
      <c r="I297" s="680">
        <v>99</v>
      </c>
      <c r="J297" s="680">
        <v>247</v>
      </c>
      <c r="K297" s="680">
        <v>0</v>
      </c>
      <c r="L297" s="680">
        <v>0</v>
      </c>
      <c r="M297" s="680">
        <v>0</v>
      </c>
      <c r="N297" s="680">
        <v>0</v>
      </c>
      <c r="O297" s="680">
        <f>+G297+I297+K297+M297</f>
        <v>174</v>
      </c>
      <c r="P297" s="680">
        <f>+H297+J297+L297+N297</f>
        <v>433</v>
      </c>
      <c r="Q297" s="680" t="s">
        <v>498</v>
      </c>
      <c r="R297" s="680" t="s">
        <v>494</v>
      </c>
      <c r="S297" s="680" t="s">
        <v>6</v>
      </c>
      <c r="T297" s="680" t="s">
        <v>484</v>
      </c>
      <c r="U297" s="681">
        <v>45</v>
      </c>
      <c r="V297" s="680">
        <v>60.32</v>
      </c>
      <c r="W297" s="680" t="s">
        <v>497</v>
      </c>
      <c r="X297" s="680" t="s">
        <v>485</v>
      </c>
      <c r="Y297" s="680" t="s">
        <v>484</v>
      </c>
      <c r="Z297" s="680" t="s">
        <v>483</v>
      </c>
      <c r="AA297" s="680">
        <f>+U297*G297</f>
        <v>3375</v>
      </c>
      <c r="AB297" s="680">
        <f>+U297*H297</f>
        <v>8370</v>
      </c>
      <c r="AC297" s="680">
        <f>+U297*I297</f>
        <v>4455</v>
      </c>
      <c r="AD297" s="680">
        <f>+U297*J297</f>
        <v>11115</v>
      </c>
      <c r="AE297" s="680">
        <f>+U297*K297</f>
        <v>0</v>
      </c>
      <c r="AF297" s="680">
        <f>+U297*L297</f>
        <v>0</v>
      </c>
      <c r="AG297" s="680">
        <f>+U297*M297</f>
        <v>0</v>
      </c>
      <c r="AH297" s="680">
        <f>+U297*N297</f>
        <v>0</v>
      </c>
      <c r="AI297" s="681">
        <f>+U297*O297</f>
        <v>7830</v>
      </c>
      <c r="AJ297" s="681">
        <f>+U297*P297</f>
        <v>19485</v>
      </c>
    </row>
    <row r="298" spans="1:36" hidden="1">
      <c r="A298" s="680">
        <v>2212010022</v>
      </c>
      <c r="B298" s="680" t="s">
        <v>58</v>
      </c>
      <c r="C298" s="680" t="s">
        <v>491</v>
      </c>
      <c r="D298" s="680" t="s">
        <v>490</v>
      </c>
      <c r="E298" s="680" t="s">
        <v>489</v>
      </c>
      <c r="F298" s="680" t="s">
        <v>488</v>
      </c>
      <c r="G298" s="680">
        <v>87</v>
      </c>
      <c r="H298" s="680">
        <v>216</v>
      </c>
      <c r="I298" s="680">
        <v>78</v>
      </c>
      <c r="J298" s="680">
        <v>193</v>
      </c>
      <c r="K298" s="680">
        <v>0</v>
      </c>
      <c r="L298" s="680">
        <v>0</v>
      </c>
      <c r="M298" s="680">
        <v>0</v>
      </c>
      <c r="N298" s="680">
        <v>0</v>
      </c>
      <c r="O298" s="680">
        <f>+G298+I298+K298+M298</f>
        <v>165</v>
      </c>
      <c r="P298" s="680">
        <f>+H298+J298+L298+N298</f>
        <v>409</v>
      </c>
      <c r="Q298" s="680" t="s">
        <v>498</v>
      </c>
      <c r="R298" s="680" t="s">
        <v>494</v>
      </c>
      <c r="S298" s="680" t="s">
        <v>6</v>
      </c>
      <c r="T298" s="680" t="s">
        <v>484</v>
      </c>
      <c r="U298" s="681">
        <v>50</v>
      </c>
      <c r="V298" s="680">
        <v>60.14</v>
      </c>
      <c r="W298" s="680" t="s">
        <v>497</v>
      </c>
      <c r="X298" s="680" t="s">
        <v>485</v>
      </c>
      <c r="Y298" s="680" t="s">
        <v>484</v>
      </c>
      <c r="Z298" s="680" t="s">
        <v>483</v>
      </c>
      <c r="AA298" s="680">
        <f>+U298*G298</f>
        <v>4350</v>
      </c>
      <c r="AB298" s="680">
        <f>+U298*H298</f>
        <v>10800</v>
      </c>
      <c r="AC298" s="680">
        <f>+U298*I298</f>
        <v>3900</v>
      </c>
      <c r="AD298" s="680">
        <f>+U298*J298</f>
        <v>9650</v>
      </c>
      <c r="AE298" s="680">
        <f>+U298*K298</f>
        <v>0</v>
      </c>
      <c r="AF298" s="680">
        <f>+U298*L298</f>
        <v>0</v>
      </c>
      <c r="AG298" s="680">
        <f>+U298*M298</f>
        <v>0</v>
      </c>
      <c r="AH298" s="680">
        <f>+U298*N298</f>
        <v>0</v>
      </c>
      <c r="AI298" s="681">
        <f>+U298*O298</f>
        <v>8250</v>
      </c>
      <c r="AJ298" s="681">
        <f>+U298*P298</f>
        <v>20450</v>
      </c>
    </row>
    <row r="299" spans="1:36" hidden="1">
      <c r="A299" s="680">
        <v>2212010023</v>
      </c>
      <c r="B299" s="680" t="s">
        <v>59</v>
      </c>
      <c r="C299" s="680" t="s">
        <v>491</v>
      </c>
      <c r="D299" s="680" t="s">
        <v>490</v>
      </c>
      <c r="E299" s="680" t="s">
        <v>489</v>
      </c>
      <c r="F299" s="680" t="s">
        <v>488</v>
      </c>
      <c r="G299" s="680">
        <v>111</v>
      </c>
      <c r="H299" s="680">
        <v>276</v>
      </c>
      <c r="I299" s="680">
        <v>50</v>
      </c>
      <c r="J299" s="680">
        <v>124</v>
      </c>
      <c r="K299" s="680">
        <v>0</v>
      </c>
      <c r="L299" s="680">
        <v>0</v>
      </c>
      <c r="M299" s="680">
        <v>0</v>
      </c>
      <c r="N299" s="680">
        <v>0</v>
      </c>
      <c r="O299" s="680">
        <f>+G299+I299+K299+M299</f>
        <v>161</v>
      </c>
      <c r="P299" s="680">
        <f>+H299+J299+L299+N299</f>
        <v>400</v>
      </c>
      <c r="Q299" s="680" t="s">
        <v>498</v>
      </c>
      <c r="R299" s="680" t="s">
        <v>494</v>
      </c>
      <c r="S299" s="680" t="s">
        <v>6</v>
      </c>
      <c r="T299" s="680" t="s">
        <v>484</v>
      </c>
      <c r="U299" s="681">
        <v>28</v>
      </c>
      <c r="V299" s="680">
        <v>30.43</v>
      </c>
      <c r="W299" s="680" t="s">
        <v>497</v>
      </c>
      <c r="X299" s="680" t="s">
        <v>485</v>
      </c>
      <c r="Y299" s="680" t="s">
        <v>484</v>
      </c>
      <c r="Z299" s="680" t="s">
        <v>483</v>
      </c>
      <c r="AA299" s="680">
        <f>+U299*G299</f>
        <v>3108</v>
      </c>
      <c r="AB299" s="680">
        <f>+U299*H299</f>
        <v>7728</v>
      </c>
      <c r="AC299" s="680">
        <f>+U299*I299</f>
        <v>1400</v>
      </c>
      <c r="AD299" s="680">
        <f>+U299*J299</f>
        <v>3472</v>
      </c>
      <c r="AE299" s="680">
        <f>+U299*K299</f>
        <v>0</v>
      </c>
      <c r="AF299" s="680">
        <f>+U299*L299</f>
        <v>0</v>
      </c>
      <c r="AG299" s="680">
        <f>+U299*M299</f>
        <v>0</v>
      </c>
      <c r="AH299" s="680">
        <f>+U299*N299</f>
        <v>0</v>
      </c>
      <c r="AI299" s="681">
        <f>+U299*O299</f>
        <v>4508</v>
      </c>
      <c r="AJ299" s="681">
        <f>+U299*P299</f>
        <v>11200</v>
      </c>
    </row>
    <row r="300" spans="1:36" hidden="1">
      <c r="A300" s="680">
        <v>2212010024</v>
      </c>
      <c r="B300" s="680" t="s">
        <v>60</v>
      </c>
      <c r="C300" s="680" t="s">
        <v>491</v>
      </c>
      <c r="D300" s="680" t="s">
        <v>490</v>
      </c>
      <c r="E300" s="680" t="s">
        <v>489</v>
      </c>
      <c r="F300" s="680" t="s">
        <v>488</v>
      </c>
      <c r="G300" s="680">
        <v>53</v>
      </c>
      <c r="H300" s="680">
        <v>132</v>
      </c>
      <c r="I300" s="680">
        <v>44</v>
      </c>
      <c r="J300" s="680">
        <v>108</v>
      </c>
      <c r="K300" s="680">
        <v>0</v>
      </c>
      <c r="L300" s="680">
        <v>0</v>
      </c>
      <c r="M300" s="680">
        <v>0</v>
      </c>
      <c r="N300" s="680">
        <v>0</v>
      </c>
      <c r="O300" s="680">
        <f>+G300+I300+K300+M300</f>
        <v>97</v>
      </c>
      <c r="P300" s="680">
        <f>+H300+J300+L300+N300</f>
        <v>240</v>
      </c>
      <c r="Q300" s="680" t="s">
        <v>498</v>
      </c>
      <c r="R300" s="680" t="s">
        <v>494</v>
      </c>
      <c r="S300" s="680" t="s">
        <v>6</v>
      </c>
      <c r="T300" s="680" t="s">
        <v>484</v>
      </c>
      <c r="U300" s="681">
        <v>28</v>
      </c>
      <c r="V300" s="680">
        <v>30.43</v>
      </c>
      <c r="W300" s="680" t="s">
        <v>497</v>
      </c>
      <c r="X300" s="680" t="s">
        <v>485</v>
      </c>
      <c r="Y300" s="680" t="s">
        <v>484</v>
      </c>
      <c r="Z300" s="680" t="s">
        <v>483</v>
      </c>
      <c r="AA300" s="680">
        <f>+U300*G300</f>
        <v>1484</v>
      </c>
      <c r="AB300" s="680">
        <f>+U300*H300</f>
        <v>3696</v>
      </c>
      <c r="AC300" s="680">
        <f>+U300*I300</f>
        <v>1232</v>
      </c>
      <c r="AD300" s="680">
        <f>+U300*J300</f>
        <v>3024</v>
      </c>
      <c r="AE300" s="680">
        <f>+U300*K300</f>
        <v>0</v>
      </c>
      <c r="AF300" s="680">
        <f>+U300*L300</f>
        <v>0</v>
      </c>
      <c r="AG300" s="680">
        <f>+U300*M300</f>
        <v>0</v>
      </c>
      <c r="AH300" s="680">
        <f>+U300*N300</f>
        <v>0</v>
      </c>
      <c r="AI300" s="681">
        <f>+U300*O300</f>
        <v>2716</v>
      </c>
      <c r="AJ300" s="681">
        <f>+U300*P300</f>
        <v>6720</v>
      </c>
    </row>
    <row r="301" spans="1:36" hidden="1">
      <c r="A301" s="680">
        <v>2212010025</v>
      </c>
      <c r="B301" s="680" t="s">
        <v>61</v>
      </c>
      <c r="C301" s="680" t="s">
        <v>491</v>
      </c>
      <c r="D301" s="680" t="s">
        <v>490</v>
      </c>
      <c r="E301" s="680" t="s">
        <v>489</v>
      </c>
      <c r="F301" s="680" t="s">
        <v>488</v>
      </c>
      <c r="G301" s="680">
        <v>195</v>
      </c>
      <c r="H301" s="680">
        <v>486</v>
      </c>
      <c r="I301" s="680">
        <v>65</v>
      </c>
      <c r="J301" s="680">
        <v>162</v>
      </c>
      <c r="K301" s="680">
        <v>0</v>
      </c>
      <c r="L301" s="680">
        <v>0</v>
      </c>
      <c r="M301" s="680">
        <v>0</v>
      </c>
      <c r="N301" s="680">
        <v>0</v>
      </c>
      <c r="O301" s="680">
        <f>+G301+I301+K301+M301</f>
        <v>260</v>
      </c>
      <c r="P301" s="680">
        <f>+H301+J301+L301+N301</f>
        <v>648</v>
      </c>
      <c r="Q301" s="680" t="s">
        <v>498</v>
      </c>
      <c r="R301" s="680" t="s">
        <v>494</v>
      </c>
      <c r="S301" s="680" t="s">
        <v>42</v>
      </c>
      <c r="T301" s="680" t="s">
        <v>484</v>
      </c>
      <c r="U301" s="681">
        <v>25</v>
      </c>
      <c r="V301" s="680">
        <v>27.09</v>
      </c>
      <c r="W301" s="680" t="s">
        <v>497</v>
      </c>
      <c r="X301" s="680" t="s">
        <v>485</v>
      </c>
      <c r="Y301" s="680" t="s">
        <v>484</v>
      </c>
      <c r="Z301" s="680" t="s">
        <v>483</v>
      </c>
      <c r="AA301" s="680">
        <f>+U301*G301</f>
        <v>4875</v>
      </c>
      <c r="AB301" s="680">
        <f>+U301*H301</f>
        <v>12150</v>
      </c>
      <c r="AC301" s="680">
        <f>+U301*I301</f>
        <v>1625</v>
      </c>
      <c r="AD301" s="680">
        <f>+U301*J301</f>
        <v>4050</v>
      </c>
      <c r="AE301" s="680">
        <f>+U301*K301</f>
        <v>0</v>
      </c>
      <c r="AF301" s="680">
        <f>+U301*L301</f>
        <v>0</v>
      </c>
      <c r="AG301" s="680">
        <f>+U301*M301</f>
        <v>0</v>
      </c>
      <c r="AH301" s="680">
        <f>+U301*N301</f>
        <v>0</v>
      </c>
      <c r="AI301" s="681">
        <f>+U301*O301</f>
        <v>6500</v>
      </c>
      <c r="AJ301" s="681">
        <f>+U301*P301</f>
        <v>16200</v>
      </c>
    </row>
    <row r="302" spans="1:36" hidden="1">
      <c r="A302" s="680">
        <v>2212010026</v>
      </c>
      <c r="B302" s="680" t="s">
        <v>62</v>
      </c>
      <c r="C302" s="680" t="s">
        <v>491</v>
      </c>
      <c r="D302" s="680" t="s">
        <v>490</v>
      </c>
      <c r="E302" s="680" t="s">
        <v>489</v>
      </c>
      <c r="F302" s="680" t="s">
        <v>488</v>
      </c>
      <c r="G302" s="680">
        <v>29</v>
      </c>
      <c r="H302" s="680">
        <v>72</v>
      </c>
      <c r="I302" s="680">
        <v>0</v>
      </c>
      <c r="J302" s="680">
        <v>0</v>
      </c>
      <c r="K302" s="680">
        <v>0</v>
      </c>
      <c r="L302" s="680">
        <v>0</v>
      </c>
      <c r="M302" s="680">
        <v>0</v>
      </c>
      <c r="N302" s="680">
        <v>0</v>
      </c>
      <c r="O302" s="680">
        <f>+G302+I302+K302+M302</f>
        <v>29</v>
      </c>
      <c r="P302" s="680">
        <f>+H302+J302+L302+N302</f>
        <v>72</v>
      </c>
      <c r="Q302" s="680" t="s">
        <v>498</v>
      </c>
      <c r="R302" s="680" t="s">
        <v>494</v>
      </c>
      <c r="S302" s="680" t="s">
        <v>6</v>
      </c>
      <c r="T302" s="680" t="s">
        <v>484</v>
      </c>
      <c r="U302" s="681">
        <v>10</v>
      </c>
      <c r="V302" s="680">
        <v>10.97</v>
      </c>
      <c r="W302" s="680" t="s">
        <v>497</v>
      </c>
      <c r="X302" s="680" t="s">
        <v>485</v>
      </c>
      <c r="Y302" s="680" t="s">
        <v>484</v>
      </c>
      <c r="Z302" s="680" t="s">
        <v>483</v>
      </c>
      <c r="AA302" s="680">
        <f>+U302*G302</f>
        <v>290</v>
      </c>
      <c r="AB302" s="680">
        <f>+U302*H302</f>
        <v>720</v>
      </c>
      <c r="AC302" s="680">
        <f>+U302*I302</f>
        <v>0</v>
      </c>
      <c r="AD302" s="680">
        <f>+U302*J302</f>
        <v>0</v>
      </c>
      <c r="AE302" s="680">
        <f>+U302*K302</f>
        <v>0</v>
      </c>
      <c r="AF302" s="680">
        <f>+U302*L302</f>
        <v>0</v>
      </c>
      <c r="AG302" s="680">
        <f>+U302*M302</f>
        <v>0</v>
      </c>
      <c r="AH302" s="680">
        <f>+U302*N302</f>
        <v>0</v>
      </c>
      <c r="AI302" s="681">
        <f>+U302*O302</f>
        <v>290</v>
      </c>
      <c r="AJ302" s="681">
        <f>+U302*P302</f>
        <v>720</v>
      </c>
    </row>
    <row r="303" spans="1:36" hidden="1">
      <c r="A303" s="680">
        <v>2212010027</v>
      </c>
      <c r="B303" s="680" t="s">
        <v>63</v>
      </c>
      <c r="C303" s="680" t="s">
        <v>491</v>
      </c>
      <c r="D303" s="680" t="s">
        <v>490</v>
      </c>
      <c r="E303" s="680" t="s">
        <v>489</v>
      </c>
      <c r="F303" s="680" t="s">
        <v>488</v>
      </c>
      <c r="G303" s="680">
        <v>8</v>
      </c>
      <c r="H303" s="680">
        <v>18</v>
      </c>
      <c r="I303" s="680">
        <v>0</v>
      </c>
      <c r="J303" s="680">
        <v>0</v>
      </c>
      <c r="K303" s="680">
        <v>0</v>
      </c>
      <c r="L303" s="680">
        <v>0</v>
      </c>
      <c r="M303" s="680">
        <v>0</v>
      </c>
      <c r="N303" s="680">
        <v>0</v>
      </c>
      <c r="O303" s="680">
        <f>+G303+I303+K303+M303</f>
        <v>8</v>
      </c>
      <c r="P303" s="680">
        <f>+H303+J303+L303+N303</f>
        <v>18</v>
      </c>
      <c r="Q303" s="680" t="s">
        <v>498</v>
      </c>
      <c r="R303" s="680" t="s">
        <v>494</v>
      </c>
      <c r="S303" s="680" t="s">
        <v>6</v>
      </c>
      <c r="T303" s="680" t="s">
        <v>484</v>
      </c>
      <c r="U303" s="681">
        <v>14</v>
      </c>
      <c r="V303" s="680">
        <v>16.399999999999999</v>
      </c>
      <c r="W303" s="680" t="s">
        <v>497</v>
      </c>
      <c r="X303" s="680" t="s">
        <v>485</v>
      </c>
      <c r="Y303" s="680" t="s">
        <v>484</v>
      </c>
      <c r="Z303" s="680" t="s">
        <v>483</v>
      </c>
      <c r="AA303" s="680">
        <f>+U303*G303</f>
        <v>112</v>
      </c>
      <c r="AB303" s="680">
        <f>+U303*H303</f>
        <v>252</v>
      </c>
      <c r="AC303" s="680">
        <f>+U303*I303</f>
        <v>0</v>
      </c>
      <c r="AD303" s="680">
        <f>+U303*J303</f>
        <v>0</v>
      </c>
      <c r="AE303" s="680">
        <f>+U303*K303</f>
        <v>0</v>
      </c>
      <c r="AF303" s="680">
        <f>+U303*L303</f>
        <v>0</v>
      </c>
      <c r="AG303" s="680">
        <f>+U303*M303</f>
        <v>0</v>
      </c>
      <c r="AH303" s="680">
        <f>+U303*N303</f>
        <v>0</v>
      </c>
      <c r="AI303" s="681">
        <f>+U303*O303</f>
        <v>112</v>
      </c>
      <c r="AJ303" s="681">
        <f>+U303*P303</f>
        <v>252</v>
      </c>
    </row>
    <row r="304" spans="1:36" hidden="1">
      <c r="A304" s="680">
        <v>2212010028</v>
      </c>
      <c r="B304" s="680" t="s">
        <v>64</v>
      </c>
      <c r="C304" s="680" t="s">
        <v>491</v>
      </c>
      <c r="D304" s="680" t="s">
        <v>490</v>
      </c>
      <c r="E304" s="680" t="s">
        <v>489</v>
      </c>
      <c r="F304" s="680" t="s">
        <v>488</v>
      </c>
      <c r="G304" s="680">
        <v>197</v>
      </c>
      <c r="H304" s="680">
        <v>492</v>
      </c>
      <c r="I304" s="680">
        <v>0</v>
      </c>
      <c r="J304" s="680">
        <v>0</v>
      </c>
      <c r="K304" s="680">
        <v>0</v>
      </c>
      <c r="L304" s="680">
        <v>0</v>
      </c>
      <c r="M304" s="680">
        <v>0</v>
      </c>
      <c r="N304" s="680">
        <v>0</v>
      </c>
      <c r="O304" s="680">
        <f>+G304+I304+K304+M304</f>
        <v>197</v>
      </c>
      <c r="P304" s="680">
        <f>+H304+J304+L304+N304</f>
        <v>492</v>
      </c>
      <c r="Q304" s="680" t="s">
        <v>498</v>
      </c>
      <c r="R304" s="680" t="s">
        <v>494</v>
      </c>
      <c r="S304" s="680" t="s">
        <v>6</v>
      </c>
      <c r="T304" s="680" t="s">
        <v>484</v>
      </c>
      <c r="U304" s="681">
        <v>20</v>
      </c>
      <c r="V304" s="680">
        <v>21.74</v>
      </c>
      <c r="W304" s="680" t="s">
        <v>497</v>
      </c>
      <c r="X304" s="680" t="s">
        <v>485</v>
      </c>
      <c r="Y304" s="680" t="s">
        <v>484</v>
      </c>
      <c r="Z304" s="680" t="s">
        <v>483</v>
      </c>
      <c r="AA304" s="680">
        <f>+U304*G304</f>
        <v>3940</v>
      </c>
      <c r="AB304" s="680">
        <f>+U304*H304</f>
        <v>9840</v>
      </c>
      <c r="AC304" s="680">
        <f>+U304*I304</f>
        <v>0</v>
      </c>
      <c r="AD304" s="680">
        <f>+U304*J304</f>
        <v>0</v>
      </c>
      <c r="AE304" s="680">
        <f>+U304*K304</f>
        <v>0</v>
      </c>
      <c r="AF304" s="680">
        <f>+U304*L304</f>
        <v>0</v>
      </c>
      <c r="AG304" s="680">
        <f>+U304*M304</f>
        <v>0</v>
      </c>
      <c r="AH304" s="680">
        <f>+U304*N304</f>
        <v>0</v>
      </c>
      <c r="AI304" s="681">
        <f>+U304*O304</f>
        <v>3940</v>
      </c>
      <c r="AJ304" s="681">
        <f>+U304*P304</f>
        <v>9840</v>
      </c>
    </row>
    <row r="305" spans="1:36" hidden="1">
      <c r="A305" s="680">
        <v>2212010029</v>
      </c>
      <c r="B305" s="680" t="s">
        <v>65</v>
      </c>
      <c r="C305" s="680" t="s">
        <v>491</v>
      </c>
      <c r="D305" s="680" t="s">
        <v>490</v>
      </c>
      <c r="E305" s="680" t="s">
        <v>489</v>
      </c>
      <c r="F305" s="680" t="s">
        <v>488</v>
      </c>
      <c r="G305" s="680">
        <v>281</v>
      </c>
      <c r="H305" s="680">
        <v>702</v>
      </c>
      <c r="I305" s="680">
        <v>0</v>
      </c>
      <c r="J305" s="680">
        <v>0</v>
      </c>
      <c r="K305" s="680">
        <v>0</v>
      </c>
      <c r="L305" s="680">
        <v>0</v>
      </c>
      <c r="M305" s="680">
        <v>0</v>
      </c>
      <c r="N305" s="680">
        <v>0</v>
      </c>
      <c r="O305" s="680">
        <f>+G305+I305+K305+M305</f>
        <v>281</v>
      </c>
      <c r="P305" s="680">
        <f>+H305+J305+L305+N305</f>
        <v>702</v>
      </c>
      <c r="Q305" s="680" t="s">
        <v>498</v>
      </c>
      <c r="R305" s="680" t="s">
        <v>494</v>
      </c>
      <c r="S305" s="680" t="s">
        <v>6</v>
      </c>
      <c r="T305" s="680" t="s">
        <v>484</v>
      </c>
      <c r="U305" s="681">
        <v>33</v>
      </c>
      <c r="V305" s="680">
        <v>38.04</v>
      </c>
      <c r="W305" s="680" t="s">
        <v>497</v>
      </c>
      <c r="X305" s="680" t="s">
        <v>485</v>
      </c>
      <c r="Y305" s="680" t="s">
        <v>484</v>
      </c>
      <c r="Z305" s="680" t="s">
        <v>483</v>
      </c>
      <c r="AA305" s="680">
        <f>+U305*G305</f>
        <v>9273</v>
      </c>
      <c r="AB305" s="680">
        <f>+U305*H305</f>
        <v>23166</v>
      </c>
      <c r="AC305" s="680">
        <f>+U305*I305</f>
        <v>0</v>
      </c>
      <c r="AD305" s="680">
        <f>+U305*J305</f>
        <v>0</v>
      </c>
      <c r="AE305" s="680">
        <f>+U305*K305</f>
        <v>0</v>
      </c>
      <c r="AF305" s="680">
        <f>+U305*L305</f>
        <v>0</v>
      </c>
      <c r="AG305" s="680">
        <f>+U305*M305</f>
        <v>0</v>
      </c>
      <c r="AH305" s="680">
        <f>+U305*N305</f>
        <v>0</v>
      </c>
      <c r="AI305" s="681">
        <f>+U305*O305</f>
        <v>9273</v>
      </c>
      <c r="AJ305" s="681">
        <f>+U305*P305</f>
        <v>23166</v>
      </c>
    </row>
    <row r="306" spans="1:36" hidden="1">
      <c r="A306" s="680">
        <v>2212010030</v>
      </c>
      <c r="B306" s="680" t="s">
        <v>66</v>
      </c>
      <c r="C306" s="680" t="s">
        <v>491</v>
      </c>
      <c r="D306" s="680" t="s">
        <v>490</v>
      </c>
      <c r="E306" s="680" t="s">
        <v>489</v>
      </c>
      <c r="F306" s="680" t="s">
        <v>488</v>
      </c>
      <c r="G306" s="680">
        <v>252</v>
      </c>
      <c r="H306" s="680">
        <v>630</v>
      </c>
      <c r="I306" s="680">
        <v>152</v>
      </c>
      <c r="J306" s="680">
        <v>378</v>
      </c>
      <c r="K306" s="680">
        <v>0</v>
      </c>
      <c r="L306" s="680">
        <v>0</v>
      </c>
      <c r="M306" s="680">
        <v>0</v>
      </c>
      <c r="N306" s="680">
        <v>0</v>
      </c>
      <c r="O306" s="680">
        <f>+G306+I306+K306+M306</f>
        <v>404</v>
      </c>
      <c r="P306" s="680">
        <f>+H306+J306+L306+N306</f>
        <v>1008</v>
      </c>
      <c r="Q306" s="680" t="s">
        <v>498</v>
      </c>
      <c r="R306" s="680" t="s">
        <v>494</v>
      </c>
      <c r="S306" s="680" t="s">
        <v>8</v>
      </c>
      <c r="T306" s="680" t="s">
        <v>484</v>
      </c>
      <c r="U306" s="681">
        <v>8.5</v>
      </c>
      <c r="V306" s="680">
        <v>9.75</v>
      </c>
      <c r="W306" s="680" t="s">
        <v>497</v>
      </c>
      <c r="X306" s="680" t="s">
        <v>485</v>
      </c>
      <c r="Y306" s="680" t="s">
        <v>484</v>
      </c>
      <c r="Z306" s="680" t="s">
        <v>483</v>
      </c>
      <c r="AA306" s="680">
        <f>+U306*G306</f>
        <v>2142</v>
      </c>
      <c r="AB306" s="680">
        <f>+U306*H306</f>
        <v>5355</v>
      </c>
      <c r="AC306" s="680">
        <f>+U306*I306</f>
        <v>1292</v>
      </c>
      <c r="AD306" s="680">
        <f>+U306*J306</f>
        <v>3213</v>
      </c>
      <c r="AE306" s="680">
        <f>+U306*K306</f>
        <v>0</v>
      </c>
      <c r="AF306" s="680">
        <f>+U306*L306</f>
        <v>0</v>
      </c>
      <c r="AG306" s="680">
        <f>+U306*M306</f>
        <v>0</v>
      </c>
      <c r="AH306" s="680">
        <f>+U306*N306</f>
        <v>0</v>
      </c>
      <c r="AI306" s="681">
        <f>+U306*O306</f>
        <v>3434</v>
      </c>
      <c r="AJ306" s="681">
        <f>+U306*P306</f>
        <v>8568</v>
      </c>
    </row>
    <row r="307" spans="1:36" hidden="1">
      <c r="A307" s="680">
        <v>2212010031</v>
      </c>
      <c r="B307" s="680" t="s">
        <v>67</v>
      </c>
      <c r="C307" s="680" t="s">
        <v>491</v>
      </c>
      <c r="D307" s="680" t="s">
        <v>490</v>
      </c>
      <c r="E307" s="680" t="s">
        <v>489</v>
      </c>
      <c r="F307" s="680" t="s">
        <v>488</v>
      </c>
      <c r="G307" s="680">
        <v>80</v>
      </c>
      <c r="H307" s="680">
        <v>198</v>
      </c>
      <c r="I307" s="680">
        <v>31</v>
      </c>
      <c r="J307" s="680">
        <v>76</v>
      </c>
      <c r="K307" s="680">
        <v>0</v>
      </c>
      <c r="L307" s="680">
        <v>0</v>
      </c>
      <c r="M307" s="680">
        <v>0</v>
      </c>
      <c r="N307" s="680">
        <v>0</v>
      </c>
      <c r="O307" s="680">
        <f>+G307+I307+K307+M307</f>
        <v>111</v>
      </c>
      <c r="P307" s="680">
        <f>+H307+J307+L307+N307</f>
        <v>274</v>
      </c>
      <c r="Q307" s="680" t="s">
        <v>498</v>
      </c>
      <c r="R307" s="680" t="s">
        <v>494</v>
      </c>
      <c r="S307" s="680" t="s">
        <v>6</v>
      </c>
      <c r="T307" s="680" t="s">
        <v>484</v>
      </c>
      <c r="U307" s="681">
        <v>20</v>
      </c>
      <c r="V307" s="680">
        <v>21.94</v>
      </c>
      <c r="W307" s="680" t="s">
        <v>497</v>
      </c>
      <c r="X307" s="680" t="s">
        <v>485</v>
      </c>
      <c r="Y307" s="680" t="s">
        <v>484</v>
      </c>
      <c r="Z307" s="680" t="s">
        <v>483</v>
      </c>
      <c r="AA307" s="680">
        <f>+U307*G307</f>
        <v>1600</v>
      </c>
      <c r="AB307" s="680">
        <f>+U307*H307</f>
        <v>3960</v>
      </c>
      <c r="AC307" s="680">
        <f>+U307*I307</f>
        <v>620</v>
      </c>
      <c r="AD307" s="680">
        <f>+U307*J307</f>
        <v>1520</v>
      </c>
      <c r="AE307" s="680">
        <f>+U307*K307</f>
        <v>0</v>
      </c>
      <c r="AF307" s="680">
        <f>+U307*L307</f>
        <v>0</v>
      </c>
      <c r="AG307" s="680">
        <f>+U307*M307</f>
        <v>0</v>
      </c>
      <c r="AH307" s="680">
        <f>+U307*N307</f>
        <v>0</v>
      </c>
      <c r="AI307" s="681">
        <f>+U307*O307</f>
        <v>2220</v>
      </c>
      <c r="AJ307" s="681">
        <f>+U307*P307</f>
        <v>5480</v>
      </c>
    </row>
    <row r="308" spans="1:36" hidden="1">
      <c r="A308" s="680">
        <v>2212010032</v>
      </c>
      <c r="B308" s="680" t="s">
        <v>68</v>
      </c>
      <c r="C308" s="680" t="s">
        <v>491</v>
      </c>
      <c r="D308" s="680" t="s">
        <v>490</v>
      </c>
      <c r="E308" s="680" t="s">
        <v>489</v>
      </c>
      <c r="F308" s="680" t="s">
        <v>488</v>
      </c>
      <c r="G308" s="680">
        <v>30</v>
      </c>
      <c r="H308" s="680">
        <v>75</v>
      </c>
      <c r="I308" s="680">
        <v>22</v>
      </c>
      <c r="J308" s="680">
        <v>54</v>
      </c>
      <c r="K308" s="680">
        <v>0</v>
      </c>
      <c r="L308" s="680">
        <v>0</v>
      </c>
      <c r="M308" s="680">
        <v>0</v>
      </c>
      <c r="N308" s="680">
        <v>0</v>
      </c>
      <c r="O308" s="680">
        <f>+G308+I308+K308+M308</f>
        <v>52</v>
      </c>
      <c r="P308" s="680">
        <f>+H308+J308+L308+N308</f>
        <v>129</v>
      </c>
      <c r="Q308" s="680" t="s">
        <v>498</v>
      </c>
      <c r="R308" s="680" t="s">
        <v>494</v>
      </c>
      <c r="S308" s="680" t="s">
        <v>6</v>
      </c>
      <c r="T308" s="680" t="s">
        <v>484</v>
      </c>
      <c r="U308" s="681">
        <v>55</v>
      </c>
      <c r="V308" s="680">
        <v>60.14</v>
      </c>
      <c r="W308" s="680" t="s">
        <v>497</v>
      </c>
      <c r="X308" s="680" t="s">
        <v>485</v>
      </c>
      <c r="Y308" s="680" t="s">
        <v>484</v>
      </c>
      <c r="Z308" s="680" t="s">
        <v>483</v>
      </c>
      <c r="AA308" s="680">
        <f>+U308*G308</f>
        <v>1650</v>
      </c>
      <c r="AB308" s="680">
        <f>+U308*H308</f>
        <v>4125</v>
      </c>
      <c r="AC308" s="680">
        <f>+U308*I308</f>
        <v>1210</v>
      </c>
      <c r="AD308" s="680">
        <f>+U308*J308</f>
        <v>2970</v>
      </c>
      <c r="AE308" s="680">
        <f>+U308*K308</f>
        <v>0</v>
      </c>
      <c r="AF308" s="680">
        <f>+U308*L308</f>
        <v>0</v>
      </c>
      <c r="AG308" s="680">
        <f>+U308*M308</f>
        <v>0</v>
      </c>
      <c r="AH308" s="680">
        <f>+U308*N308</f>
        <v>0</v>
      </c>
      <c r="AI308" s="681">
        <f>+U308*O308</f>
        <v>2860</v>
      </c>
      <c r="AJ308" s="681">
        <f>+U308*P308</f>
        <v>7095</v>
      </c>
    </row>
    <row r="309" spans="1:36" hidden="1">
      <c r="A309" s="680">
        <v>2212010033</v>
      </c>
      <c r="B309" s="680" t="s">
        <v>69</v>
      </c>
      <c r="C309" s="680" t="s">
        <v>491</v>
      </c>
      <c r="D309" s="680" t="s">
        <v>490</v>
      </c>
      <c r="E309" s="680" t="s">
        <v>489</v>
      </c>
      <c r="F309" s="680" t="s">
        <v>488</v>
      </c>
      <c r="G309" s="680">
        <v>92</v>
      </c>
      <c r="H309" s="680">
        <v>228</v>
      </c>
      <c r="I309" s="680">
        <v>22</v>
      </c>
      <c r="J309" s="680">
        <v>54</v>
      </c>
      <c r="K309" s="680">
        <v>0</v>
      </c>
      <c r="L309" s="680">
        <v>0</v>
      </c>
      <c r="M309" s="680">
        <v>0</v>
      </c>
      <c r="N309" s="680">
        <v>0</v>
      </c>
      <c r="O309" s="680">
        <f>+G309+I309+K309+M309</f>
        <v>114</v>
      </c>
      <c r="P309" s="680">
        <f>+H309+J309+L309+N309</f>
        <v>282</v>
      </c>
      <c r="Q309" s="680" t="s">
        <v>498</v>
      </c>
      <c r="R309" s="680" t="s">
        <v>494</v>
      </c>
      <c r="S309" s="680" t="s">
        <v>42</v>
      </c>
      <c r="T309" s="680" t="s">
        <v>484</v>
      </c>
      <c r="U309" s="681">
        <v>18</v>
      </c>
      <c r="V309" s="680">
        <v>21.74</v>
      </c>
      <c r="W309" s="680" t="s">
        <v>497</v>
      </c>
      <c r="X309" s="680" t="s">
        <v>485</v>
      </c>
      <c r="Y309" s="680" t="s">
        <v>484</v>
      </c>
      <c r="Z309" s="680" t="s">
        <v>483</v>
      </c>
      <c r="AA309" s="680">
        <f>+U309*G309</f>
        <v>1656</v>
      </c>
      <c r="AB309" s="680">
        <f>+U309*H309</f>
        <v>4104</v>
      </c>
      <c r="AC309" s="680">
        <f>+U309*I309</f>
        <v>396</v>
      </c>
      <c r="AD309" s="680">
        <f>+U309*J309</f>
        <v>972</v>
      </c>
      <c r="AE309" s="680">
        <f>+U309*K309</f>
        <v>0</v>
      </c>
      <c r="AF309" s="680">
        <f>+U309*L309</f>
        <v>0</v>
      </c>
      <c r="AG309" s="680">
        <f>+U309*M309</f>
        <v>0</v>
      </c>
      <c r="AH309" s="680">
        <f>+U309*N309</f>
        <v>0</v>
      </c>
      <c r="AI309" s="681">
        <f>+U309*O309</f>
        <v>2052</v>
      </c>
      <c r="AJ309" s="681">
        <f>+U309*P309</f>
        <v>5076</v>
      </c>
    </row>
    <row r="310" spans="1:36" hidden="1">
      <c r="A310" s="680">
        <v>2212010034</v>
      </c>
      <c r="B310" s="680" t="s">
        <v>70</v>
      </c>
      <c r="C310" s="680" t="s">
        <v>491</v>
      </c>
      <c r="D310" s="680" t="s">
        <v>490</v>
      </c>
      <c r="E310" s="680" t="s">
        <v>489</v>
      </c>
      <c r="F310" s="680" t="s">
        <v>488</v>
      </c>
      <c r="G310" s="680">
        <v>2852</v>
      </c>
      <c r="H310" s="680">
        <v>7128</v>
      </c>
      <c r="I310" s="680">
        <v>288</v>
      </c>
      <c r="J310" s="680">
        <v>720</v>
      </c>
      <c r="K310" s="680">
        <v>0</v>
      </c>
      <c r="L310" s="680">
        <v>0</v>
      </c>
      <c r="M310" s="680">
        <v>0</v>
      </c>
      <c r="N310" s="680">
        <v>0</v>
      </c>
      <c r="O310" s="680">
        <f>+G310+I310+K310+M310</f>
        <v>3140</v>
      </c>
      <c r="P310" s="680">
        <f>+H310+J310+L310+N310</f>
        <v>7848</v>
      </c>
      <c r="Q310" s="680" t="s">
        <v>498</v>
      </c>
      <c r="R310" s="680" t="s">
        <v>494</v>
      </c>
      <c r="S310" s="680" t="s">
        <v>6</v>
      </c>
      <c r="T310" s="680" t="s">
        <v>484</v>
      </c>
      <c r="U310" s="681">
        <v>25</v>
      </c>
      <c r="V310" s="680">
        <v>23.91</v>
      </c>
      <c r="W310" s="680" t="s">
        <v>497</v>
      </c>
      <c r="X310" s="680" t="s">
        <v>485</v>
      </c>
      <c r="Y310" s="680" t="s">
        <v>484</v>
      </c>
      <c r="Z310" s="680" t="s">
        <v>483</v>
      </c>
      <c r="AA310" s="680">
        <f>+U310*G310</f>
        <v>71300</v>
      </c>
      <c r="AB310" s="680">
        <f>+U310*H310</f>
        <v>178200</v>
      </c>
      <c r="AC310" s="680">
        <f>+U310*I310</f>
        <v>7200</v>
      </c>
      <c r="AD310" s="680">
        <f>+U310*J310</f>
        <v>18000</v>
      </c>
      <c r="AE310" s="680">
        <f>+U310*K310</f>
        <v>0</v>
      </c>
      <c r="AF310" s="680">
        <f>+U310*L310</f>
        <v>0</v>
      </c>
      <c r="AG310" s="680">
        <f>+U310*M310</f>
        <v>0</v>
      </c>
      <c r="AH310" s="680">
        <f>+U310*N310</f>
        <v>0</v>
      </c>
      <c r="AI310" s="681">
        <f>+U310*O310</f>
        <v>78500</v>
      </c>
      <c r="AJ310" s="681">
        <f>+U310*P310</f>
        <v>196200</v>
      </c>
    </row>
    <row r="311" spans="1:36" hidden="1">
      <c r="A311" s="680">
        <v>2212010035</v>
      </c>
      <c r="B311" s="680" t="s">
        <v>71</v>
      </c>
      <c r="C311" s="680" t="s">
        <v>491</v>
      </c>
      <c r="D311" s="680" t="s">
        <v>490</v>
      </c>
      <c r="E311" s="680" t="s">
        <v>489</v>
      </c>
      <c r="F311" s="680" t="s">
        <v>488</v>
      </c>
      <c r="G311" s="680">
        <v>3656</v>
      </c>
      <c r="H311" s="680">
        <v>9138</v>
      </c>
      <c r="I311" s="680">
        <v>1980</v>
      </c>
      <c r="J311" s="680">
        <v>4950</v>
      </c>
      <c r="K311" s="680">
        <v>0</v>
      </c>
      <c r="L311" s="680">
        <v>0</v>
      </c>
      <c r="M311" s="680">
        <v>0</v>
      </c>
      <c r="N311" s="680">
        <v>0</v>
      </c>
      <c r="O311" s="680">
        <f>+G311+I311+K311+M311</f>
        <v>5636</v>
      </c>
      <c r="P311" s="680">
        <f>+H311+J311+L311+N311</f>
        <v>14088</v>
      </c>
      <c r="Q311" s="680" t="s">
        <v>498</v>
      </c>
      <c r="R311" s="680" t="s">
        <v>494</v>
      </c>
      <c r="S311" s="680" t="s">
        <v>6</v>
      </c>
      <c r="T311" s="680" t="s">
        <v>484</v>
      </c>
      <c r="U311" s="681">
        <v>24</v>
      </c>
      <c r="V311" s="680">
        <v>24.92</v>
      </c>
      <c r="W311" s="680" t="s">
        <v>497</v>
      </c>
      <c r="X311" s="680" t="s">
        <v>485</v>
      </c>
      <c r="Y311" s="680" t="s">
        <v>484</v>
      </c>
      <c r="Z311" s="680" t="s">
        <v>483</v>
      </c>
      <c r="AA311" s="680">
        <f>+U311*G311</f>
        <v>87744</v>
      </c>
      <c r="AB311" s="680">
        <f>+U311*H311</f>
        <v>219312</v>
      </c>
      <c r="AC311" s="680">
        <f>+U311*I311</f>
        <v>47520</v>
      </c>
      <c r="AD311" s="680">
        <f>+U311*J311</f>
        <v>118800</v>
      </c>
      <c r="AE311" s="680">
        <f>+U311*K311</f>
        <v>0</v>
      </c>
      <c r="AF311" s="680">
        <f>+U311*L311</f>
        <v>0</v>
      </c>
      <c r="AG311" s="680">
        <f>+U311*M311</f>
        <v>0</v>
      </c>
      <c r="AH311" s="680">
        <f>+U311*N311</f>
        <v>0</v>
      </c>
      <c r="AI311" s="681">
        <f>+U311*O311</f>
        <v>135264</v>
      </c>
      <c r="AJ311" s="681">
        <f>+U311*P311</f>
        <v>338112</v>
      </c>
    </row>
    <row r="312" spans="1:36" hidden="1">
      <c r="A312" s="680">
        <v>2212010036</v>
      </c>
      <c r="B312" s="680" t="s">
        <v>72</v>
      </c>
      <c r="C312" s="680" t="s">
        <v>491</v>
      </c>
      <c r="D312" s="680" t="s">
        <v>490</v>
      </c>
      <c r="E312" s="680" t="s">
        <v>489</v>
      </c>
      <c r="F312" s="680" t="s">
        <v>488</v>
      </c>
      <c r="G312" s="680">
        <v>161</v>
      </c>
      <c r="H312" s="680">
        <v>402</v>
      </c>
      <c r="I312" s="680">
        <v>720</v>
      </c>
      <c r="J312" s="680">
        <v>1800</v>
      </c>
      <c r="K312" s="680">
        <v>0</v>
      </c>
      <c r="L312" s="680">
        <v>0</v>
      </c>
      <c r="M312" s="680">
        <v>0</v>
      </c>
      <c r="N312" s="680">
        <v>0</v>
      </c>
      <c r="O312" s="680">
        <f>+G312+I312+K312+M312</f>
        <v>881</v>
      </c>
      <c r="P312" s="680">
        <f>+H312+J312+L312+N312</f>
        <v>2202</v>
      </c>
      <c r="Q312" s="680" t="s">
        <v>498</v>
      </c>
      <c r="R312" s="680" t="s">
        <v>494</v>
      </c>
      <c r="S312" s="680" t="s">
        <v>8</v>
      </c>
      <c r="T312" s="680" t="s">
        <v>484</v>
      </c>
      <c r="U312" s="681">
        <v>20</v>
      </c>
      <c r="V312" s="680">
        <v>21.94</v>
      </c>
      <c r="W312" s="680" t="s">
        <v>497</v>
      </c>
      <c r="X312" s="680" t="s">
        <v>485</v>
      </c>
      <c r="Y312" s="680" t="s">
        <v>484</v>
      </c>
      <c r="Z312" s="680" t="s">
        <v>483</v>
      </c>
      <c r="AA312" s="680">
        <f>+U312*G312</f>
        <v>3220</v>
      </c>
      <c r="AB312" s="680">
        <f>+U312*H312</f>
        <v>8040</v>
      </c>
      <c r="AC312" s="680">
        <f>+U312*I312</f>
        <v>14400</v>
      </c>
      <c r="AD312" s="680">
        <f>+U312*J312</f>
        <v>36000</v>
      </c>
      <c r="AE312" s="680">
        <f>+U312*K312</f>
        <v>0</v>
      </c>
      <c r="AF312" s="680">
        <f>+U312*L312</f>
        <v>0</v>
      </c>
      <c r="AG312" s="680">
        <f>+U312*M312</f>
        <v>0</v>
      </c>
      <c r="AH312" s="680">
        <f>+U312*N312</f>
        <v>0</v>
      </c>
      <c r="AI312" s="681">
        <f>+U312*O312</f>
        <v>17620</v>
      </c>
      <c r="AJ312" s="681">
        <f>+U312*P312</f>
        <v>44040</v>
      </c>
    </row>
    <row r="313" spans="1:36" hidden="1">
      <c r="A313" s="680">
        <v>2212010037</v>
      </c>
      <c r="B313" s="680" t="s">
        <v>73</v>
      </c>
      <c r="C313" s="680" t="s">
        <v>491</v>
      </c>
      <c r="D313" s="680" t="s">
        <v>490</v>
      </c>
      <c r="E313" s="680" t="s">
        <v>489</v>
      </c>
      <c r="F313" s="680" t="s">
        <v>488</v>
      </c>
      <c r="G313" s="680">
        <v>456</v>
      </c>
      <c r="H313" s="680">
        <v>1140</v>
      </c>
      <c r="I313" s="680">
        <v>433</v>
      </c>
      <c r="J313" s="680">
        <v>1082</v>
      </c>
      <c r="K313" s="680">
        <v>0</v>
      </c>
      <c r="L313" s="680">
        <v>0</v>
      </c>
      <c r="M313" s="680">
        <v>0</v>
      </c>
      <c r="N313" s="680">
        <v>0</v>
      </c>
      <c r="O313" s="680">
        <f>+G313+I313+K313+M313</f>
        <v>889</v>
      </c>
      <c r="P313" s="680">
        <f>+H313+J313+L313+N313</f>
        <v>2222</v>
      </c>
      <c r="Q313" s="680" t="s">
        <v>498</v>
      </c>
      <c r="R313" s="680" t="s">
        <v>494</v>
      </c>
      <c r="S313" s="680" t="s">
        <v>6</v>
      </c>
      <c r="T313" s="680" t="s">
        <v>484</v>
      </c>
      <c r="U313" s="681">
        <v>20</v>
      </c>
      <c r="V313" s="680">
        <v>27.34</v>
      </c>
      <c r="W313" s="680" t="s">
        <v>497</v>
      </c>
      <c r="X313" s="680" t="s">
        <v>485</v>
      </c>
      <c r="Y313" s="680" t="s">
        <v>484</v>
      </c>
      <c r="Z313" s="680" t="s">
        <v>483</v>
      </c>
      <c r="AA313" s="680">
        <f>+U313*G313</f>
        <v>9120</v>
      </c>
      <c r="AB313" s="680">
        <f>+U313*H313</f>
        <v>22800</v>
      </c>
      <c r="AC313" s="680">
        <f>+U313*I313</f>
        <v>8660</v>
      </c>
      <c r="AD313" s="680">
        <f>+U313*J313</f>
        <v>21640</v>
      </c>
      <c r="AE313" s="680">
        <f>+U313*K313</f>
        <v>0</v>
      </c>
      <c r="AF313" s="680">
        <f>+U313*L313</f>
        <v>0</v>
      </c>
      <c r="AG313" s="680">
        <f>+U313*M313</f>
        <v>0</v>
      </c>
      <c r="AH313" s="680">
        <f>+U313*N313</f>
        <v>0</v>
      </c>
      <c r="AI313" s="681">
        <f>+U313*O313</f>
        <v>17780</v>
      </c>
      <c r="AJ313" s="681">
        <f>+U313*P313</f>
        <v>44440</v>
      </c>
    </row>
    <row r="314" spans="1:36" hidden="1">
      <c r="A314" s="680">
        <v>2212010038</v>
      </c>
      <c r="B314" s="680" t="s">
        <v>74</v>
      </c>
      <c r="C314" s="680" t="s">
        <v>491</v>
      </c>
      <c r="D314" s="680" t="s">
        <v>490</v>
      </c>
      <c r="E314" s="680" t="s">
        <v>489</v>
      </c>
      <c r="F314" s="680" t="s">
        <v>488</v>
      </c>
      <c r="G314" s="680">
        <v>540</v>
      </c>
      <c r="H314" s="680">
        <v>1350</v>
      </c>
      <c r="I314" s="680">
        <v>126</v>
      </c>
      <c r="J314" s="680">
        <v>315</v>
      </c>
      <c r="K314" s="680">
        <v>0</v>
      </c>
      <c r="L314" s="680">
        <v>0</v>
      </c>
      <c r="M314" s="680">
        <v>0</v>
      </c>
      <c r="N314" s="680">
        <v>0</v>
      </c>
      <c r="O314" s="680">
        <f>+G314+I314+K314+M314</f>
        <v>666</v>
      </c>
      <c r="P314" s="680">
        <f>+H314+J314+L314+N314</f>
        <v>1665</v>
      </c>
      <c r="Q314" s="680" t="s">
        <v>498</v>
      </c>
      <c r="R314" s="680" t="s">
        <v>494</v>
      </c>
      <c r="S314" s="680" t="s">
        <v>6</v>
      </c>
      <c r="T314" s="680" t="s">
        <v>484</v>
      </c>
      <c r="U314" s="681">
        <v>30</v>
      </c>
      <c r="V314" s="680">
        <v>34.78</v>
      </c>
      <c r="W314" s="680" t="s">
        <v>497</v>
      </c>
      <c r="X314" s="680" t="s">
        <v>485</v>
      </c>
      <c r="Y314" s="680" t="s">
        <v>484</v>
      </c>
      <c r="Z314" s="680" t="s">
        <v>483</v>
      </c>
      <c r="AA314" s="680">
        <f>+U314*G314</f>
        <v>16200</v>
      </c>
      <c r="AB314" s="680">
        <f>+U314*H314</f>
        <v>40500</v>
      </c>
      <c r="AC314" s="680">
        <f>+U314*I314</f>
        <v>3780</v>
      </c>
      <c r="AD314" s="680">
        <f>+U314*J314</f>
        <v>9450</v>
      </c>
      <c r="AE314" s="680">
        <f>+U314*K314</f>
        <v>0</v>
      </c>
      <c r="AF314" s="680">
        <f>+U314*L314</f>
        <v>0</v>
      </c>
      <c r="AG314" s="680">
        <f>+U314*M314</f>
        <v>0</v>
      </c>
      <c r="AH314" s="680">
        <f>+U314*N314</f>
        <v>0</v>
      </c>
      <c r="AI314" s="681">
        <f>+U314*O314</f>
        <v>19980</v>
      </c>
      <c r="AJ314" s="681">
        <f>+U314*P314</f>
        <v>49950</v>
      </c>
    </row>
    <row r="315" spans="1:36" hidden="1">
      <c r="A315" s="680">
        <v>2212010039</v>
      </c>
      <c r="B315" s="680" t="s">
        <v>75</v>
      </c>
      <c r="C315" s="680" t="s">
        <v>491</v>
      </c>
      <c r="D315" s="680" t="s">
        <v>490</v>
      </c>
      <c r="E315" s="680" t="s">
        <v>489</v>
      </c>
      <c r="F315" s="680" t="s">
        <v>488</v>
      </c>
      <c r="G315" s="680">
        <v>51</v>
      </c>
      <c r="H315" s="680">
        <v>126</v>
      </c>
      <c r="I315" s="680">
        <v>0</v>
      </c>
      <c r="J315" s="680">
        <v>0</v>
      </c>
      <c r="K315" s="680">
        <v>0</v>
      </c>
      <c r="L315" s="680">
        <v>0</v>
      </c>
      <c r="M315" s="680">
        <v>0</v>
      </c>
      <c r="N315" s="680">
        <v>0</v>
      </c>
      <c r="O315" s="680">
        <f>+G315+I315+K315+M315</f>
        <v>51</v>
      </c>
      <c r="P315" s="680">
        <f>+H315+J315+L315+N315</f>
        <v>126</v>
      </c>
      <c r="Q315" s="680" t="s">
        <v>498</v>
      </c>
      <c r="R315" s="680" t="s">
        <v>494</v>
      </c>
      <c r="S315" s="680" t="s">
        <v>42</v>
      </c>
      <c r="T315" s="680" t="s">
        <v>484</v>
      </c>
      <c r="U315" s="681">
        <v>15</v>
      </c>
      <c r="V315" s="680">
        <v>16.3</v>
      </c>
      <c r="W315" s="680" t="s">
        <v>497</v>
      </c>
      <c r="X315" s="680" t="s">
        <v>485</v>
      </c>
      <c r="Y315" s="680" t="s">
        <v>484</v>
      </c>
      <c r="Z315" s="680" t="s">
        <v>483</v>
      </c>
      <c r="AA315" s="680">
        <f>+U315*G315</f>
        <v>765</v>
      </c>
      <c r="AB315" s="680">
        <f>+U315*H315</f>
        <v>1890</v>
      </c>
      <c r="AC315" s="680">
        <f>+U315*I315</f>
        <v>0</v>
      </c>
      <c r="AD315" s="680">
        <f>+U315*J315</f>
        <v>0</v>
      </c>
      <c r="AE315" s="680">
        <f>+U315*K315</f>
        <v>0</v>
      </c>
      <c r="AF315" s="680">
        <f>+U315*L315</f>
        <v>0</v>
      </c>
      <c r="AG315" s="680">
        <f>+U315*M315</f>
        <v>0</v>
      </c>
      <c r="AH315" s="680">
        <f>+U315*N315</f>
        <v>0</v>
      </c>
      <c r="AI315" s="681">
        <f>+U315*O315</f>
        <v>765</v>
      </c>
      <c r="AJ315" s="681">
        <f>+U315*P315</f>
        <v>1890</v>
      </c>
    </row>
    <row r="316" spans="1:36" hidden="1">
      <c r="A316" s="680">
        <v>2212010040</v>
      </c>
      <c r="B316" s="680" t="s">
        <v>76</v>
      </c>
      <c r="C316" s="680" t="s">
        <v>491</v>
      </c>
      <c r="D316" s="680" t="s">
        <v>490</v>
      </c>
      <c r="E316" s="680" t="s">
        <v>489</v>
      </c>
      <c r="F316" s="680" t="s">
        <v>488</v>
      </c>
      <c r="G316" s="680">
        <v>1805</v>
      </c>
      <c r="H316" s="680">
        <v>4512</v>
      </c>
      <c r="I316" s="680">
        <v>90</v>
      </c>
      <c r="J316" s="680">
        <v>225</v>
      </c>
      <c r="K316" s="680">
        <v>0</v>
      </c>
      <c r="L316" s="680">
        <v>0</v>
      </c>
      <c r="M316" s="680">
        <v>0</v>
      </c>
      <c r="N316" s="680">
        <v>0</v>
      </c>
      <c r="O316" s="680">
        <f>+G316+I316+K316+M316</f>
        <v>1895</v>
      </c>
      <c r="P316" s="680">
        <f>+H316+J316+L316+N316</f>
        <v>4737</v>
      </c>
      <c r="Q316" s="680" t="s">
        <v>498</v>
      </c>
      <c r="R316" s="680" t="s">
        <v>494</v>
      </c>
      <c r="S316" s="680" t="s">
        <v>6</v>
      </c>
      <c r="T316" s="680" t="s">
        <v>484</v>
      </c>
      <c r="U316" s="681">
        <v>30</v>
      </c>
      <c r="V316" s="680">
        <v>29.25</v>
      </c>
      <c r="W316" s="680" t="s">
        <v>497</v>
      </c>
      <c r="X316" s="680" t="s">
        <v>485</v>
      </c>
      <c r="Y316" s="680" t="s">
        <v>484</v>
      </c>
      <c r="Z316" s="680" t="s">
        <v>483</v>
      </c>
      <c r="AA316" s="680">
        <f>+U316*G316</f>
        <v>54150</v>
      </c>
      <c r="AB316" s="680">
        <f>+U316*H316</f>
        <v>135360</v>
      </c>
      <c r="AC316" s="680">
        <f>+U316*I316</f>
        <v>2700</v>
      </c>
      <c r="AD316" s="680">
        <f>+U316*J316</f>
        <v>6750</v>
      </c>
      <c r="AE316" s="680">
        <f>+U316*K316</f>
        <v>0</v>
      </c>
      <c r="AF316" s="680">
        <f>+U316*L316</f>
        <v>0</v>
      </c>
      <c r="AG316" s="680">
        <f>+U316*M316</f>
        <v>0</v>
      </c>
      <c r="AH316" s="680">
        <f>+U316*N316</f>
        <v>0</v>
      </c>
      <c r="AI316" s="681">
        <f>+U316*O316</f>
        <v>56850</v>
      </c>
      <c r="AJ316" s="681">
        <f>+U316*P316</f>
        <v>142110</v>
      </c>
    </row>
    <row r="317" spans="1:36" hidden="1">
      <c r="A317" s="680">
        <v>2212010041</v>
      </c>
      <c r="B317" s="680" t="s">
        <v>77</v>
      </c>
      <c r="C317" s="680" t="s">
        <v>491</v>
      </c>
      <c r="D317" s="680" t="s">
        <v>490</v>
      </c>
      <c r="E317" s="680" t="s">
        <v>489</v>
      </c>
      <c r="F317" s="680" t="s">
        <v>488</v>
      </c>
      <c r="G317" s="680">
        <v>128</v>
      </c>
      <c r="H317" s="680">
        <v>318</v>
      </c>
      <c r="I317" s="680">
        <v>72</v>
      </c>
      <c r="J317" s="680">
        <v>180</v>
      </c>
      <c r="K317" s="680">
        <v>0</v>
      </c>
      <c r="L317" s="680">
        <v>0</v>
      </c>
      <c r="M317" s="680">
        <v>0</v>
      </c>
      <c r="N317" s="680">
        <v>0</v>
      </c>
      <c r="O317" s="680">
        <f>+G317+I317+K317+M317</f>
        <v>200</v>
      </c>
      <c r="P317" s="680">
        <f>+H317+J317+L317+N317</f>
        <v>498</v>
      </c>
      <c r="Q317" s="680" t="s">
        <v>498</v>
      </c>
      <c r="R317" s="680" t="s">
        <v>494</v>
      </c>
      <c r="S317" s="680" t="s">
        <v>6</v>
      </c>
      <c r="T317" s="680" t="s">
        <v>484</v>
      </c>
      <c r="U317" s="681">
        <v>26</v>
      </c>
      <c r="V317" s="680">
        <v>27.42</v>
      </c>
      <c r="W317" s="680" t="s">
        <v>497</v>
      </c>
      <c r="X317" s="680" t="s">
        <v>485</v>
      </c>
      <c r="Y317" s="680" t="s">
        <v>484</v>
      </c>
      <c r="Z317" s="680" t="s">
        <v>483</v>
      </c>
      <c r="AA317" s="680">
        <f>+U317*G317</f>
        <v>3328</v>
      </c>
      <c r="AB317" s="680">
        <f>+U317*H317</f>
        <v>8268</v>
      </c>
      <c r="AC317" s="680">
        <f>+U317*I317</f>
        <v>1872</v>
      </c>
      <c r="AD317" s="680">
        <f>+U317*J317</f>
        <v>4680</v>
      </c>
      <c r="AE317" s="680">
        <f>+U317*K317</f>
        <v>0</v>
      </c>
      <c r="AF317" s="680">
        <f>+U317*L317</f>
        <v>0</v>
      </c>
      <c r="AG317" s="680">
        <f>+U317*M317</f>
        <v>0</v>
      </c>
      <c r="AH317" s="680">
        <f>+U317*N317</f>
        <v>0</v>
      </c>
      <c r="AI317" s="681">
        <f>+U317*O317</f>
        <v>5200</v>
      </c>
      <c r="AJ317" s="681">
        <f>+U317*P317</f>
        <v>12948</v>
      </c>
    </row>
    <row r="318" spans="1:36" hidden="1">
      <c r="A318" s="680">
        <v>2212010042</v>
      </c>
      <c r="B318" s="680" t="s">
        <v>78</v>
      </c>
      <c r="C318" s="680" t="s">
        <v>491</v>
      </c>
      <c r="D318" s="680" t="s">
        <v>490</v>
      </c>
      <c r="E318" s="680" t="s">
        <v>489</v>
      </c>
      <c r="F318" s="680" t="s">
        <v>488</v>
      </c>
      <c r="G318" s="680">
        <v>68</v>
      </c>
      <c r="H318" s="680">
        <v>168</v>
      </c>
      <c r="I318" s="680">
        <v>108</v>
      </c>
      <c r="J318" s="680">
        <v>270</v>
      </c>
      <c r="K318" s="680">
        <v>0</v>
      </c>
      <c r="L318" s="680">
        <v>0</v>
      </c>
      <c r="M318" s="680">
        <v>0</v>
      </c>
      <c r="N318" s="680">
        <v>0</v>
      </c>
      <c r="O318" s="680">
        <f>+G318+I318+K318+M318</f>
        <v>176</v>
      </c>
      <c r="P318" s="680">
        <f>+H318+J318+L318+N318</f>
        <v>438</v>
      </c>
      <c r="Q318" s="680" t="s">
        <v>498</v>
      </c>
      <c r="R318" s="680" t="s">
        <v>494</v>
      </c>
      <c r="S318" s="680" t="s">
        <v>6</v>
      </c>
      <c r="T318" s="680" t="s">
        <v>484</v>
      </c>
      <c r="U318" s="681">
        <v>23</v>
      </c>
      <c r="V318" s="680">
        <v>25.15</v>
      </c>
      <c r="W318" s="680" t="s">
        <v>497</v>
      </c>
      <c r="X318" s="680" t="s">
        <v>485</v>
      </c>
      <c r="Y318" s="680" t="s">
        <v>484</v>
      </c>
      <c r="Z318" s="680" t="s">
        <v>483</v>
      </c>
      <c r="AA318" s="680">
        <f>+U318*G318</f>
        <v>1564</v>
      </c>
      <c r="AB318" s="680">
        <f>+U318*H318</f>
        <v>3864</v>
      </c>
      <c r="AC318" s="680">
        <f>+U318*I318</f>
        <v>2484</v>
      </c>
      <c r="AD318" s="680">
        <f>+U318*J318</f>
        <v>6210</v>
      </c>
      <c r="AE318" s="680">
        <f>+U318*K318</f>
        <v>0</v>
      </c>
      <c r="AF318" s="680">
        <f>+U318*L318</f>
        <v>0</v>
      </c>
      <c r="AG318" s="680">
        <f>+U318*M318</f>
        <v>0</v>
      </c>
      <c r="AH318" s="680">
        <f>+U318*N318</f>
        <v>0</v>
      </c>
      <c r="AI318" s="681">
        <f>+U318*O318</f>
        <v>4048</v>
      </c>
      <c r="AJ318" s="681">
        <f>+U318*P318</f>
        <v>10074</v>
      </c>
    </row>
    <row r="319" spans="1:36" hidden="1">
      <c r="A319" s="680">
        <v>2212010043</v>
      </c>
      <c r="B319" s="680" t="s">
        <v>79</v>
      </c>
      <c r="C319" s="680" t="s">
        <v>491</v>
      </c>
      <c r="D319" s="680" t="s">
        <v>490</v>
      </c>
      <c r="E319" s="680" t="s">
        <v>489</v>
      </c>
      <c r="F319" s="680" t="s">
        <v>488</v>
      </c>
      <c r="G319" s="680">
        <v>24</v>
      </c>
      <c r="H319" s="680">
        <v>60</v>
      </c>
      <c r="I319" s="680">
        <v>22</v>
      </c>
      <c r="J319" s="680">
        <v>54</v>
      </c>
      <c r="K319" s="680">
        <v>0</v>
      </c>
      <c r="L319" s="680">
        <v>0</v>
      </c>
      <c r="M319" s="680">
        <v>0</v>
      </c>
      <c r="N319" s="680">
        <v>0</v>
      </c>
      <c r="O319" s="680">
        <f>+G319+I319+K319+M319</f>
        <v>46</v>
      </c>
      <c r="P319" s="680">
        <f>+H319+J319+L319+N319</f>
        <v>114</v>
      </c>
      <c r="Q319" s="680" t="s">
        <v>498</v>
      </c>
      <c r="R319" s="680" t="s">
        <v>494</v>
      </c>
      <c r="S319" s="680" t="s">
        <v>42</v>
      </c>
      <c r="T319" s="680" t="s">
        <v>484</v>
      </c>
      <c r="U319" s="681">
        <v>17</v>
      </c>
      <c r="V319" s="680">
        <v>19.559999999999999</v>
      </c>
      <c r="W319" s="680" t="s">
        <v>497</v>
      </c>
      <c r="X319" s="680" t="s">
        <v>485</v>
      </c>
      <c r="Y319" s="680" t="s">
        <v>484</v>
      </c>
      <c r="Z319" s="680" t="s">
        <v>483</v>
      </c>
      <c r="AA319" s="680">
        <f>+U319*G319</f>
        <v>408</v>
      </c>
      <c r="AB319" s="680">
        <f>+U319*H319</f>
        <v>1020</v>
      </c>
      <c r="AC319" s="680">
        <f>+U319*I319</f>
        <v>374</v>
      </c>
      <c r="AD319" s="680">
        <f>+U319*J319</f>
        <v>918</v>
      </c>
      <c r="AE319" s="680">
        <f>+U319*K319</f>
        <v>0</v>
      </c>
      <c r="AF319" s="680">
        <f>+U319*L319</f>
        <v>0</v>
      </c>
      <c r="AG319" s="680">
        <f>+U319*M319</f>
        <v>0</v>
      </c>
      <c r="AH319" s="680">
        <f>+U319*N319</f>
        <v>0</v>
      </c>
      <c r="AI319" s="681">
        <f>+U319*O319</f>
        <v>782</v>
      </c>
      <c r="AJ319" s="681">
        <f>+U319*P319</f>
        <v>1938</v>
      </c>
    </row>
    <row r="320" spans="1:36" hidden="1">
      <c r="A320" s="680">
        <v>2212010044</v>
      </c>
      <c r="B320" s="680" t="s">
        <v>80</v>
      </c>
      <c r="C320" s="680" t="s">
        <v>491</v>
      </c>
      <c r="D320" s="680" t="s">
        <v>490</v>
      </c>
      <c r="E320" s="680" t="s">
        <v>489</v>
      </c>
      <c r="F320" s="680" t="s">
        <v>488</v>
      </c>
      <c r="G320" s="680">
        <v>10</v>
      </c>
      <c r="H320" s="680">
        <v>24</v>
      </c>
      <c r="I320" s="680">
        <v>0</v>
      </c>
      <c r="J320" s="680">
        <v>0</v>
      </c>
      <c r="K320" s="680">
        <v>0</v>
      </c>
      <c r="L320" s="680">
        <v>0</v>
      </c>
      <c r="M320" s="680">
        <v>0</v>
      </c>
      <c r="N320" s="680">
        <v>0</v>
      </c>
      <c r="O320" s="680">
        <f>+G320+I320+K320+M320</f>
        <v>10</v>
      </c>
      <c r="P320" s="680">
        <f>+H320+J320+L320+N320</f>
        <v>24</v>
      </c>
      <c r="Q320" s="680" t="s">
        <v>498</v>
      </c>
      <c r="R320" s="680" t="s">
        <v>494</v>
      </c>
      <c r="S320" s="680" t="s">
        <v>42</v>
      </c>
      <c r="T320" s="680" t="s">
        <v>484</v>
      </c>
      <c r="U320" s="681">
        <v>20</v>
      </c>
      <c r="V320" s="680">
        <v>21.74</v>
      </c>
      <c r="W320" s="680" t="s">
        <v>497</v>
      </c>
      <c r="X320" s="680" t="s">
        <v>485</v>
      </c>
      <c r="Y320" s="680" t="s">
        <v>484</v>
      </c>
      <c r="Z320" s="680" t="s">
        <v>483</v>
      </c>
      <c r="AA320" s="680">
        <f>+U320*G320</f>
        <v>200</v>
      </c>
      <c r="AB320" s="680">
        <f>+U320*H320</f>
        <v>480</v>
      </c>
      <c r="AC320" s="680">
        <f>+U320*I320</f>
        <v>0</v>
      </c>
      <c r="AD320" s="680">
        <f>+U320*J320</f>
        <v>0</v>
      </c>
      <c r="AE320" s="680">
        <f>+U320*K320</f>
        <v>0</v>
      </c>
      <c r="AF320" s="680">
        <f>+U320*L320</f>
        <v>0</v>
      </c>
      <c r="AG320" s="680">
        <f>+U320*M320</f>
        <v>0</v>
      </c>
      <c r="AH320" s="680">
        <f>+U320*N320</f>
        <v>0</v>
      </c>
      <c r="AI320" s="681">
        <f>+U320*O320</f>
        <v>200</v>
      </c>
      <c r="AJ320" s="681">
        <f>+U320*P320</f>
        <v>480</v>
      </c>
    </row>
    <row r="321" spans="1:36" hidden="1">
      <c r="A321" s="680">
        <v>2212010046</v>
      </c>
      <c r="B321" s="680" t="s">
        <v>81</v>
      </c>
      <c r="C321" s="680" t="s">
        <v>491</v>
      </c>
      <c r="D321" s="680" t="s">
        <v>490</v>
      </c>
      <c r="E321" s="680" t="s">
        <v>489</v>
      </c>
      <c r="F321" s="680" t="s">
        <v>488</v>
      </c>
      <c r="G321" s="680">
        <v>118</v>
      </c>
      <c r="H321" s="680">
        <v>294</v>
      </c>
      <c r="I321" s="680">
        <v>65</v>
      </c>
      <c r="J321" s="680">
        <v>162</v>
      </c>
      <c r="K321" s="680">
        <v>0</v>
      </c>
      <c r="L321" s="680">
        <v>0</v>
      </c>
      <c r="M321" s="680">
        <v>0</v>
      </c>
      <c r="N321" s="680">
        <v>0</v>
      </c>
      <c r="O321" s="680">
        <f>+G321+I321+K321+M321</f>
        <v>183</v>
      </c>
      <c r="P321" s="680">
        <f>+H321+J321+L321+N321</f>
        <v>456</v>
      </c>
      <c r="Q321" s="680" t="s">
        <v>498</v>
      </c>
      <c r="R321" s="680" t="s">
        <v>494</v>
      </c>
      <c r="S321" s="680" t="s">
        <v>42</v>
      </c>
      <c r="T321" s="680" t="s">
        <v>484</v>
      </c>
      <c r="U321" s="681">
        <v>27</v>
      </c>
      <c r="V321" s="680">
        <v>29.25</v>
      </c>
      <c r="W321" s="680" t="s">
        <v>497</v>
      </c>
      <c r="X321" s="680" t="s">
        <v>485</v>
      </c>
      <c r="Y321" s="680" t="s">
        <v>484</v>
      </c>
      <c r="Z321" s="680" t="s">
        <v>483</v>
      </c>
      <c r="AA321" s="680">
        <f>+U321*G321</f>
        <v>3186</v>
      </c>
      <c r="AB321" s="680">
        <f>+U321*H321</f>
        <v>7938</v>
      </c>
      <c r="AC321" s="680">
        <f>+U321*I321</f>
        <v>1755</v>
      </c>
      <c r="AD321" s="680">
        <f>+U321*J321</f>
        <v>4374</v>
      </c>
      <c r="AE321" s="680">
        <f>+U321*K321</f>
        <v>0</v>
      </c>
      <c r="AF321" s="680">
        <f>+U321*L321</f>
        <v>0</v>
      </c>
      <c r="AG321" s="680">
        <f>+U321*M321</f>
        <v>0</v>
      </c>
      <c r="AH321" s="680">
        <f>+U321*N321</f>
        <v>0</v>
      </c>
      <c r="AI321" s="681">
        <f>+U321*O321</f>
        <v>4941</v>
      </c>
      <c r="AJ321" s="681">
        <f>+U321*P321</f>
        <v>12312</v>
      </c>
    </row>
    <row r="322" spans="1:36" hidden="1">
      <c r="A322" s="680">
        <v>2212010047</v>
      </c>
      <c r="B322" s="680" t="s">
        <v>82</v>
      </c>
      <c r="C322" s="680" t="s">
        <v>491</v>
      </c>
      <c r="D322" s="680" t="s">
        <v>490</v>
      </c>
      <c r="E322" s="680" t="s">
        <v>489</v>
      </c>
      <c r="F322" s="680" t="s">
        <v>488</v>
      </c>
      <c r="G322" s="680">
        <v>3375</v>
      </c>
      <c r="H322" s="680">
        <v>8436</v>
      </c>
      <c r="I322" s="680">
        <v>1380</v>
      </c>
      <c r="J322" s="680">
        <v>3449</v>
      </c>
      <c r="K322" s="680">
        <v>0</v>
      </c>
      <c r="L322" s="680">
        <v>0</v>
      </c>
      <c r="M322" s="680">
        <v>0</v>
      </c>
      <c r="N322" s="680">
        <v>0</v>
      </c>
      <c r="O322" s="680">
        <f>+G322+I322+K322+M322</f>
        <v>4755</v>
      </c>
      <c r="P322" s="680">
        <f>+H322+J322+L322+N322</f>
        <v>11885</v>
      </c>
      <c r="Q322" s="680" t="s">
        <v>498</v>
      </c>
      <c r="R322" s="680" t="s">
        <v>494</v>
      </c>
      <c r="S322" s="680" t="s">
        <v>6</v>
      </c>
      <c r="T322" s="680" t="s">
        <v>484</v>
      </c>
      <c r="U322" s="681">
        <v>20.5</v>
      </c>
      <c r="V322" s="680">
        <v>25.23</v>
      </c>
      <c r="W322" s="680" t="s">
        <v>497</v>
      </c>
      <c r="X322" s="680" t="s">
        <v>485</v>
      </c>
      <c r="Y322" s="680" t="s">
        <v>484</v>
      </c>
      <c r="Z322" s="680" t="s">
        <v>483</v>
      </c>
      <c r="AA322" s="680">
        <f>+U322*G322</f>
        <v>69187.5</v>
      </c>
      <c r="AB322" s="680">
        <f>+U322*H322</f>
        <v>172938</v>
      </c>
      <c r="AC322" s="680">
        <f>+U322*I322</f>
        <v>28290</v>
      </c>
      <c r="AD322" s="680">
        <f>+U322*J322</f>
        <v>70704.5</v>
      </c>
      <c r="AE322" s="680">
        <f>+U322*K322</f>
        <v>0</v>
      </c>
      <c r="AF322" s="680">
        <f>+U322*L322</f>
        <v>0</v>
      </c>
      <c r="AG322" s="680">
        <f>+U322*M322</f>
        <v>0</v>
      </c>
      <c r="AH322" s="680">
        <f>+U322*N322</f>
        <v>0</v>
      </c>
      <c r="AI322" s="681">
        <f>+U322*O322</f>
        <v>97477.5</v>
      </c>
      <c r="AJ322" s="681">
        <f>+U322*P322</f>
        <v>243642.5</v>
      </c>
    </row>
    <row r="323" spans="1:36" hidden="1">
      <c r="A323" s="680">
        <v>2212010048</v>
      </c>
      <c r="B323" s="680" t="s">
        <v>83</v>
      </c>
      <c r="C323" s="680" t="s">
        <v>491</v>
      </c>
      <c r="D323" s="680" t="s">
        <v>490</v>
      </c>
      <c r="E323" s="680" t="s">
        <v>489</v>
      </c>
      <c r="F323" s="680" t="s">
        <v>488</v>
      </c>
      <c r="G323" s="680">
        <v>118</v>
      </c>
      <c r="H323" s="680">
        <v>294</v>
      </c>
      <c r="I323" s="680">
        <v>0</v>
      </c>
      <c r="J323" s="680">
        <v>0</v>
      </c>
      <c r="K323" s="680">
        <v>0</v>
      </c>
      <c r="L323" s="680">
        <v>0</v>
      </c>
      <c r="M323" s="680">
        <v>0</v>
      </c>
      <c r="N323" s="680">
        <v>0</v>
      </c>
      <c r="O323" s="680">
        <f>+G323+I323+K323+M323</f>
        <v>118</v>
      </c>
      <c r="P323" s="680">
        <f>+H323+J323+L323+N323</f>
        <v>294</v>
      </c>
      <c r="Q323" s="680" t="s">
        <v>498</v>
      </c>
      <c r="R323" s="680" t="s">
        <v>494</v>
      </c>
      <c r="S323" s="680" t="s">
        <v>6</v>
      </c>
      <c r="T323" s="680" t="s">
        <v>484</v>
      </c>
      <c r="U323" s="681">
        <v>20</v>
      </c>
      <c r="V323" s="680">
        <v>21.87</v>
      </c>
      <c r="W323" s="680" t="s">
        <v>497</v>
      </c>
      <c r="X323" s="680" t="s">
        <v>485</v>
      </c>
      <c r="Y323" s="680" t="s">
        <v>484</v>
      </c>
      <c r="Z323" s="680" t="s">
        <v>483</v>
      </c>
      <c r="AA323" s="680">
        <f>+U323*G323</f>
        <v>2360</v>
      </c>
      <c r="AB323" s="680">
        <f>+U323*H323</f>
        <v>5880</v>
      </c>
      <c r="AC323" s="680">
        <f>+U323*I323</f>
        <v>0</v>
      </c>
      <c r="AD323" s="680">
        <f>+U323*J323</f>
        <v>0</v>
      </c>
      <c r="AE323" s="680">
        <f>+U323*K323</f>
        <v>0</v>
      </c>
      <c r="AF323" s="680">
        <f>+U323*L323</f>
        <v>0</v>
      </c>
      <c r="AG323" s="680">
        <f>+U323*M323</f>
        <v>0</v>
      </c>
      <c r="AH323" s="680">
        <f>+U323*N323</f>
        <v>0</v>
      </c>
      <c r="AI323" s="681">
        <f>+U323*O323</f>
        <v>2360</v>
      </c>
      <c r="AJ323" s="681">
        <f>+U323*P323</f>
        <v>5880</v>
      </c>
    </row>
    <row r="324" spans="1:36" hidden="1">
      <c r="A324" s="680">
        <v>2212010049</v>
      </c>
      <c r="B324" s="680" t="s">
        <v>84</v>
      </c>
      <c r="C324" s="680" t="s">
        <v>491</v>
      </c>
      <c r="D324" s="680" t="s">
        <v>490</v>
      </c>
      <c r="E324" s="680" t="s">
        <v>489</v>
      </c>
      <c r="F324" s="680" t="s">
        <v>488</v>
      </c>
      <c r="G324" s="680">
        <v>2912</v>
      </c>
      <c r="H324" s="680">
        <v>7278</v>
      </c>
      <c r="I324" s="680">
        <v>1044</v>
      </c>
      <c r="J324" s="680">
        <v>2610</v>
      </c>
      <c r="K324" s="680">
        <v>0</v>
      </c>
      <c r="L324" s="680">
        <v>0</v>
      </c>
      <c r="M324" s="680">
        <v>0</v>
      </c>
      <c r="N324" s="680">
        <v>0</v>
      </c>
      <c r="O324" s="680">
        <f>+G324+I324+K324+M324</f>
        <v>3956</v>
      </c>
      <c r="P324" s="680">
        <f>+H324+J324+L324+N324</f>
        <v>9888</v>
      </c>
      <c r="Q324" s="680" t="s">
        <v>498</v>
      </c>
      <c r="R324" s="680" t="s">
        <v>494</v>
      </c>
      <c r="S324" s="680" t="s">
        <v>6</v>
      </c>
      <c r="T324" s="680" t="s">
        <v>484</v>
      </c>
      <c r="U324" s="681">
        <v>17</v>
      </c>
      <c r="V324" s="680">
        <v>19.559999999999999</v>
      </c>
      <c r="W324" s="680" t="s">
        <v>497</v>
      </c>
      <c r="X324" s="680" t="s">
        <v>485</v>
      </c>
      <c r="Y324" s="680" t="s">
        <v>484</v>
      </c>
      <c r="Z324" s="680" t="s">
        <v>483</v>
      </c>
      <c r="AA324" s="680">
        <f>+U324*G324</f>
        <v>49504</v>
      </c>
      <c r="AB324" s="680">
        <f>+U324*H324</f>
        <v>123726</v>
      </c>
      <c r="AC324" s="680">
        <f>+U324*I324</f>
        <v>17748</v>
      </c>
      <c r="AD324" s="680">
        <f>+U324*J324</f>
        <v>44370</v>
      </c>
      <c r="AE324" s="680">
        <f>+U324*K324</f>
        <v>0</v>
      </c>
      <c r="AF324" s="680">
        <f>+U324*L324</f>
        <v>0</v>
      </c>
      <c r="AG324" s="680">
        <f>+U324*M324</f>
        <v>0</v>
      </c>
      <c r="AH324" s="680">
        <f>+U324*N324</f>
        <v>0</v>
      </c>
      <c r="AI324" s="681">
        <f>+U324*O324</f>
        <v>67252</v>
      </c>
      <c r="AJ324" s="681">
        <f>+U324*P324</f>
        <v>168096</v>
      </c>
    </row>
    <row r="325" spans="1:36" hidden="1">
      <c r="A325" s="680">
        <v>2212010050</v>
      </c>
      <c r="B325" s="680" t="s">
        <v>85</v>
      </c>
      <c r="C325" s="680" t="s">
        <v>491</v>
      </c>
      <c r="D325" s="680" t="s">
        <v>490</v>
      </c>
      <c r="E325" s="680" t="s">
        <v>489</v>
      </c>
      <c r="F325" s="680" t="s">
        <v>488</v>
      </c>
      <c r="G325" s="680">
        <v>22</v>
      </c>
      <c r="H325" s="680">
        <v>54</v>
      </c>
      <c r="I325" s="680">
        <v>54</v>
      </c>
      <c r="J325" s="680">
        <v>135</v>
      </c>
      <c r="K325" s="680">
        <v>0</v>
      </c>
      <c r="L325" s="680">
        <v>0</v>
      </c>
      <c r="M325" s="680">
        <v>0</v>
      </c>
      <c r="N325" s="680">
        <v>0</v>
      </c>
      <c r="O325" s="680">
        <f>+G325+I325+K325+M325</f>
        <v>76</v>
      </c>
      <c r="P325" s="680">
        <f>+H325+J325+L325+N325</f>
        <v>189</v>
      </c>
      <c r="Q325" s="680" t="s">
        <v>498</v>
      </c>
      <c r="R325" s="680" t="s">
        <v>494</v>
      </c>
      <c r="S325" s="680" t="s">
        <v>86</v>
      </c>
      <c r="T325" s="680" t="s">
        <v>484</v>
      </c>
      <c r="U325" s="681">
        <v>23</v>
      </c>
      <c r="V325" s="680">
        <v>27.17</v>
      </c>
      <c r="W325" s="680" t="s">
        <v>497</v>
      </c>
      <c r="X325" s="680" t="s">
        <v>485</v>
      </c>
      <c r="Y325" s="680" t="s">
        <v>484</v>
      </c>
      <c r="Z325" s="680" t="s">
        <v>483</v>
      </c>
      <c r="AA325" s="680">
        <f>+U325*G325</f>
        <v>506</v>
      </c>
      <c r="AB325" s="680">
        <f>+U325*H325</f>
        <v>1242</v>
      </c>
      <c r="AC325" s="680">
        <f>+U325*I325</f>
        <v>1242</v>
      </c>
      <c r="AD325" s="680">
        <f>+U325*J325</f>
        <v>3105</v>
      </c>
      <c r="AE325" s="680">
        <f>+U325*K325</f>
        <v>0</v>
      </c>
      <c r="AF325" s="680">
        <f>+U325*L325</f>
        <v>0</v>
      </c>
      <c r="AG325" s="680">
        <f>+U325*M325</f>
        <v>0</v>
      </c>
      <c r="AH325" s="680">
        <f>+U325*N325</f>
        <v>0</v>
      </c>
      <c r="AI325" s="681">
        <f>+U325*O325</f>
        <v>1748</v>
      </c>
      <c r="AJ325" s="681">
        <f>+U325*P325</f>
        <v>4347</v>
      </c>
    </row>
    <row r="326" spans="1:36" hidden="1">
      <c r="A326" s="680">
        <v>2212010053</v>
      </c>
      <c r="B326" s="680" t="s">
        <v>87</v>
      </c>
      <c r="C326" s="680" t="s">
        <v>491</v>
      </c>
      <c r="D326" s="680" t="s">
        <v>490</v>
      </c>
      <c r="E326" s="680" t="s">
        <v>489</v>
      </c>
      <c r="F326" s="680" t="s">
        <v>488</v>
      </c>
      <c r="G326" s="680">
        <v>22</v>
      </c>
      <c r="H326" s="680">
        <v>54</v>
      </c>
      <c r="I326" s="680">
        <v>0</v>
      </c>
      <c r="J326" s="680">
        <v>0</v>
      </c>
      <c r="K326" s="680">
        <v>0</v>
      </c>
      <c r="L326" s="680">
        <v>0</v>
      </c>
      <c r="M326" s="680">
        <v>0</v>
      </c>
      <c r="N326" s="680">
        <v>0</v>
      </c>
      <c r="O326" s="680">
        <f>+G326+I326+K326+M326</f>
        <v>22</v>
      </c>
      <c r="P326" s="680">
        <f>+H326+J326+L326+N326</f>
        <v>54</v>
      </c>
      <c r="Q326" s="680" t="s">
        <v>498</v>
      </c>
      <c r="R326" s="680" t="s">
        <v>494</v>
      </c>
      <c r="S326" s="680" t="s">
        <v>42</v>
      </c>
      <c r="T326" s="680" t="s">
        <v>484</v>
      </c>
      <c r="U326" s="681">
        <v>20</v>
      </c>
      <c r="V326" s="680">
        <v>21.67</v>
      </c>
      <c r="W326" s="680" t="s">
        <v>497</v>
      </c>
      <c r="X326" s="680" t="s">
        <v>485</v>
      </c>
      <c r="Y326" s="680" t="s">
        <v>484</v>
      </c>
      <c r="Z326" s="680" t="s">
        <v>483</v>
      </c>
      <c r="AA326" s="680">
        <f>+U326*G326</f>
        <v>440</v>
      </c>
      <c r="AB326" s="680">
        <f>+U326*H326</f>
        <v>1080</v>
      </c>
      <c r="AC326" s="680">
        <f>+U326*I326</f>
        <v>0</v>
      </c>
      <c r="AD326" s="680">
        <f>+U326*J326</f>
        <v>0</v>
      </c>
      <c r="AE326" s="680">
        <f>+U326*K326</f>
        <v>0</v>
      </c>
      <c r="AF326" s="680">
        <f>+U326*L326</f>
        <v>0</v>
      </c>
      <c r="AG326" s="680">
        <f>+U326*M326</f>
        <v>0</v>
      </c>
      <c r="AH326" s="680">
        <f>+U326*N326</f>
        <v>0</v>
      </c>
      <c r="AI326" s="681">
        <f>+U326*O326</f>
        <v>440</v>
      </c>
      <c r="AJ326" s="681">
        <f>+U326*P326</f>
        <v>1080</v>
      </c>
    </row>
    <row r="327" spans="1:36" hidden="1">
      <c r="A327" s="680">
        <v>2212010054</v>
      </c>
      <c r="B327" s="680" t="s">
        <v>88</v>
      </c>
      <c r="C327" s="680" t="s">
        <v>491</v>
      </c>
      <c r="D327" s="680" t="s">
        <v>490</v>
      </c>
      <c r="E327" s="680" t="s">
        <v>489</v>
      </c>
      <c r="F327" s="680" t="s">
        <v>488</v>
      </c>
      <c r="G327" s="680">
        <v>3</v>
      </c>
      <c r="H327" s="680">
        <v>6</v>
      </c>
      <c r="I327" s="680">
        <v>0</v>
      </c>
      <c r="J327" s="680">
        <v>0</v>
      </c>
      <c r="K327" s="680">
        <v>0</v>
      </c>
      <c r="L327" s="680">
        <v>0</v>
      </c>
      <c r="M327" s="680">
        <v>0</v>
      </c>
      <c r="N327" s="680">
        <v>0</v>
      </c>
      <c r="O327" s="680">
        <f>+G327+I327+K327+M327</f>
        <v>3</v>
      </c>
      <c r="P327" s="680">
        <f>+H327+J327+L327+N327</f>
        <v>6</v>
      </c>
      <c r="Q327" s="680" t="s">
        <v>498</v>
      </c>
      <c r="R327" s="680" t="s">
        <v>494</v>
      </c>
      <c r="S327" s="680" t="s">
        <v>6</v>
      </c>
      <c r="T327" s="680" t="s">
        <v>484</v>
      </c>
      <c r="U327" s="681">
        <v>78</v>
      </c>
      <c r="V327" s="680">
        <v>87.74</v>
      </c>
      <c r="W327" s="680" t="s">
        <v>497</v>
      </c>
      <c r="X327" s="680" t="s">
        <v>485</v>
      </c>
      <c r="Y327" s="680" t="s">
        <v>484</v>
      </c>
      <c r="Z327" s="680" t="s">
        <v>483</v>
      </c>
      <c r="AA327" s="680">
        <f>+U327*G327</f>
        <v>234</v>
      </c>
      <c r="AB327" s="680">
        <f>+U327*H327</f>
        <v>468</v>
      </c>
      <c r="AC327" s="680">
        <f>+U327*I327</f>
        <v>0</v>
      </c>
      <c r="AD327" s="680">
        <f>+U327*J327</f>
        <v>0</v>
      </c>
      <c r="AE327" s="680">
        <f>+U327*K327</f>
        <v>0</v>
      </c>
      <c r="AF327" s="680">
        <f>+U327*L327</f>
        <v>0</v>
      </c>
      <c r="AG327" s="680">
        <f>+U327*M327</f>
        <v>0</v>
      </c>
      <c r="AH327" s="680">
        <f>+U327*N327</f>
        <v>0</v>
      </c>
      <c r="AI327" s="681">
        <f>+U327*O327</f>
        <v>234</v>
      </c>
      <c r="AJ327" s="681">
        <f>+U327*P327</f>
        <v>468</v>
      </c>
    </row>
    <row r="328" spans="1:36" hidden="1">
      <c r="A328" s="680">
        <v>2212010055</v>
      </c>
      <c r="B328" s="680" t="s">
        <v>89</v>
      </c>
      <c r="C328" s="680" t="s">
        <v>491</v>
      </c>
      <c r="D328" s="680" t="s">
        <v>490</v>
      </c>
      <c r="E328" s="680" t="s">
        <v>489</v>
      </c>
      <c r="F328" s="680" t="s">
        <v>488</v>
      </c>
      <c r="G328" s="680">
        <v>10</v>
      </c>
      <c r="H328" s="680">
        <v>24</v>
      </c>
      <c r="I328" s="680">
        <v>0</v>
      </c>
      <c r="J328" s="680">
        <v>0</v>
      </c>
      <c r="K328" s="680">
        <v>0</v>
      </c>
      <c r="L328" s="680">
        <v>0</v>
      </c>
      <c r="M328" s="680">
        <v>0</v>
      </c>
      <c r="N328" s="680">
        <v>0</v>
      </c>
      <c r="O328" s="680">
        <f>+G328+I328+K328+M328</f>
        <v>10</v>
      </c>
      <c r="P328" s="680">
        <f>+H328+J328+L328+N328</f>
        <v>24</v>
      </c>
      <c r="Q328" s="680" t="s">
        <v>498</v>
      </c>
      <c r="R328" s="680" t="s">
        <v>494</v>
      </c>
      <c r="S328" s="680" t="s">
        <v>6</v>
      </c>
      <c r="T328" s="680" t="s">
        <v>484</v>
      </c>
      <c r="U328" s="681">
        <v>28</v>
      </c>
      <c r="V328" s="680">
        <v>32.799999999999997</v>
      </c>
      <c r="W328" s="680" t="s">
        <v>497</v>
      </c>
      <c r="X328" s="680" t="s">
        <v>485</v>
      </c>
      <c r="Y328" s="680" t="s">
        <v>484</v>
      </c>
      <c r="Z328" s="680" t="s">
        <v>483</v>
      </c>
      <c r="AA328" s="680">
        <f>+U328*G328</f>
        <v>280</v>
      </c>
      <c r="AB328" s="680">
        <f>+U328*H328</f>
        <v>672</v>
      </c>
      <c r="AC328" s="680">
        <f>+U328*I328</f>
        <v>0</v>
      </c>
      <c r="AD328" s="680">
        <f>+U328*J328</f>
        <v>0</v>
      </c>
      <c r="AE328" s="680">
        <f>+U328*K328</f>
        <v>0</v>
      </c>
      <c r="AF328" s="680">
        <f>+U328*L328</f>
        <v>0</v>
      </c>
      <c r="AG328" s="680">
        <f>+U328*M328</f>
        <v>0</v>
      </c>
      <c r="AH328" s="680">
        <f>+U328*N328</f>
        <v>0</v>
      </c>
      <c r="AI328" s="681">
        <f>+U328*O328</f>
        <v>280</v>
      </c>
      <c r="AJ328" s="681">
        <f>+U328*P328</f>
        <v>672</v>
      </c>
    </row>
    <row r="329" spans="1:36" hidden="1">
      <c r="A329" s="680">
        <v>2212010056</v>
      </c>
      <c r="B329" s="680" t="s">
        <v>90</v>
      </c>
      <c r="C329" s="680" t="s">
        <v>491</v>
      </c>
      <c r="D329" s="680" t="s">
        <v>490</v>
      </c>
      <c r="E329" s="680" t="s">
        <v>489</v>
      </c>
      <c r="F329" s="680" t="s">
        <v>488</v>
      </c>
      <c r="G329" s="680">
        <v>8</v>
      </c>
      <c r="H329" s="680">
        <v>18</v>
      </c>
      <c r="I329" s="680">
        <v>0</v>
      </c>
      <c r="J329" s="680">
        <v>0</v>
      </c>
      <c r="K329" s="680">
        <v>0</v>
      </c>
      <c r="L329" s="680">
        <v>0</v>
      </c>
      <c r="M329" s="680">
        <v>0</v>
      </c>
      <c r="N329" s="680">
        <v>0</v>
      </c>
      <c r="O329" s="680">
        <f>+G329+I329+K329+M329</f>
        <v>8</v>
      </c>
      <c r="P329" s="680">
        <f>+H329+J329+L329+N329</f>
        <v>18</v>
      </c>
      <c r="Q329" s="680" t="s">
        <v>498</v>
      </c>
      <c r="R329" s="680" t="s">
        <v>494</v>
      </c>
      <c r="S329" s="680" t="s">
        <v>8</v>
      </c>
      <c r="T329" s="680" t="s">
        <v>484</v>
      </c>
      <c r="U329" s="681">
        <v>18</v>
      </c>
      <c r="V329" s="680">
        <v>20.65</v>
      </c>
      <c r="W329" s="680" t="s">
        <v>497</v>
      </c>
      <c r="X329" s="680" t="s">
        <v>485</v>
      </c>
      <c r="Y329" s="680" t="s">
        <v>484</v>
      </c>
      <c r="Z329" s="680" t="s">
        <v>483</v>
      </c>
      <c r="AA329" s="680">
        <f>+U329*G329</f>
        <v>144</v>
      </c>
      <c r="AB329" s="680">
        <f>+U329*H329</f>
        <v>324</v>
      </c>
      <c r="AC329" s="680">
        <f>+U329*I329</f>
        <v>0</v>
      </c>
      <c r="AD329" s="680">
        <f>+U329*J329</f>
        <v>0</v>
      </c>
      <c r="AE329" s="680">
        <f>+U329*K329</f>
        <v>0</v>
      </c>
      <c r="AF329" s="680">
        <f>+U329*L329</f>
        <v>0</v>
      </c>
      <c r="AG329" s="680">
        <f>+U329*M329</f>
        <v>0</v>
      </c>
      <c r="AH329" s="680">
        <f>+U329*N329</f>
        <v>0</v>
      </c>
      <c r="AI329" s="681">
        <f>+U329*O329</f>
        <v>144</v>
      </c>
      <c r="AJ329" s="681">
        <f>+U329*P329</f>
        <v>324</v>
      </c>
    </row>
    <row r="330" spans="1:36" hidden="1">
      <c r="A330" s="680">
        <v>2212010057</v>
      </c>
      <c r="B330" s="680" t="s">
        <v>91</v>
      </c>
      <c r="C330" s="680" t="s">
        <v>491</v>
      </c>
      <c r="D330" s="680" t="s">
        <v>490</v>
      </c>
      <c r="E330" s="680" t="s">
        <v>489</v>
      </c>
      <c r="F330" s="680" t="s">
        <v>488</v>
      </c>
      <c r="G330" s="680">
        <v>29</v>
      </c>
      <c r="H330" s="680">
        <v>72</v>
      </c>
      <c r="I330" s="680">
        <v>0</v>
      </c>
      <c r="J330" s="680">
        <v>0</v>
      </c>
      <c r="K330" s="680">
        <v>0</v>
      </c>
      <c r="L330" s="680">
        <v>0</v>
      </c>
      <c r="M330" s="680">
        <v>0</v>
      </c>
      <c r="N330" s="680">
        <v>0</v>
      </c>
      <c r="O330" s="680">
        <f>+G330+I330+K330+M330</f>
        <v>29</v>
      </c>
      <c r="P330" s="680">
        <f>+H330+J330+L330+N330</f>
        <v>72</v>
      </c>
      <c r="Q330" s="680" t="s">
        <v>498</v>
      </c>
      <c r="R330" s="680" t="s">
        <v>494</v>
      </c>
      <c r="S330" s="680" t="s">
        <v>8</v>
      </c>
      <c r="T330" s="680" t="s">
        <v>484</v>
      </c>
      <c r="U330" s="681">
        <v>18</v>
      </c>
      <c r="V330" s="680">
        <v>20.65</v>
      </c>
      <c r="W330" s="680" t="s">
        <v>497</v>
      </c>
      <c r="X330" s="680" t="s">
        <v>485</v>
      </c>
      <c r="Y330" s="680" t="s">
        <v>484</v>
      </c>
      <c r="Z330" s="680" t="s">
        <v>483</v>
      </c>
      <c r="AA330" s="680">
        <f>+U330*G330</f>
        <v>522</v>
      </c>
      <c r="AB330" s="680">
        <f>+U330*H330</f>
        <v>1296</v>
      </c>
      <c r="AC330" s="680">
        <f>+U330*I330</f>
        <v>0</v>
      </c>
      <c r="AD330" s="680">
        <f>+U330*J330</f>
        <v>0</v>
      </c>
      <c r="AE330" s="680">
        <f>+U330*K330</f>
        <v>0</v>
      </c>
      <c r="AF330" s="680">
        <f>+U330*L330</f>
        <v>0</v>
      </c>
      <c r="AG330" s="680">
        <f>+U330*M330</f>
        <v>0</v>
      </c>
      <c r="AH330" s="680">
        <f>+U330*N330</f>
        <v>0</v>
      </c>
      <c r="AI330" s="681">
        <f>+U330*O330</f>
        <v>522</v>
      </c>
      <c r="AJ330" s="681">
        <f>+U330*P330</f>
        <v>1296</v>
      </c>
    </row>
    <row r="331" spans="1:36" hidden="1">
      <c r="A331" s="680">
        <v>2212010058</v>
      </c>
      <c r="B331" s="680" t="s">
        <v>92</v>
      </c>
      <c r="C331" s="680" t="s">
        <v>491</v>
      </c>
      <c r="D331" s="680" t="s">
        <v>490</v>
      </c>
      <c r="E331" s="680" t="s">
        <v>489</v>
      </c>
      <c r="F331" s="680" t="s">
        <v>488</v>
      </c>
      <c r="G331" s="680">
        <v>68</v>
      </c>
      <c r="H331" s="680">
        <v>168</v>
      </c>
      <c r="I331" s="680">
        <v>0</v>
      </c>
      <c r="J331" s="680">
        <v>0</v>
      </c>
      <c r="K331" s="680">
        <v>0</v>
      </c>
      <c r="L331" s="680">
        <v>0</v>
      </c>
      <c r="M331" s="680">
        <v>0</v>
      </c>
      <c r="N331" s="680">
        <v>0</v>
      </c>
      <c r="O331" s="680">
        <f>+G331+I331+K331+M331</f>
        <v>68</v>
      </c>
      <c r="P331" s="680">
        <f>+H331+J331+L331+N331</f>
        <v>168</v>
      </c>
      <c r="Q331" s="680" t="s">
        <v>498</v>
      </c>
      <c r="R331" s="680" t="s">
        <v>494</v>
      </c>
      <c r="S331" s="680" t="s">
        <v>6</v>
      </c>
      <c r="T331" s="680" t="s">
        <v>484</v>
      </c>
      <c r="U331" s="681">
        <v>25</v>
      </c>
      <c r="V331" s="680">
        <v>27.09</v>
      </c>
      <c r="W331" s="680" t="s">
        <v>497</v>
      </c>
      <c r="X331" s="680" t="s">
        <v>485</v>
      </c>
      <c r="Y331" s="680" t="s">
        <v>484</v>
      </c>
      <c r="Z331" s="680" t="s">
        <v>483</v>
      </c>
      <c r="AA331" s="680">
        <f>+U331*G331</f>
        <v>1700</v>
      </c>
      <c r="AB331" s="680">
        <f>+U331*H331</f>
        <v>4200</v>
      </c>
      <c r="AC331" s="680">
        <f>+U331*I331</f>
        <v>0</v>
      </c>
      <c r="AD331" s="680">
        <f>+U331*J331</f>
        <v>0</v>
      </c>
      <c r="AE331" s="680">
        <f>+U331*K331</f>
        <v>0</v>
      </c>
      <c r="AF331" s="680">
        <f>+U331*L331</f>
        <v>0</v>
      </c>
      <c r="AG331" s="680">
        <f>+U331*M331</f>
        <v>0</v>
      </c>
      <c r="AH331" s="680">
        <f>+U331*N331</f>
        <v>0</v>
      </c>
      <c r="AI331" s="681">
        <f>+U331*O331</f>
        <v>1700</v>
      </c>
      <c r="AJ331" s="681">
        <f>+U331*P331</f>
        <v>4200</v>
      </c>
    </row>
    <row r="332" spans="1:36" hidden="1">
      <c r="A332" s="680">
        <v>2212010060</v>
      </c>
      <c r="B332" s="680" t="s">
        <v>93</v>
      </c>
      <c r="C332" s="680" t="s">
        <v>491</v>
      </c>
      <c r="D332" s="680" t="s">
        <v>490</v>
      </c>
      <c r="E332" s="680" t="s">
        <v>489</v>
      </c>
      <c r="F332" s="680" t="s">
        <v>488</v>
      </c>
      <c r="G332" s="680">
        <v>3</v>
      </c>
      <c r="H332" s="680">
        <v>6</v>
      </c>
      <c r="I332" s="680">
        <v>0</v>
      </c>
      <c r="J332" s="680">
        <v>0</v>
      </c>
      <c r="K332" s="680">
        <v>0</v>
      </c>
      <c r="L332" s="680">
        <v>0</v>
      </c>
      <c r="M332" s="680">
        <v>0</v>
      </c>
      <c r="N332" s="680">
        <v>0</v>
      </c>
      <c r="O332" s="680">
        <f>+G332+I332+K332+M332</f>
        <v>3</v>
      </c>
      <c r="P332" s="680">
        <f>+H332+J332+L332+N332</f>
        <v>6</v>
      </c>
      <c r="Q332" s="680" t="s">
        <v>498</v>
      </c>
      <c r="R332" s="680" t="s">
        <v>494</v>
      </c>
      <c r="S332" s="680" t="s">
        <v>6</v>
      </c>
      <c r="T332" s="680" t="s">
        <v>484</v>
      </c>
      <c r="U332" s="681">
        <v>24</v>
      </c>
      <c r="V332" s="680">
        <v>87.74</v>
      </c>
      <c r="W332" s="680" t="s">
        <v>497</v>
      </c>
      <c r="X332" s="680" t="s">
        <v>485</v>
      </c>
      <c r="Y332" s="680" t="s">
        <v>484</v>
      </c>
      <c r="Z332" s="680" t="s">
        <v>483</v>
      </c>
      <c r="AA332" s="680">
        <f>+U332*G332</f>
        <v>72</v>
      </c>
      <c r="AB332" s="680">
        <f>+U332*H332</f>
        <v>144</v>
      </c>
      <c r="AC332" s="680">
        <f>+U332*I332</f>
        <v>0</v>
      </c>
      <c r="AD332" s="680">
        <f>+U332*J332</f>
        <v>0</v>
      </c>
      <c r="AE332" s="680">
        <f>+U332*K332</f>
        <v>0</v>
      </c>
      <c r="AF332" s="680">
        <f>+U332*L332</f>
        <v>0</v>
      </c>
      <c r="AG332" s="680">
        <f>+U332*M332</f>
        <v>0</v>
      </c>
      <c r="AH332" s="680">
        <f>+U332*N332</f>
        <v>0</v>
      </c>
      <c r="AI332" s="681">
        <f>+U332*O332</f>
        <v>72</v>
      </c>
      <c r="AJ332" s="681">
        <f>+U332*P332</f>
        <v>144</v>
      </c>
    </row>
    <row r="333" spans="1:36" hidden="1">
      <c r="A333" s="680">
        <v>2212011002</v>
      </c>
      <c r="B333" s="680" t="s">
        <v>505</v>
      </c>
      <c r="C333" s="680" t="s">
        <v>491</v>
      </c>
      <c r="D333" s="680" t="s">
        <v>490</v>
      </c>
      <c r="E333" s="680" t="s">
        <v>489</v>
      </c>
      <c r="F333" s="680" t="s">
        <v>488</v>
      </c>
      <c r="G333" s="680">
        <v>39</v>
      </c>
      <c r="H333" s="680">
        <v>96</v>
      </c>
      <c r="I333" s="680">
        <v>27</v>
      </c>
      <c r="J333" s="680">
        <v>67</v>
      </c>
      <c r="K333" s="680">
        <v>0</v>
      </c>
      <c r="L333" s="680">
        <v>0</v>
      </c>
      <c r="M333" s="680">
        <v>0</v>
      </c>
      <c r="N333" s="680">
        <v>0</v>
      </c>
      <c r="O333" s="680">
        <f>+G333+I333+K333+M333</f>
        <v>66</v>
      </c>
      <c r="P333" s="680">
        <f>+H333+J333+L333+N333</f>
        <v>163</v>
      </c>
      <c r="Q333" s="680" t="s">
        <v>495</v>
      </c>
      <c r="R333" s="680" t="s">
        <v>494</v>
      </c>
      <c r="S333" s="680" t="s">
        <v>86</v>
      </c>
      <c r="T333" s="680" t="s">
        <v>484</v>
      </c>
      <c r="U333" s="681">
        <v>188</v>
      </c>
      <c r="V333" s="680">
        <v>193.52</v>
      </c>
      <c r="W333" s="680" t="s">
        <v>493</v>
      </c>
      <c r="X333" s="680" t="s">
        <v>485</v>
      </c>
      <c r="Y333" s="680" t="s">
        <v>484</v>
      </c>
      <c r="Z333" s="680" t="s">
        <v>483</v>
      </c>
      <c r="AA333" s="680">
        <f>+U333*G333</f>
        <v>7332</v>
      </c>
      <c r="AB333" s="680">
        <f>+U333*H333</f>
        <v>18048</v>
      </c>
      <c r="AC333" s="680">
        <f>+U333*I333</f>
        <v>5076</v>
      </c>
      <c r="AD333" s="680">
        <f>+U333*J333</f>
        <v>12596</v>
      </c>
      <c r="AE333" s="680">
        <f>+U333*K333</f>
        <v>0</v>
      </c>
      <c r="AF333" s="680">
        <f>+U333*L333</f>
        <v>0</v>
      </c>
      <c r="AG333" s="680">
        <f>+U333*M333</f>
        <v>0</v>
      </c>
      <c r="AH333" s="680">
        <f>+U333*N333</f>
        <v>0</v>
      </c>
      <c r="AI333" s="681">
        <f>+U333*O333</f>
        <v>12408</v>
      </c>
      <c r="AJ333" s="681">
        <f>+U333*P333</f>
        <v>30644</v>
      </c>
    </row>
    <row r="334" spans="1:36" hidden="1">
      <c r="A334" s="680">
        <v>2212011003</v>
      </c>
      <c r="B334" s="680" t="s">
        <v>274</v>
      </c>
      <c r="C334" s="680" t="s">
        <v>491</v>
      </c>
      <c r="D334" s="680" t="s">
        <v>490</v>
      </c>
      <c r="E334" s="680" t="s">
        <v>489</v>
      </c>
      <c r="F334" s="680" t="s">
        <v>488</v>
      </c>
      <c r="G334" s="680">
        <v>252</v>
      </c>
      <c r="H334" s="680">
        <v>630</v>
      </c>
      <c r="I334" s="680">
        <v>15</v>
      </c>
      <c r="J334" s="680">
        <v>36</v>
      </c>
      <c r="K334" s="680">
        <v>0</v>
      </c>
      <c r="L334" s="680">
        <v>0</v>
      </c>
      <c r="M334" s="680">
        <v>0</v>
      </c>
      <c r="N334" s="680">
        <v>0</v>
      </c>
      <c r="O334" s="680">
        <f>+G334+I334+K334+M334</f>
        <v>267</v>
      </c>
      <c r="P334" s="680">
        <f>+H334+J334+L334+N334</f>
        <v>666</v>
      </c>
      <c r="Q334" s="680" t="s">
        <v>495</v>
      </c>
      <c r="R334" s="680" t="s">
        <v>494</v>
      </c>
      <c r="S334" s="680" t="s">
        <v>6</v>
      </c>
      <c r="T334" s="680" t="s">
        <v>484</v>
      </c>
      <c r="U334" s="681">
        <v>68</v>
      </c>
      <c r="V334" s="680">
        <v>70.64</v>
      </c>
      <c r="W334" s="680" t="s">
        <v>493</v>
      </c>
      <c r="X334" s="680" t="s">
        <v>485</v>
      </c>
      <c r="Y334" s="680" t="s">
        <v>484</v>
      </c>
      <c r="Z334" s="680" t="s">
        <v>483</v>
      </c>
      <c r="AA334" s="680">
        <f>+U334*G334</f>
        <v>17136</v>
      </c>
      <c r="AB334" s="680">
        <f>+U334*H334</f>
        <v>42840</v>
      </c>
      <c r="AC334" s="680">
        <f>+U334*I334</f>
        <v>1020</v>
      </c>
      <c r="AD334" s="680">
        <f>+U334*J334</f>
        <v>2448</v>
      </c>
      <c r="AE334" s="680">
        <f>+U334*K334</f>
        <v>0</v>
      </c>
      <c r="AF334" s="680">
        <f>+U334*L334</f>
        <v>0</v>
      </c>
      <c r="AG334" s="680">
        <f>+U334*M334</f>
        <v>0</v>
      </c>
      <c r="AH334" s="680">
        <f>+U334*N334</f>
        <v>0</v>
      </c>
      <c r="AI334" s="681">
        <f>+U334*O334</f>
        <v>18156</v>
      </c>
      <c r="AJ334" s="681">
        <f>+U334*P334</f>
        <v>45288</v>
      </c>
    </row>
    <row r="335" spans="1:36" hidden="1">
      <c r="A335" s="680">
        <v>2212011004</v>
      </c>
      <c r="B335" s="680" t="s">
        <v>275</v>
      </c>
      <c r="C335" s="680" t="s">
        <v>491</v>
      </c>
      <c r="D335" s="680" t="s">
        <v>490</v>
      </c>
      <c r="E335" s="680" t="s">
        <v>489</v>
      </c>
      <c r="F335" s="680" t="s">
        <v>488</v>
      </c>
      <c r="G335" s="680">
        <v>142</v>
      </c>
      <c r="H335" s="680">
        <v>354</v>
      </c>
      <c r="I335" s="680">
        <v>143</v>
      </c>
      <c r="J335" s="680">
        <v>356</v>
      </c>
      <c r="K335" s="680">
        <v>0</v>
      </c>
      <c r="L335" s="680">
        <v>0</v>
      </c>
      <c r="M335" s="680">
        <v>0</v>
      </c>
      <c r="N335" s="680">
        <v>0</v>
      </c>
      <c r="O335" s="680">
        <f>+G335+I335+K335+M335</f>
        <v>285</v>
      </c>
      <c r="P335" s="680">
        <f>+H335+J335+L335+N335</f>
        <v>710</v>
      </c>
      <c r="Q335" s="680" t="s">
        <v>495</v>
      </c>
      <c r="R335" s="680" t="s">
        <v>494</v>
      </c>
      <c r="S335" s="680" t="s">
        <v>6</v>
      </c>
      <c r="T335" s="680" t="s">
        <v>484</v>
      </c>
      <c r="U335" s="681">
        <v>102</v>
      </c>
      <c r="V335" s="680">
        <v>108.13</v>
      </c>
      <c r="W335" s="680" t="s">
        <v>493</v>
      </c>
      <c r="X335" s="680" t="s">
        <v>485</v>
      </c>
      <c r="Y335" s="680" t="s">
        <v>484</v>
      </c>
      <c r="Z335" s="680" t="s">
        <v>483</v>
      </c>
      <c r="AA335" s="680">
        <f>+U335*G335</f>
        <v>14484</v>
      </c>
      <c r="AB335" s="680">
        <f>+U335*H335</f>
        <v>36108</v>
      </c>
      <c r="AC335" s="680">
        <f>+U335*I335</f>
        <v>14586</v>
      </c>
      <c r="AD335" s="680">
        <f>+U335*J335</f>
        <v>36312</v>
      </c>
      <c r="AE335" s="680">
        <f>+U335*K335</f>
        <v>0</v>
      </c>
      <c r="AF335" s="680">
        <f>+U335*L335</f>
        <v>0</v>
      </c>
      <c r="AG335" s="680">
        <f>+U335*M335</f>
        <v>0</v>
      </c>
      <c r="AH335" s="680">
        <f>+U335*N335</f>
        <v>0</v>
      </c>
      <c r="AI335" s="681">
        <f>+U335*O335</f>
        <v>29070</v>
      </c>
      <c r="AJ335" s="681">
        <f>+U335*P335</f>
        <v>72420</v>
      </c>
    </row>
    <row r="336" spans="1:36" hidden="1">
      <c r="A336" s="680">
        <v>2212011006</v>
      </c>
      <c r="B336" s="680" t="s">
        <v>276</v>
      </c>
      <c r="C336" s="680" t="s">
        <v>491</v>
      </c>
      <c r="D336" s="680" t="s">
        <v>490</v>
      </c>
      <c r="E336" s="680" t="s">
        <v>489</v>
      </c>
      <c r="F336" s="680" t="s">
        <v>488</v>
      </c>
      <c r="G336" s="680">
        <v>72</v>
      </c>
      <c r="H336" s="680">
        <v>180</v>
      </c>
      <c r="I336" s="680">
        <v>0</v>
      </c>
      <c r="J336" s="680">
        <v>0</v>
      </c>
      <c r="K336" s="680">
        <v>0</v>
      </c>
      <c r="L336" s="680">
        <v>0</v>
      </c>
      <c r="M336" s="680">
        <v>0</v>
      </c>
      <c r="N336" s="680">
        <v>0</v>
      </c>
      <c r="O336" s="680">
        <f>+G336+I336+K336+M336</f>
        <v>72</v>
      </c>
      <c r="P336" s="680">
        <f>+H336+J336+L336+N336</f>
        <v>180</v>
      </c>
      <c r="Q336" s="680" t="s">
        <v>495</v>
      </c>
      <c r="R336" s="680" t="s">
        <v>494</v>
      </c>
      <c r="S336" s="680" t="s">
        <v>6</v>
      </c>
      <c r="T336" s="680" t="s">
        <v>484</v>
      </c>
      <c r="U336" s="681">
        <v>61</v>
      </c>
      <c r="V336" s="680">
        <v>65</v>
      </c>
      <c r="W336" s="680" t="s">
        <v>493</v>
      </c>
      <c r="X336" s="680" t="s">
        <v>485</v>
      </c>
      <c r="Y336" s="680" t="s">
        <v>484</v>
      </c>
      <c r="Z336" s="680" t="s">
        <v>483</v>
      </c>
      <c r="AA336" s="680">
        <f>+U336*G336</f>
        <v>4392</v>
      </c>
      <c r="AB336" s="680">
        <f>+U336*H336</f>
        <v>10980</v>
      </c>
      <c r="AC336" s="680">
        <f>+U336*I336</f>
        <v>0</v>
      </c>
      <c r="AD336" s="680">
        <f>+U336*J336</f>
        <v>0</v>
      </c>
      <c r="AE336" s="680">
        <f>+U336*K336</f>
        <v>0</v>
      </c>
      <c r="AF336" s="680">
        <f>+U336*L336</f>
        <v>0</v>
      </c>
      <c r="AG336" s="680">
        <f>+U336*M336</f>
        <v>0</v>
      </c>
      <c r="AH336" s="680">
        <f>+U336*N336</f>
        <v>0</v>
      </c>
      <c r="AI336" s="681">
        <f>+U336*O336</f>
        <v>4392</v>
      </c>
      <c r="AJ336" s="681">
        <f>+U336*P336</f>
        <v>10980</v>
      </c>
    </row>
    <row r="337" spans="1:36" hidden="1">
      <c r="A337" s="680">
        <v>2212011008</v>
      </c>
      <c r="B337" s="680" t="s">
        <v>278</v>
      </c>
      <c r="C337" s="680" t="s">
        <v>491</v>
      </c>
      <c r="D337" s="680" t="s">
        <v>490</v>
      </c>
      <c r="E337" s="680" t="s">
        <v>489</v>
      </c>
      <c r="F337" s="680" t="s">
        <v>488</v>
      </c>
      <c r="G337" s="680">
        <v>176</v>
      </c>
      <c r="H337" s="680">
        <v>438</v>
      </c>
      <c r="I337" s="680">
        <v>130</v>
      </c>
      <c r="J337" s="680">
        <v>324</v>
      </c>
      <c r="K337" s="680">
        <v>0</v>
      </c>
      <c r="L337" s="680">
        <v>0</v>
      </c>
      <c r="M337" s="680">
        <v>0</v>
      </c>
      <c r="N337" s="680">
        <v>0</v>
      </c>
      <c r="O337" s="680">
        <f>+G337+I337+K337+M337</f>
        <v>306</v>
      </c>
      <c r="P337" s="680">
        <f>+H337+J337+L337+N337</f>
        <v>762</v>
      </c>
      <c r="Q337" s="680" t="s">
        <v>495</v>
      </c>
      <c r="R337" s="680" t="s">
        <v>494</v>
      </c>
      <c r="S337" s="680" t="s">
        <v>6</v>
      </c>
      <c r="T337" s="680" t="s">
        <v>484</v>
      </c>
      <c r="U337" s="681">
        <v>75</v>
      </c>
      <c r="V337" s="680">
        <v>80.06</v>
      </c>
      <c r="W337" s="680" t="s">
        <v>493</v>
      </c>
      <c r="X337" s="680" t="s">
        <v>485</v>
      </c>
      <c r="Y337" s="680" t="s">
        <v>484</v>
      </c>
      <c r="Z337" s="680" t="s">
        <v>483</v>
      </c>
      <c r="AA337" s="680">
        <f>+U337*G337</f>
        <v>13200</v>
      </c>
      <c r="AB337" s="680">
        <f>+U337*H337</f>
        <v>32850</v>
      </c>
      <c r="AC337" s="680">
        <f>+U337*I337</f>
        <v>9750</v>
      </c>
      <c r="AD337" s="680">
        <f>+U337*J337</f>
        <v>24300</v>
      </c>
      <c r="AE337" s="680">
        <f>+U337*K337</f>
        <v>0</v>
      </c>
      <c r="AF337" s="680">
        <f>+U337*L337</f>
        <v>0</v>
      </c>
      <c r="AG337" s="680">
        <f>+U337*M337</f>
        <v>0</v>
      </c>
      <c r="AH337" s="680">
        <f>+U337*N337</f>
        <v>0</v>
      </c>
      <c r="AI337" s="681">
        <f>+U337*O337</f>
        <v>22950</v>
      </c>
      <c r="AJ337" s="681">
        <f>+U337*P337</f>
        <v>57150</v>
      </c>
    </row>
    <row r="338" spans="1:36" hidden="1">
      <c r="A338" s="680">
        <v>2212011009</v>
      </c>
      <c r="B338" s="680" t="s">
        <v>279</v>
      </c>
      <c r="C338" s="680" t="s">
        <v>491</v>
      </c>
      <c r="D338" s="680" t="s">
        <v>490</v>
      </c>
      <c r="E338" s="680" t="s">
        <v>489</v>
      </c>
      <c r="F338" s="680" t="s">
        <v>488</v>
      </c>
      <c r="G338" s="680">
        <v>233</v>
      </c>
      <c r="H338" s="680">
        <v>582</v>
      </c>
      <c r="I338" s="680">
        <v>135</v>
      </c>
      <c r="J338" s="680">
        <v>337</v>
      </c>
      <c r="K338" s="680">
        <v>0</v>
      </c>
      <c r="L338" s="680">
        <v>0</v>
      </c>
      <c r="M338" s="680">
        <v>0</v>
      </c>
      <c r="N338" s="680">
        <v>0</v>
      </c>
      <c r="O338" s="680">
        <f>+G338+I338+K338+M338</f>
        <v>368</v>
      </c>
      <c r="P338" s="680">
        <f>+H338+J338+L338+N338</f>
        <v>919</v>
      </c>
      <c r="Q338" s="680" t="s">
        <v>495</v>
      </c>
      <c r="R338" s="680" t="s">
        <v>494</v>
      </c>
      <c r="S338" s="680" t="s">
        <v>6</v>
      </c>
      <c r="T338" s="680" t="s">
        <v>484</v>
      </c>
      <c r="U338" s="681">
        <v>75</v>
      </c>
      <c r="V338" s="680">
        <v>79.819999999999993</v>
      </c>
      <c r="W338" s="680" t="s">
        <v>493</v>
      </c>
      <c r="X338" s="680" t="s">
        <v>485</v>
      </c>
      <c r="Y338" s="680" t="s">
        <v>484</v>
      </c>
      <c r="Z338" s="680" t="s">
        <v>483</v>
      </c>
      <c r="AA338" s="680">
        <f>+U338*G338</f>
        <v>17475</v>
      </c>
      <c r="AB338" s="680">
        <f>+U338*H338</f>
        <v>43650</v>
      </c>
      <c r="AC338" s="680">
        <f>+U338*I338</f>
        <v>10125</v>
      </c>
      <c r="AD338" s="680">
        <f>+U338*J338</f>
        <v>25275</v>
      </c>
      <c r="AE338" s="680">
        <f>+U338*K338</f>
        <v>0</v>
      </c>
      <c r="AF338" s="680">
        <f>+U338*L338</f>
        <v>0</v>
      </c>
      <c r="AG338" s="680">
        <f>+U338*M338</f>
        <v>0</v>
      </c>
      <c r="AH338" s="680">
        <f>+U338*N338</f>
        <v>0</v>
      </c>
      <c r="AI338" s="681">
        <f>+U338*O338</f>
        <v>27600</v>
      </c>
      <c r="AJ338" s="681">
        <f>+U338*P338</f>
        <v>68925</v>
      </c>
    </row>
    <row r="339" spans="1:36" hidden="1">
      <c r="A339" s="680">
        <v>2212011011</v>
      </c>
      <c r="B339" s="680" t="s">
        <v>281</v>
      </c>
      <c r="C339" s="680" t="s">
        <v>491</v>
      </c>
      <c r="D339" s="680" t="s">
        <v>490</v>
      </c>
      <c r="E339" s="680" t="s">
        <v>489</v>
      </c>
      <c r="F339" s="680" t="s">
        <v>488</v>
      </c>
      <c r="G339" s="680">
        <v>96</v>
      </c>
      <c r="H339" s="680">
        <v>240</v>
      </c>
      <c r="I339" s="680">
        <v>47</v>
      </c>
      <c r="J339" s="680">
        <v>117</v>
      </c>
      <c r="K339" s="680">
        <v>0</v>
      </c>
      <c r="L339" s="680">
        <v>0</v>
      </c>
      <c r="M339" s="680">
        <v>0</v>
      </c>
      <c r="N339" s="680">
        <v>0</v>
      </c>
      <c r="O339" s="680">
        <f>+G339+I339+K339+M339</f>
        <v>143</v>
      </c>
      <c r="P339" s="680">
        <f>+H339+J339+L339+N339</f>
        <v>357</v>
      </c>
      <c r="Q339" s="680" t="s">
        <v>495</v>
      </c>
      <c r="R339" s="680" t="s">
        <v>494</v>
      </c>
      <c r="S339" s="680" t="s">
        <v>6</v>
      </c>
      <c r="T339" s="680" t="s">
        <v>484</v>
      </c>
      <c r="U339" s="681">
        <v>78</v>
      </c>
      <c r="V339" s="680">
        <v>81.5</v>
      </c>
      <c r="W339" s="680" t="s">
        <v>493</v>
      </c>
      <c r="X339" s="680" t="s">
        <v>485</v>
      </c>
      <c r="Y339" s="680" t="s">
        <v>484</v>
      </c>
      <c r="Z339" s="680" t="s">
        <v>483</v>
      </c>
      <c r="AA339" s="680">
        <f>+U339*G339</f>
        <v>7488</v>
      </c>
      <c r="AB339" s="680">
        <f>+U339*H339</f>
        <v>18720</v>
      </c>
      <c r="AC339" s="680">
        <f>+U339*I339</f>
        <v>3666</v>
      </c>
      <c r="AD339" s="680">
        <f>+U339*J339</f>
        <v>9126</v>
      </c>
      <c r="AE339" s="680">
        <f>+U339*K339</f>
        <v>0</v>
      </c>
      <c r="AF339" s="680">
        <f>+U339*L339</f>
        <v>0</v>
      </c>
      <c r="AG339" s="680">
        <f>+U339*M339</f>
        <v>0</v>
      </c>
      <c r="AH339" s="680">
        <f>+U339*N339</f>
        <v>0</v>
      </c>
      <c r="AI339" s="681">
        <f>+U339*O339</f>
        <v>11154</v>
      </c>
      <c r="AJ339" s="681">
        <f>+U339*P339</f>
        <v>27846</v>
      </c>
    </row>
    <row r="340" spans="1:36" hidden="1">
      <c r="A340" s="680">
        <v>2212011012</v>
      </c>
      <c r="B340" s="680" t="s">
        <v>282</v>
      </c>
      <c r="C340" s="680" t="s">
        <v>491</v>
      </c>
      <c r="D340" s="680" t="s">
        <v>490</v>
      </c>
      <c r="E340" s="680" t="s">
        <v>489</v>
      </c>
      <c r="F340" s="680" t="s">
        <v>488</v>
      </c>
      <c r="G340" s="680">
        <v>80</v>
      </c>
      <c r="H340" s="680">
        <v>198</v>
      </c>
      <c r="I340" s="680">
        <v>15</v>
      </c>
      <c r="J340" s="680">
        <v>36</v>
      </c>
      <c r="K340" s="680">
        <v>0</v>
      </c>
      <c r="L340" s="680">
        <v>0</v>
      </c>
      <c r="M340" s="680">
        <v>0</v>
      </c>
      <c r="N340" s="680">
        <v>0</v>
      </c>
      <c r="O340" s="680">
        <f>+G340+I340+K340+M340</f>
        <v>95</v>
      </c>
      <c r="P340" s="680">
        <f>+H340+J340+L340+N340</f>
        <v>234</v>
      </c>
      <c r="Q340" s="680" t="s">
        <v>495</v>
      </c>
      <c r="R340" s="680" t="s">
        <v>494</v>
      </c>
      <c r="S340" s="680" t="s">
        <v>6</v>
      </c>
      <c r="T340" s="680" t="s">
        <v>484</v>
      </c>
      <c r="U340" s="681">
        <v>72</v>
      </c>
      <c r="V340" s="680">
        <v>76.069999999999993</v>
      </c>
      <c r="W340" s="680" t="s">
        <v>493</v>
      </c>
      <c r="X340" s="680" t="s">
        <v>485</v>
      </c>
      <c r="Y340" s="680" t="s">
        <v>484</v>
      </c>
      <c r="Z340" s="680" t="s">
        <v>483</v>
      </c>
      <c r="AA340" s="680">
        <f>+U340*G340</f>
        <v>5760</v>
      </c>
      <c r="AB340" s="680">
        <f>+U340*H340</f>
        <v>14256</v>
      </c>
      <c r="AC340" s="680">
        <f>+U340*I340</f>
        <v>1080</v>
      </c>
      <c r="AD340" s="680">
        <f>+U340*J340</f>
        <v>2592</v>
      </c>
      <c r="AE340" s="680">
        <f>+U340*K340</f>
        <v>0</v>
      </c>
      <c r="AF340" s="680">
        <f>+U340*L340</f>
        <v>0</v>
      </c>
      <c r="AG340" s="680">
        <f>+U340*M340</f>
        <v>0</v>
      </c>
      <c r="AH340" s="680">
        <f>+U340*N340</f>
        <v>0</v>
      </c>
      <c r="AI340" s="681">
        <f>+U340*O340</f>
        <v>6840</v>
      </c>
      <c r="AJ340" s="681">
        <f>+U340*P340</f>
        <v>16848</v>
      </c>
    </row>
    <row r="341" spans="1:36" hidden="1">
      <c r="A341" s="680">
        <v>2212011013</v>
      </c>
      <c r="B341" s="680" t="s">
        <v>283</v>
      </c>
      <c r="C341" s="680" t="s">
        <v>491</v>
      </c>
      <c r="D341" s="680" t="s">
        <v>490</v>
      </c>
      <c r="E341" s="680" t="s">
        <v>489</v>
      </c>
      <c r="F341" s="680" t="s">
        <v>488</v>
      </c>
      <c r="G341" s="680">
        <v>200</v>
      </c>
      <c r="H341" s="680">
        <v>498</v>
      </c>
      <c r="I341" s="680">
        <v>214</v>
      </c>
      <c r="J341" s="680">
        <v>535</v>
      </c>
      <c r="K341" s="680">
        <v>0</v>
      </c>
      <c r="L341" s="680">
        <v>0</v>
      </c>
      <c r="M341" s="680">
        <v>0</v>
      </c>
      <c r="N341" s="680">
        <v>0</v>
      </c>
      <c r="O341" s="680">
        <f>+G341+I341+K341+M341</f>
        <v>414</v>
      </c>
      <c r="P341" s="680">
        <f>+H341+J341+L341+N341</f>
        <v>1033</v>
      </c>
      <c r="Q341" s="680" t="s">
        <v>495</v>
      </c>
      <c r="R341" s="680" t="s">
        <v>494</v>
      </c>
      <c r="S341" s="680" t="s">
        <v>6</v>
      </c>
      <c r="T341" s="680" t="s">
        <v>484</v>
      </c>
      <c r="U341" s="681">
        <v>95</v>
      </c>
      <c r="V341" s="680">
        <v>102.38</v>
      </c>
      <c r="W341" s="680" t="s">
        <v>493</v>
      </c>
      <c r="X341" s="680" t="s">
        <v>485</v>
      </c>
      <c r="Y341" s="680" t="s">
        <v>484</v>
      </c>
      <c r="Z341" s="680" t="s">
        <v>483</v>
      </c>
      <c r="AA341" s="680">
        <f>+U341*G341</f>
        <v>19000</v>
      </c>
      <c r="AB341" s="680">
        <f>+U341*H341</f>
        <v>47310</v>
      </c>
      <c r="AC341" s="680">
        <f>+U341*I341</f>
        <v>20330</v>
      </c>
      <c r="AD341" s="680">
        <f>+U341*J341</f>
        <v>50825</v>
      </c>
      <c r="AE341" s="680">
        <f>+U341*K341</f>
        <v>0</v>
      </c>
      <c r="AF341" s="680">
        <f>+U341*L341</f>
        <v>0</v>
      </c>
      <c r="AG341" s="680">
        <f>+U341*M341</f>
        <v>0</v>
      </c>
      <c r="AH341" s="680">
        <f>+U341*N341</f>
        <v>0</v>
      </c>
      <c r="AI341" s="681">
        <f>+U341*O341</f>
        <v>39330</v>
      </c>
      <c r="AJ341" s="681">
        <f>+U341*P341</f>
        <v>98135</v>
      </c>
    </row>
    <row r="342" spans="1:36" hidden="1">
      <c r="A342" s="680">
        <v>2212011014</v>
      </c>
      <c r="B342" s="680" t="s">
        <v>284</v>
      </c>
      <c r="C342" s="680" t="s">
        <v>491</v>
      </c>
      <c r="D342" s="680" t="s">
        <v>490</v>
      </c>
      <c r="E342" s="680" t="s">
        <v>489</v>
      </c>
      <c r="F342" s="680" t="s">
        <v>488</v>
      </c>
      <c r="G342" s="680">
        <v>200</v>
      </c>
      <c r="H342" s="680">
        <v>498</v>
      </c>
      <c r="I342" s="680">
        <v>72</v>
      </c>
      <c r="J342" s="680">
        <v>180</v>
      </c>
      <c r="K342" s="680">
        <v>0</v>
      </c>
      <c r="L342" s="680">
        <v>0</v>
      </c>
      <c r="M342" s="680">
        <v>0</v>
      </c>
      <c r="N342" s="680">
        <v>0</v>
      </c>
      <c r="O342" s="680">
        <f>+G342+I342+K342+M342</f>
        <v>272</v>
      </c>
      <c r="P342" s="680">
        <f>+H342+J342+L342+N342</f>
        <v>678</v>
      </c>
      <c r="Q342" s="680" t="s">
        <v>495</v>
      </c>
      <c r="R342" s="680" t="s">
        <v>494</v>
      </c>
      <c r="S342" s="680" t="s">
        <v>6</v>
      </c>
      <c r="T342" s="680" t="s">
        <v>484</v>
      </c>
      <c r="U342" s="681">
        <v>114</v>
      </c>
      <c r="V342" s="680">
        <v>125.02</v>
      </c>
      <c r="W342" s="680" t="s">
        <v>493</v>
      </c>
      <c r="X342" s="680" t="s">
        <v>485</v>
      </c>
      <c r="Y342" s="680" t="s">
        <v>484</v>
      </c>
      <c r="Z342" s="680" t="s">
        <v>483</v>
      </c>
      <c r="AA342" s="680">
        <f>+U342*G342</f>
        <v>22800</v>
      </c>
      <c r="AB342" s="680">
        <f>+U342*H342</f>
        <v>56772</v>
      </c>
      <c r="AC342" s="680">
        <f>+U342*I342</f>
        <v>8208</v>
      </c>
      <c r="AD342" s="680">
        <f>+U342*J342</f>
        <v>20520</v>
      </c>
      <c r="AE342" s="680">
        <f>+U342*K342</f>
        <v>0</v>
      </c>
      <c r="AF342" s="680">
        <f>+U342*L342</f>
        <v>0</v>
      </c>
      <c r="AG342" s="680">
        <f>+U342*M342</f>
        <v>0</v>
      </c>
      <c r="AH342" s="680">
        <f>+U342*N342</f>
        <v>0</v>
      </c>
      <c r="AI342" s="681">
        <f>+U342*O342</f>
        <v>31008</v>
      </c>
      <c r="AJ342" s="681">
        <f>+U342*P342</f>
        <v>77292</v>
      </c>
    </row>
    <row r="343" spans="1:36" hidden="1">
      <c r="A343" s="680">
        <v>2212011015</v>
      </c>
      <c r="B343" s="680" t="s">
        <v>285</v>
      </c>
      <c r="C343" s="680" t="s">
        <v>491</v>
      </c>
      <c r="D343" s="680" t="s">
        <v>490</v>
      </c>
      <c r="E343" s="680" t="s">
        <v>489</v>
      </c>
      <c r="F343" s="680" t="s">
        <v>488</v>
      </c>
      <c r="G343" s="680">
        <v>0</v>
      </c>
      <c r="H343" s="680">
        <v>0</v>
      </c>
      <c r="I343" s="680">
        <v>27</v>
      </c>
      <c r="J343" s="680">
        <v>67</v>
      </c>
      <c r="K343" s="680">
        <v>0</v>
      </c>
      <c r="L343" s="680">
        <v>0</v>
      </c>
      <c r="M343" s="680">
        <v>0</v>
      </c>
      <c r="N343" s="680">
        <v>0</v>
      </c>
      <c r="O343" s="680">
        <f>+G343+I343+K343+M343</f>
        <v>27</v>
      </c>
      <c r="P343" s="680">
        <f>+H343+J343+L343+N343</f>
        <v>67</v>
      </c>
      <c r="Q343" s="680" t="s">
        <v>495</v>
      </c>
      <c r="R343" s="680" t="s">
        <v>494</v>
      </c>
      <c r="S343" s="680" t="s">
        <v>6</v>
      </c>
      <c r="T343" s="680" t="s">
        <v>484</v>
      </c>
      <c r="U343" s="681">
        <v>84</v>
      </c>
      <c r="V343" s="680">
        <v>91.84</v>
      </c>
      <c r="W343" s="680" t="s">
        <v>493</v>
      </c>
      <c r="X343" s="680" t="s">
        <v>485</v>
      </c>
      <c r="Y343" s="680" t="s">
        <v>484</v>
      </c>
      <c r="Z343" s="680" t="s">
        <v>483</v>
      </c>
      <c r="AA343" s="680">
        <f>+U343*G343</f>
        <v>0</v>
      </c>
      <c r="AB343" s="680">
        <f>+U343*H343</f>
        <v>0</v>
      </c>
      <c r="AC343" s="680">
        <f>+U343*I343</f>
        <v>2268</v>
      </c>
      <c r="AD343" s="680">
        <f>+U343*J343</f>
        <v>5628</v>
      </c>
      <c r="AE343" s="680">
        <f>+U343*K343</f>
        <v>0</v>
      </c>
      <c r="AF343" s="680">
        <f>+U343*L343</f>
        <v>0</v>
      </c>
      <c r="AG343" s="680">
        <f>+U343*M343</f>
        <v>0</v>
      </c>
      <c r="AH343" s="680">
        <f>+U343*N343</f>
        <v>0</v>
      </c>
      <c r="AI343" s="681">
        <f>+U343*O343</f>
        <v>2268</v>
      </c>
      <c r="AJ343" s="681">
        <f>+U343*P343</f>
        <v>5628</v>
      </c>
    </row>
    <row r="344" spans="1:36" hidden="1">
      <c r="A344" s="680">
        <v>2212011016</v>
      </c>
      <c r="B344" s="680" t="s">
        <v>286</v>
      </c>
      <c r="C344" s="680" t="s">
        <v>491</v>
      </c>
      <c r="D344" s="680" t="s">
        <v>490</v>
      </c>
      <c r="E344" s="680" t="s">
        <v>489</v>
      </c>
      <c r="F344" s="680" t="s">
        <v>488</v>
      </c>
      <c r="G344" s="680">
        <v>166</v>
      </c>
      <c r="H344" s="680">
        <v>414</v>
      </c>
      <c r="I344" s="680">
        <v>18</v>
      </c>
      <c r="J344" s="680">
        <v>45</v>
      </c>
      <c r="K344" s="680">
        <v>0</v>
      </c>
      <c r="L344" s="680">
        <v>0</v>
      </c>
      <c r="M344" s="680">
        <v>0</v>
      </c>
      <c r="N344" s="680">
        <v>0</v>
      </c>
      <c r="O344" s="680">
        <f>+G344+I344+K344+M344</f>
        <v>184</v>
      </c>
      <c r="P344" s="680">
        <f>+H344+J344+L344+N344</f>
        <v>459</v>
      </c>
      <c r="Q344" s="680" t="s">
        <v>495</v>
      </c>
      <c r="R344" s="680" t="s">
        <v>494</v>
      </c>
      <c r="S344" s="680" t="s">
        <v>6</v>
      </c>
      <c r="T344" s="680" t="s">
        <v>484</v>
      </c>
      <c r="U344" s="681">
        <v>75</v>
      </c>
      <c r="V344" s="680">
        <v>74.98</v>
      </c>
      <c r="W344" s="680" t="s">
        <v>493</v>
      </c>
      <c r="X344" s="680" t="s">
        <v>485</v>
      </c>
      <c r="Y344" s="680" t="s">
        <v>484</v>
      </c>
      <c r="Z344" s="680" t="s">
        <v>483</v>
      </c>
      <c r="AA344" s="680">
        <f>+U344*G344</f>
        <v>12450</v>
      </c>
      <c r="AB344" s="680">
        <f>+U344*H344</f>
        <v>31050</v>
      </c>
      <c r="AC344" s="680">
        <f>+U344*I344</f>
        <v>1350</v>
      </c>
      <c r="AD344" s="680">
        <f>+U344*J344</f>
        <v>3375</v>
      </c>
      <c r="AE344" s="680">
        <f>+U344*K344</f>
        <v>0</v>
      </c>
      <c r="AF344" s="680">
        <f>+U344*L344</f>
        <v>0</v>
      </c>
      <c r="AG344" s="680">
        <f>+U344*M344</f>
        <v>0</v>
      </c>
      <c r="AH344" s="680">
        <f>+U344*N344</f>
        <v>0</v>
      </c>
      <c r="AI344" s="681">
        <f>+U344*O344</f>
        <v>13800</v>
      </c>
      <c r="AJ344" s="681">
        <f>+U344*P344</f>
        <v>34425</v>
      </c>
    </row>
    <row r="345" spans="1:36" hidden="1">
      <c r="A345" s="680">
        <v>2212011018</v>
      </c>
      <c r="B345" s="680" t="s">
        <v>504</v>
      </c>
      <c r="C345" s="680" t="s">
        <v>491</v>
      </c>
      <c r="D345" s="680" t="s">
        <v>490</v>
      </c>
      <c r="E345" s="680" t="s">
        <v>489</v>
      </c>
      <c r="F345" s="680" t="s">
        <v>488</v>
      </c>
      <c r="G345" s="680">
        <v>0</v>
      </c>
      <c r="H345" s="680">
        <v>0</v>
      </c>
      <c r="I345" s="680">
        <v>0</v>
      </c>
      <c r="J345" s="680">
        <v>0</v>
      </c>
      <c r="K345" s="680">
        <v>0</v>
      </c>
      <c r="L345" s="680">
        <v>0</v>
      </c>
      <c r="M345" s="680">
        <v>3</v>
      </c>
      <c r="N345" s="680">
        <v>7</v>
      </c>
      <c r="O345" s="680">
        <f>+G345+I345+K345+M345</f>
        <v>3</v>
      </c>
      <c r="P345" s="680">
        <f>+H345+J345+L345+N345</f>
        <v>7</v>
      </c>
      <c r="Q345" s="680" t="s">
        <v>495</v>
      </c>
      <c r="R345" s="680" t="s">
        <v>494</v>
      </c>
      <c r="S345" s="680" t="s">
        <v>6</v>
      </c>
      <c r="T345" s="680" t="s">
        <v>484</v>
      </c>
      <c r="U345" s="681">
        <v>250</v>
      </c>
      <c r="V345" s="680">
        <v>163</v>
      </c>
      <c r="W345" s="680" t="s">
        <v>493</v>
      </c>
      <c r="X345" s="680" t="s">
        <v>485</v>
      </c>
      <c r="Y345" s="680" t="s">
        <v>484</v>
      </c>
      <c r="Z345" s="680" t="s">
        <v>483</v>
      </c>
      <c r="AA345" s="680">
        <f>+U345*G345</f>
        <v>0</v>
      </c>
      <c r="AB345" s="680">
        <f>+U345*H345</f>
        <v>0</v>
      </c>
      <c r="AC345" s="680">
        <f>+U345*I345</f>
        <v>0</v>
      </c>
      <c r="AD345" s="680">
        <f>+U345*J345</f>
        <v>0</v>
      </c>
      <c r="AE345" s="680">
        <f>+U345*K345</f>
        <v>0</v>
      </c>
      <c r="AF345" s="680">
        <f>+U345*L345</f>
        <v>0</v>
      </c>
      <c r="AG345" s="680">
        <f>+U345*M345</f>
        <v>750</v>
      </c>
      <c r="AH345" s="680">
        <f>+U345*N345</f>
        <v>1750</v>
      </c>
      <c r="AI345" s="681">
        <f>+U345*O345</f>
        <v>750</v>
      </c>
      <c r="AJ345" s="681">
        <f>+U345*P345</f>
        <v>1750</v>
      </c>
    </row>
    <row r="346" spans="1:36" hidden="1">
      <c r="A346" s="680">
        <v>2212011019</v>
      </c>
      <c r="B346" s="680" t="s">
        <v>289</v>
      </c>
      <c r="C346" s="680" t="s">
        <v>503</v>
      </c>
      <c r="D346" s="680" t="s">
        <v>502</v>
      </c>
      <c r="E346" s="680" t="s">
        <v>489</v>
      </c>
      <c r="F346" s="680" t="s">
        <v>488</v>
      </c>
      <c r="G346" s="680">
        <v>0</v>
      </c>
      <c r="H346" s="680">
        <v>0</v>
      </c>
      <c r="I346" s="680">
        <v>22</v>
      </c>
      <c r="J346" s="680">
        <v>54</v>
      </c>
      <c r="K346" s="680">
        <v>0</v>
      </c>
      <c r="L346" s="680">
        <v>0</v>
      </c>
      <c r="M346" s="680">
        <v>0</v>
      </c>
      <c r="N346" s="680">
        <v>0</v>
      </c>
      <c r="O346" s="680">
        <f>+G346+I346+K346+M346</f>
        <v>22</v>
      </c>
      <c r="P346" s="680">
        <f>+H346+J346+L346+N346</f>
        <v>54</v>
      </c>
      <c r="Q346" s="680" t="s">
        <v>501</v>
      </c>
      <c r="R346" s="680" t="s">
        <v>501</v>
      </c>
      <c r="S346" s="680" t="s">
        <v>6</v>
      </c>
      <c r="T346" s="680" t="s">
        <v>484</v>
      </c>
      <c r="U346" s="681">
        <v>99</v>
      </c>
      <c r="V346" s="680">
        <v>108.34</v>
      </c>
      <c r="W346" s="680" t="s">
        <v>500</v>
      </c>
      <c r="X346" s="680" t="s">
        <v>485</v>
      </c>
      <c r="Y346" s="680" t="s">
        <v>484</v>
      </c>
      <c r="Z346" s="680" t="s">
        <v>483</v>
      </c>
      <c r="AA346" s="680">
        <f>+U346*G346</f>
        <v>0</v>
      </c>
      <c r="AB346" s="680">
        <f>+U346*H346</f>
        <v>0</v>
      </c>
      <c r="AC346" s="680">
        <f>+U346*I346</f>
        <v>2178</v>
      </c>
      <c r="AD346" s="680">
        <f>+U346*J346</f>
        <v>5346</v>
      </c>
      <c r="AE346" s="680">
        <f>+U346*K346</f>
        <v>0</v>
      </c>
      <c r="AF346" s="680">
        <f>+U346*L346</f>
        <v>0</v>
      </c>
      <c r="AG346" s="680">
        <f>+U346*M346</f>
        <v>0</v>
      </c>
      <c r="AH346" s="680">
        <f>+U346*N346</f>
        <v>0</v>
      </c>
      <c r="AI346" s="681">
        <f>+U346*O346</f>
        <v>2178</v>
      </c>
      <c r="AJ346" s="681">
        <f>+U346*P346</f>
        <v>5346</v>
      </c>
    </row>
    <row r="347" spans="1:36" hidden="1">
      <c r="A347" s="680">
        <v>2212011020</v>
      </c>
      <c r="B347" s="680" t="s">
        <v>499</v>
      </c>
      <c r="C347" s="680" t="s">
        <v>491</v>
      </c>
      <c r="D347" s="680" t="s">
        <v>490</v>
      </c>
      <c r="E347" s="680" t="s">
        <v>489</v>
      </c>
      <c r="F347" s="680" t="s">
        <v>488</v>
      </c>
      <c r="G347" s="680">
        <v>0</v>
      </c>
      <c r="H347" s="680">
        <v>0</v>
      </c>
      <c r="I347" s="680">
        <v>72</v>
      </c>
      <c r="J347" s="680">
        <v>180</v>
      </c>
      <c r="K347" s="680">
        <v>0</v>
      </c>
      <c r="L347" s="680">
        <v>0</v>
      </c>
      <c r="M347" s="680">
        <v>0</v>
      </c>
      <c r="N347" s="680">
        <v>0</v>
      </c>
      <c r="O347" s="680">
        <f>+G347+I347+K347+M347</f>
        <v>72</v>
      </c>
      <c r="P347" s="680">
        <f>+H347+J347+L347+N347</f>
        <v>180</v>
      </c>
      <c r="Q347" s="680" t="s">
        <v>498</v>
      </c>
      <c r="R347" s="680" t="s">
        <v>494</v>
      </c>
      <c r="S347" s="680" t="s">
        <v>6</v>
      </c>
      <c r="T347" s="680" t="s">
        <v>484</v>
      </c>
      <c r="U347" s="681">
        <v>80</v>
      </c>
      <c r="V347" s="680">
        <v>197.4</v>
      </c>
      <c r="W347" s="680" t="s">
        <v>497</v>
      </c>
      <c r="X347" s="680" t="s">
        <v>485</v>
      </c>
      <c r="Y347" s="680" t="s">
        <v>484</v>
      </c>
      <c r="Z347" s="680" t="s">
        <v>483</v>
      </c>
      <c r="AA347" s="680">
        <f>+U347*G347</f>
        <v>0</v>
      </c>
      <c r="AB347" s="680">
        <f>+U347*H347</f>
        <v>0</v>
      </c>
      <c r="AC347" s="680">
        <f>+U347*I347</f>
        <v>5760</v>
      </c>
      <c r="AD347" s="680">
        <f>+U347*J347</f>
        <v>14400</v>
      </c>
      <c r="AE347" s="680">
        <f>+U347*K347</f>
        <v>0</v>
      </c>
      <c r="AF347" s="680">
        <f>+U347*L347</f>
        <v>0</v>
      </c>
      <c r="AG347" s="680">
        <f>+U347*M347</f>
        <v>0</v>
      </c>
      <c r="AH347" s="680">
        <f>+U347*N347</f>
        <v>0</v>
      </c>
      <c r="AI347" s="681">
        <f>+U347*O347</f>
        <v>5760</v>
      </c>
      <c r="AJ347" s="681">
        <f>+U347*P347</f>
        <v>14400</v>
      </c>
    </row>
    <row r="348" spans="1:36" hidden="1">
      <c r="A348" s="680">
        <v>2212011026</v>
      </c>
      <c r="B348" s="680" t="s">
        <v>496</v>
      </c>
      <c r="C348" s="680" t="s">
        <v>491</v>
      </c>
      <c r="D348" s="680" t="s">
        <v>490</v>
      </c>
      <c r="E348" s="680" t="s">
        <v>489</v>
      </c>
      <c r="F348" s="680" t="s">
        <v>488</v>
      </c>
      <c r="G348" s="680">
        <v>171</v>
      </c>
      <c r="H348" s="680">
        <v>426</v>
      </c>
      <c r="I348" s="680">
        <v>90</v>
      </c>
      <c r="J348" s="680">
        <v>225</v>
      </c>
      <c r="K348" s="680">
        <v>0</v>
      </c>
      <c r="L348" s="680">
        <v>0</v>
      </c>
      <c r="M348" s="680">
        <v>0</v>
      </c>
      <c r="N348" s="680">
        <v>0</v>
      </c>
      <c r="O348" s="680">
        <f>+G348+I348+K348+M348</f>
        <v>261</v>
      </c>
      <c r="P348" s="680">
        <f>+H348+J348+L348+N348</f>
        <v>651</v>
      </c>
      <c r="Q348" s="680" t="s">
        <v>495</v>
      </c>
      <c r="R348" s="680" t="s">
        <v>494</v>
      </c>
      <c r="S348" s="680" t="s">
        <v>86</v>
      </c>
      <c r="T348" s="680" t="s">
        <v>484</v>
      </c>
      <c r="U348" s="681">
        <v>174</v>
      </c>
      <c r="V348" s="680">
        <v>191.34</v>
      </c>
      <c r="W348" s="680" t="s">
        <v>493</v>
      </c>
      <c r="X348" s="680" t="s">
        <v>485</v>
      </c>
      <c r="Y348" s="680" t="s">
        <v>484</v>
      </c>
      <c r="Z348" s="680" t="s">
        <v>483</v>
      </c>
      <c r="AA348" s="680">
        <f>+U348*G348</f>
        <v>29754</v>
      </c>
      <c r="AB348" s="680">
        <f>+U348*H348</f>
        <v>74124</v>
      </c>
      <c r="AC348" s="680">
        <f>+U348*I348</f>
        <v>15660</v>
      </c>
      <c r="AD348" s="680">
        <f>+U348*J348</f>
        <v>39150</v>
      </c>
      <c r="AE348" s="680">
        <f>+U348*K348</f>
        <v>0</v>
      </c>
      <c r="AF348" s="680">
        <f>+U348*L348</f>
        <v>0</v>
      </c>
      <c r="AG348" s="680">
        <f>+U348*M348</f>
        <v>0</v>
      </c>
      <c r="AH348" s="680">
        <f>+U348*N348</f>
        <v>0</v>
      </c>
      <c r="AI348" s="681">
        <f>+U348*O348</f>
        <v>45414</v>
      </c>
      <c r="AJ348" s="681">
        <f>+U348*P348</f>
        <v>113274</v>
      </c>
    </row>
    <row r="349" spans="1:36" hidden="1">
      <c r="A349" s="680">
        <v>2212900015</v>
      </c>
      <c r="B349" s="680" t="s">
        <v>492</v>
      </c>
      <c r="C349" s="680" t="s">
        <v>491</v>
      </c>
      <c r="D349" s="680" t="s">
        <v>490</v>
      </c>
      <c r="E349" s="680" t="s">
        <v>489</v>
      </c>
      <c r="F349" s="680" t="s">
        <v>488</v>
      </c>
      <c r="G349" s="680">
        <v>0</v>
      </c>
      <c r="H349" s="680">
        <v>0</v>
      </c>
      <c r="I349" s="680">
        <v>0</v>
      </c>
      <c r="J349" s="680">
        <v>0</v>
      </c>
      <c r="K349" s="680">
        <v>0</v>
      </c>
      <c r="L349" s="680">
        <v>0</v>
      </c>
      <c r="M349" s="680">
        <v>200</v>
      </c>
      <c r="N349" s="680">
        <v>500</v>
      </c>
      <c r="O349" s="680">
        <f>+G349+I349+K349+M349</f>
        <v>200</v>
      </c>
      <c r="P349" s="680">
        <f>+H349+J349+L349+N349</f>
        <v>500</v>
      </c>
      <c r="Q349" s="680" t="s">
        <v>487</v>
      </c>
      <c r="R349" s="680" t="s">
        <v>487</v>
      </c>
      <c r="S349" s="680" t="s">
        <v>8</v>
      </c>
      <c r="T349" s="680" t="s">
        <v>484</v>
      </c>
      <c r="U349" s="681">
        <v>5.5</v>
      </c>
      <c r="V349" s="680">
        <v>5.98</v>
      </c>
      <c r="W349" s="680" t="s">
        <v>486</v>
      </c>
      <c r="X349" s="680" t="s">
        <v>485</v>
      </c>
      <c r="Y349" s="680" t="s">
        <v>484</v>
      </c>
      <c r="Z349" s="680" t="s">
        <v>483</v>
      </c>
      <c r="AA349" s="680">
        <f>+U349*G349</f>
        <v>0</v>
      </c>
      <c r="AB349" s="680">
        <f>+U349*H349</f>
        <v>0</v>
      </c>
      <c r="AC349" s="680">
        <f>+U349*I349</f>
        <v>0</v>
      </c>
      <c r="AD349" s="680">
        <f>+U349*J349</f>
        <v>0</v>
      </c>
      <c r="AE349" s="680">
        <f>+U349*K349</f>
        <v>0</v>
      </c>
      <c r="AF349" s="680">
        <f>+U349*L349</f>
        <v>0</v>
      </c>
      <c r="AG349" s="680">
        <f>+U349*M349</f>
        <v>1100</v>
      </c>
      <c r="AH349" s="680">
        <f>+U349*N349</f>
        <v>2750</v>
      </c>
      <c r="AI349" s="681">
        <f>+U349*O349</f>
        <v>1100</v>
      </c>
      <c r="AJ349" s="681">
        <f>+U349*P349</f>
        <v>2750</v>
      </c>
    </row>
    <row r="350" spans="1:36" hidden="1">
      <c r="AJ350" s="681">
        <f>SUM(AJ2:AJ349)</f>
        <v>28523914.029999997</v>
      </c>
    </row>
  </sheetData>
  <autoFilter ref="A1:AJ350" xr:uid="{00000000-0001-0000-0100-000000000000}">
    <filterColumn colId="2">
      <filters>
        <filter val="MORALES RIOS FELIPE DE JESU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GENERAL</vt:lpstr>
      <vt:lpstr>RECEPCIÓN</vt:lpstr>
      <vt:lpstr>PACIENTES</vt:lpstr>
      <vt:lpstr>COMEDOR</vt:lpstr>
      <vt:lpstr>JORNADA</vt:lpstr>
      <vt:lpstr>DIETOLOGÍA(S)</vt:lpstr>
      <vt:lpstr>BANCO DE LECHE</vt:lpstr>
      <vt:lpstr>TORTILLAS</vt:lpstr>
      <vt:lpstr>NUTRICIÓN CLÍNICA</vt:lpstr>
      <vt:lpstr>PAN</vt:lpstr>
      <vt:lpstr>LPL472026</vt:lpstr>
      <vt:lpstr>FRUTAS</vt:lpstr>
      <vt:lpstr>salidanutricion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becerra</cp:lastModifiedBy>
  <dcterms:modified xsi:type="dcterms:W3CDTF">2026-09-22T17:32:35Z</dcterms:modified>
</cp:coreProperties>
</file>